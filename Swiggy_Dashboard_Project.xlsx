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5998A42C-AB7D-4740-AAE3-4C317BD81C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4" r:id="rId1"/>
    <sheet name="Sheet2" sheetId="5" r:id="rId2"/>
    <sheet name="Sheet3" sheetId="6" r:id="rId3"/>
    <sheet name="Swiggy_Data" sheetId="1" r:id="rId4"/>
    <sheet name="KPI_Guide" sheetId="2" r:id="rId5"/>
    <sheet name="Dashboard_Tips" sheetId="3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<sst xmlns="http://schemas.openxmlformats.org/spreadsheetml/2006/main" count="17547" uniqueCount="4668">
  <si>
    <t>order_id</t>
  </si>
  <si>
    <t>order_date</t>
  </si>
  <si>
    <t>month</t>
  </si>
  <si>
    <t>day_name</t>
  </si>
  <si>
    <t>restaurant_name</t>
  </si>
  <si>
    <t>city</t>
  </si>
  <si>
    <t>food_type</t>
  </si>
  <si>
    <t>food_category</t>
  </si>
  <si>
    <t>veg_nonveg</t>
  </si>
  <si>
    <t>quantity</t>
  </si>
  <si>
    <t>price</t>
  </si>
  <si>
    <t>sales</t>
  </si>
  <si>
    <t>rating</t>
  </si>
  <si>
    <t>time_minutes</t>
  </si>
  <si>
    <t>offer_above</t>
  </si>
  <si>
    <t>offer_percentage</t>
  </si>
  <si>
    <t>payment_mode</t>
  </si>
  <si>
    <t>customer_age</t>
  </si>
  <si>
    <t>customer_gender</t>
  </si>
  <si>
    <t>SWG1000</t>
  </si>
  <si>
    <t>Apr</t>
  </si>
  <si>
    <t>Fri</t>
  </si>
  <si>
    <t>McDonald's</t>
  </si>
  <si>
    <t>Kandivali East</t>
  </si>
  <si>
    <t>Burgers, Beverages, Cafe, Desserts</t>
  </si>
  <si>
    <t>Burger</t>
  </si>
  <si>
    <t>Veg</t>
  </si>
  <si>
    <t>Cash</t>
  </si>
  <si>
    <t>Male</t>
  </si>
  <si>
    <t>SWG1001</t>
  </si>
  <si>
    <t>Jun</t>
  </si>
  <si>
    <t>KFC</t>
  </si>
  <si>
    <t>Burgers, Biryani, American, Snacks, Fast Food</t>
  </si>
  <si>
    <t>Non-Veg</t>
  </si>
  <si>
    <t>UPI</t>
  </si>
  <si>
    <t>SWG1002</t>
  </si>
  <si>
    <t>Tue</t>
  </si>
  <si>
    <t>Domino's Pizza</t>
  </si>
  <si>
    <t>Thakur Village</t>
  </si>
  <si>
    <t>Pizzas, Italian, Pastas, Desserts</t>
  </si>
  <si>
    <t>Pizza</t>
  </si>
  <si>
    <t>Female</t>
  </si>
  <si>
    <t>SWG1003</t>
  </si>
  <si>
    <t>Jan</t>
  </si>
  <si>
    <t>Mon</t>
  </si>
  <si>
    <t>Charcoal Eats - Biryani &amp; Beyond</t>
  </si>
  <si>
    <t>Malad Kan East</t>
  </si>
  <si>
    <t>Biryani, Kebabs, Hyderabadi, North Indian</t>
  </si>
  <si>
    <t>Biryani</t>
  </si>
  <si>
    <t>Card</t>
  </si>
  <si>
    <t>SWG1004</t>
  </si>
  <si>
    <t>Sandwizzaa</t>
  </si>
  <si>
    <t>Snacks, Fast Food, Beverages, Jain</t>
  </si>
  <si>
    <t>Beverages</t>
  </si>
  <si>
    <t>SWG1005</t>
  </si>
  <si>
    <t>Mar</t>
  </si>
  <si>
    <t>1441 Pizzeria</t>
  </si>
  <si>
    <t>Italian, Pizzas, Pastas</t>
  </si>
  <si>
    <t>SWG1006</t>
  </si>
  <si>
    <t>Jul</t>
  </si>
  <si>
    <t>Sun</t>
  </si>
  <si>
    <t>Hangout Cakes &amp; More</t>
  </si>
  <si>
    <t>Borivali West</t>
  </si>
  <si>
    <t>Desserts, Bakery</t>
  </si>
  <si>
    <t>Desserts</t>
  </si>
  <si>
    <t>SWG1007</t>
  </si>
  <si>
    <t xml:space="preserve">Love &amp; Cheesecake </t>
  </si>
  <si>
    <t>SWG1008</t>
  </si>
  <si>
    <t>Nothing But Chicken</t>
  </si>
  <si>
    <t>Salads, Biryani, Kebabs, Fast Food, Healthy Food</t>
  </si>
  <si>
    <t>SWG1009</t>
  </si>
  <si>
    <t>May</t>
  </si>
  <si>
    <t>Wed</t>
  </si>
  <si>
    <t>Sweet Bengal</t>
  </si>
  <si>
    <t>Sweets, Indian, Snacks, Desserts</t>
  </si>
  <si>
    <t>Wallet</t>
  </si>
  <si>
    <t>SWG1010</t>
  </si>
  <si>
    <t>Atta Girl</t>
  </si>
  <si>
    <t>Malad West</t>
  </si>
  <si>
    <t>South Indian</t>
  </si>
  <si>
    <t>Fast Food</t>
  </si>
  <si>
    <t>SWG1011</t>
  </si>
  <si>
    <t>Aug</t>
  </si>
  <si>
    <t>NIC Ice Creams</t>
  </si>
  <si>
    <t>Ice Cream, Desserts</t>
  </si>
  <si>
    <t>SWG1012</t>
  </si>
  <si>
    <t>Poetry By Love &amp; Cheesecake</t>
  </si>
  <si>
    <t>Kandivali West</t>
  </si>
  <si>
    <t>SWG1013</t>
  </si>
  <si>
    <t>Havmor Havfunn Ice Cream</t>
  </si>
  <si>
    <t>Ice Cream, Ice Cream Cakes, Desserts, Beverages</t>
  </si>
  <si>
    <t>SWG1014</t>
  </si>
  <si>
    <t>Thu</t>
  </si>
  <si>
    <t>NOTO - Ice Creams &amp; Desserts</t>
  </si>
  <si>
    <t>Ice Cream</t>
  </si>
  <si>
    <t>SWG1015</t>
  </si>
  <si>
    <t>McDonald's Gourmet Burger Collection</t>
  </si>
  <si>
    <t>SWG1016</t>
  </si>
  <si>
    <t>Grameen Kulfi</t>
  </si>
  <si>
    <t>SWG1017</t>
  </si>
  <si>
    <t>Sat</t>
  </si>
  <si>
    <t>Surbhi Sweets And Snacks</t>
  </si>
  <si>
    <t>Dahisar East</t>
  </si>
  <si>
    <t>Sweets, Chaat, Snacks, Desserts, Beverages, Indian</t>
  </si>
  <si>
    <t>SWG1018</t>
  </si>
  <si>
    <t>Jumboking Indian Burger</t>
  </si>
  <si>
    <t>American, Mexican, Fast Food, Snacks, Beverages</t>
  </si>
  <si>
    <t>SWG1019</t>
  </si>
  <si>
    <t>Theobroma</t>
  </si>
  <si>
    <t>Bakery, Desserts</t>
  </si>
  <si>
    <t>SWG1020</t>
  </si>
  <si>
    <t>Amul Real Milk Real Ice Cream</t>
  </si>
  <si>
    <t>SWG1021</t>
  </si>
  <si>
    <t>Feb</t>
  </si>
  <si>
    <t>Dabba Garam (Homestyle,Combo, Thali &amp; More)</t>
  </si>
  <si>
    <t>Borivali</t>
  </si>
  <si>
    <t>Home Food, North Indian, Thai</t>
  </si>
  <si>
    <t>SWG1022</t>
  </si>
  <si>
    <t>SWG1023</t>
  </si>
  <si>
    <t>SWG1024</t>
  </si>
  <si>
    <t>Bakingo-Cakes &amp; Desserts</t>
  </si>
  <si>
    <t>Bakery, Desserts, Beverages, Snacks</t>
  </si>
  <si>
    <t>SWG1025</t>
  </si>
  <si>
    <t>SWG1026</t>
  </si>
  <si>
    <t>NH1 Bowls - Highway To North</t>
  </si>
  <si>
    <t>North Indian, Punjabi, Home Food</t>
  </si>
  <si>
    <t>SWG1027</t>
  </si>
  <si>
    <t>63 By-Lane</t>
  </si>
  <si>
    <t>Pizzas, Pastas, Salads</t>
  </si>
  <si>
    <t>SWG1028</t>
  </si>
  <si>
    <t>Nishi Home Delites</t>
  </si>
  <si>
    <t>Indian, Punjabi</t>
  </si>
  <si>
    <t>SWG1029</t>
  </si>
  <si>
    <t>Rasobongo</t>
  </si>
  <si>
    <t>Bengali, Sweets, Desserts, Snacks</t>
  </si>
  <si>
    <t>SWG1030</t>
  </si>
  <si>
    <t>Central Prabhu</t>
  </si>
  <si>
    <t>Borivali East</t>
  </si>
  <si>
    <t>Mughlai, North Indian, Chinese, Konkan, Malwani</t>
  </si>
  <si>
    <t>SWG1031</t>
  </si>
  <si>
    <t>Peetuk</t>
  </si>
  <si>
    <t>Biryani, Bengali</t>
  </si>
  <si>
    <t>SWG1032</t>
  </si>
  <si>
    <t>The Joy Pizzateria</t>
  </si>
  <si>
    <t>Pizzas, Beverages</t>
  </si>
  <si>
    <t>SWG1033</t>
  </si>
  <si>
    <t>SWG1034</t>
  </si>
  <si>
    <t>Third Wave Coffee</t>
  </si>
  <si>
    <t>Cafe, Beverages, Desserts</t>
  </si>
  <si>
    <t>SWG1035</t>
  </si>
  <si>
    <t>Big Bowl</t>
  </si>
  <si>
    <t>North Indian, Chinese, Tibetan, Desserts</t>
  </si>
  <si>
    <t>SWG1036</t>
  </si>
  <si>
    <t>Shree mithai</t>
  </si>
  <si>
    <t>Indian</t>
  </si>
  <si>
    <t>SWG1037</t>
  </si>
  <si>
    <t>Breadkraft</t>
  </si>
  <si>
    <t>Mumbai</t>
  </si>
  <si>
    <t>Pizzas</t>
  </si>
  <si>
    <t>SWG1038</t>
  </si>
  <si>
    <t>The Bengal Club</t>
  </si>
  <si>
    <t>Bengali</t>
  </si>
  <si>
    <t>SWG1039</t>
  </si>
  <si>
    <t>Shawarmaji</t>
  </si>
  <si>
    <t>Thakur village Kandivali east</t>
  </si>
  <si>
    <t>Lebanese</t>
  </si>
  <si>
    <t>SWG1040</t>
  </si>
  <si>
    <t>SWG1041</t>
  </si>
  <si>
    <t>Good Flippin' Burgers</t>
  </si>
  <si>
    <t>American, Fast Food, Burgers</t>
  </si>
  <si>
    <t>SWG1042</t>
  </si>
  <si>
    <t>Achija</t>
  </si>
  <si>
    <t>North Indian, South Indian, Chinese, Beverages, Indian, Burgers, Chaat</t>
  </si>
  <si>
    <t>SWG1043</t>
  </si>
  <si>
    <t>Granville Greens</t>
  </si>
  <si>
    <t>North Indian, South Indian, Chinese, Beverages, Italian, Mexican, Lebanese, Thai</t>
  </si>
  <si>
    <t>SWG1044</t>
  </si>
  <si>
    <t>New kathiyawadi dhaba</t>
  </si>
  <si>
    <t>Indian, South Indian, Punjabi, Rajasthani</t>
  </si>
  <si>
    <t>SWG1045</t>
  </si>
  <si>
    <t>Granville IDC Kitchen (Borivali)</t>
  </si>
  <si>
    <t>SWG1046</t>
  </si>
  <si>
    <t>Nirvana</t>
  </si>
  <si>
    <t>North Indian, Jain, Kebabs, Biryani, Chinese</t>
  </si>
  <si>
    <t>SWG1047</t>
  </si>
  <si>
    <t>Banglore Iyanger Bakery</t>
  </si>
  <si>
    <t>Bakery</t>
  </si>
  <si>
    <t>SWG1048</t>
  </si>
  <si>
    <t>Sweet County Cake Shop</t>
  </si>
  <si>
    <t>Desserts, Bakery, Snacks</t>
  </si>
  <si>
    <t>SWG1049</t>
  </si>
  <si>
    <t>The Netrik's Joint</t>
  </si>
  <si>
    <t>Malad Kan West</t>
  </si>
  <si>
    <t>Fast Food, Pizzas, Snacks, Chinese, Beverages</t>
  </si>
  <si>
    <t>SWG1050</t>
  </si>
  <si>
    <t>SWG1051</t>
  </si>
  <si>
    <t>Gaurav Sweets And Namkeen</t>
  </si>
  <si>
    <t>Sweets, Snacks, Chaat</t>
  </si>
  <si>
    <t>SWG1052</t>
  </si>
  <si>
    <t>Raju's Kitchen</t>
  </si>
  <si>
    <t xml:space="preserve"> SARAAF CHOUDHARY NAGAR</t>
  </si>
  <si>
    <t>Chinese, Indian</t>
  </si>
  <si>
    <t>SWG1053</t>
  </si>
  <si>
    <t>Bayleaf</t>
  </si>
  <si>
    <t>Indian, Snacks</t>
  </si>
  <si>
    <t>SWG1054</t>
  </si>
  <si>
    <t>South Tiffin House</t>
  </si>
  <si>
    <t>South Indian, Fast Food, Snacks</t>
  </si>
  <si>
    <t>SWG1055</t>
  </si>
  <si>
    <t>Brijwasi Sweets</t>
  </si>
  <si>
    <t>Sweets, Snacks</t>
  </si>
  <si>
    <t>SWG1056</t>
  </si>
  <si>
    <t>SWG1057</t>
  </si>
  <si>
    <t>Dominic Pizza</t>
  </si>
  <si>
    <t>Pizza Story</t>
  </si>
  <si>
    <t>Fast Food, Pizzas, Chinese, Italian, Pastas, Desserts, Burgers, Mexican, American, Street Food</t>
  </si>
  <si>
    <t>SWG1058</t>
  </si>
  <si>
    <t>abCoffee</t>
  </si>
  <si>
    <t>Cafe, Beverages, Bakery, Desserts</t>
  </si>
  <si>
    <t>SWG1059</t>
  </si>
  <si>
    <t>K Bhagat Tarachand</t>
  </si>
  <si>
    <t>North Indian</t>
  </si>
  <si>
    <t>SWG1060</t>
  </si>
  <si>
    <t>Saffron Restaurant</t>
  </si>
  <si>
    <t>North Indian, Chinese, Beverages, Tandoor, Kebabs</t>
  </si>
  <si>
    <t>SWG1061</t>
  </si>
  <si>
    <t>Flavours Of China</t>
  </si>
  <si>
    <t>Chinese</t>
  </si>
  <si>
    <t>SWG1062</t>
  </si>
  <si>
    <t>The Veg Treat</t>
  </si>
  <si>
    <t>North Indian, South Indian, Chinese</t>
  </si>
  <si>
    <t>SWG1063</t>
  </si>
  <si>
    <t>The House Of Pasta</t>
  </si>
  <si>
    <t>Pastas, Snacks</t>
  </si>
  <si>
    <t>SWG1064</t>
  </si>
  <si>
    <t>SWG1065</t>
  </si>
  <si>
    <t>Radhe Dhokla</t>
  </si>
  <si>
    <t>North Indian, Gujarati, Punjabi, Fast Food, Chinese, Snacks</t>
  </si>
  <si>
    <t>SWG1066</t>
  </si>
  <si>
    <t>SWG1067</t>
  </si>
  <si>
    <t>Northern Tadka</t>
  </si>
  <si>
    <t>North Indian, Mughlai</t>
  </si>
  <si>
    <t>SWG1068</t>
  </si>
  <si>
    <t>The Ice Cream Bakery - TIB</t>
  </si>
  <si>
    <t>Ice Cream, Bakery, Desserts, Sweets, Beverages</t>
  </si>
  <si>
    <t>SWG1069</t>
  </si>
  <si>
    <t>Chai Sutta Bar</t>
  </si>
  <si>
    <t>SWG1070</t>
  </si>
  <si>
    <t>SWG1071</t>
  </si>
  <si>
    <t>Merwans Cake Stop</t>
  </si>
  <si>
    <t>Indian, Desserts</t>
  </si>
  <si>
    <t>SWG1072</t>
  </si>
  <si>
    <t>SWG1073</t>
  </si>
  <si>
    <t>MOJO Pizza - 2X Toppings</t>
  </si>
  <si>
    <t>Pizzas, Italian, Fast Food, Desserts</t>
  </si>
  <si>
    <t>SWG1074</t>
  </si>
  <si>
    <t>WeFit-Bowls, Salads &amp; Sandwiches</t>
  </si>
  <si>
    <t>Vishnu Shivam Mall</t>
  </si>
  <si>
    <t>Healthy Food, Salads, Keto, Snacks</t>
  </si>
  <si>
    <t>SWG1075</t>
  </si>
  <si>
    <t>Blue Tokai Coffee Roasters</t>
  </si>
  <si>
    <t>Healthy Food, Pastas, American, Cafe, Beverages, Bakery</t>
  </si>
  <si>
    <t>SWG1076</t>
  </si>
  <si>
    <t>Daily Kitchen - Homestyle Meals</t>
  </si>
  <si>
    <t>Thakur Village, Kandivali (E)</t>
  </si>
  <si>
    <t>Home Food, Indian, North Indian, Thalis</t>
  </si>
  <si>
    <t>SWG1077</t>
  </si>
  <si>
    <t>ZAZA Mughal Biryani</t>
  </si>
  <si>
    <t>Kandivali</t>
  </si>
  <si>
    <t>Biryani, North Indian, Awadhi</t>
  </si>
  <si>
    <t>SWG1078</t>
  </si>
  <si>
    <t>Dessertino</t>
  </si>
  <si>
    <t>SWG1079</t>
  </si>
  <si>
    <t>Cafe Delight</t>
  </si>
  <si>
    <t>Indian, Tandoor</t>
  </si>
  <si>
    <t>SWG1080</t>
  </si>
  <si>
    <t>SWG1081</t>
  </si>
  <si>
    <t>La Pino'z Pizza</t>
  </si>
  <si>
    <t>Thakur Complex</t>
  </si>
  <si>
    <t>Pizzas, Pastas, Italian, Desserts, Beverages</t>
  </si>
  <si>
    <t>SWG1082</t>
  </si>
  <si>
    <t>Murlidhar Sweets And Farsan</t>
  </si>
  <si>
    <t>Sweets, Street Food, Bengali, Gujarati, Desserts, Fast Food</t>
  </si>
  <si>
    <t>SWG1083</t>
  </si>
  <si>
    <t>Starbucks Coffee</t>
  </si>
  <si>
    <t>Beverages, Cafe, Snacks, Desserts, Bakery, Ice Cream</t>
  </si>
  <si>
    <t>SWG1084</t>
  </si>
  <si>
    <t>SWG1085</t>
  </si>
  <si>
    <t>Borivali Biryani Centre (BBC)</t>
  </si>
  <si>
    <t>Biryani, Chinese, North Indian, Punjabi, Kebabs, Afghani</t>
  </si>
  <si>
    <t>SWG1086</t>
  </si>
  <si>
    <t>Meemee's</t>
  </si>
  <si>
    <t>SWG1087</t>
  </si>
  <si>
    <t>Uncle's Chinese</t>
  </si>
  <si>
    <t>Chinese, Fast Food, Biryani, North Indian, Beverages</t>
  </si>
  <si>
    <t>SWG1088</t>
  </si>
  <si>
    <t>Bangalore Iyengar Bakery</t>
  </si>
  <si>
    <t>SWG1089</t>
  </si>
  <si>
    <t>Kunafa World</t>
  </si>
  <si>
    <t>Middle Eastern, Desserts</t>
  </si>
  <si>
    <t>SWG1090</t>
  </si>
  <si>
    <t>SWG1091</t>
  </si>
  <si>
    <t>The Cake Factory</t>
  </si>
  <si>
    <t>SWG1092</t>
  </si>
  <si>
    <t>Kusum Rolls</t>
  </si>
  <si>
    <t>Indian, Fast Food, Lebanese, Arabian, Kebabs</t>
  </si>
  <si>
    <t>SWG1093</t>
  </si>
  <si>
    <t>Patanwala</t>
  </si>
  <si>
    <t>Sweets, Desserts</t>
  </si>
  <si>
    <t>SWG1094</t>
  </si>
  <si>
    <t>Monginis</t>
  </si>
  <si>
    <t>Bakery, Desserts, Snacks</t>
  </si>
  <si>
    <t>SWG1095</t>
  </si>
  <si>
    <t>GetAWay-Ice Creams &amp; Desserts</t>
  </si>
  <si>
    <t>Ice Cream, Desserts, Healthy Food, Sweets</t>
  </si>
  <si>
    <t>SWG1096</t>
  </si>
  <si>
    <t>Mealful Rolls - India's Biggest Rolls</t>
  </si>
  <si>
    <t>Fast Food, Snacks, North Indian, Desserts</t>
  </si>
  <si>
    <t>SWG1097</t>
  </si>
  <si>
    <t>The Momo Co.</t>
  </si>
  <si>
    <t>Chinese, Asian, Tibetan, Desserts</t>
  </si>
  <si>
    <t>SWG1098</t>
  </si>
  <si>
    <t>Faasos' Signature Wraps &amp; Rolls</t>
  </si>
  <si>
    <t>Fast Food, Snacks, North Indian, Desserts, Beverages</t>
  </si>
  <si>
    <t>SWG1099</t>
  </si>
  <si>
    <t>SWG1100</t>
  </si>
  <si>
    <t>SWG1101</t>
  </si>
  <si>
    <t>Kareem's</t>
  </si>
  <si>
    <t>North Indian, Biryani, Chinese, Indian, Desserts, Mughlai, Tandoor, Lucknowi</t>
  </si>
  <si>
    <t>SWG1102</t>
  </si>
  <si>
    <t>SWG1103</t>
  </si>
  <si>
    <t>Suchali's Artisan Bakehouse</t>
  </si>
  <si>
    <t>Beverages, Bakery</t>
  </si>
  <si>
    <t>SWG1104</t>
  </si>
  <si>
    <t>LeanCrust Pizza- ThinCrust Experts</t>
  </si>
  <si>
    <t>Pizzas, Italian, Desserts</t>
  </si>
  <si>
    <t>SWG1105</t>
  </si>
  <si>
    <t>Pure Veg Meals by Lunchbox</t>
  </si>
  <si>
    <t>Biryani, North Indian, Desserts, Beverages</t>
  </si>
  <si>
    <t>SWG1106</t>
  </si>
  <si>
    <t>The J</t>
  </si>
  <si>
    <t>American, Snacks, Desserts</t>
  </si>
  <si>
    <t>SWG1107</t>
  </si>
  <si>
    <t>Smokin' Joe's</t>
  </si>
  <si>
    <t>Italian, Pizzas</t>
  </si>
  <si>
    <t>SWG1108</t>
  </si>
  <si>
    <t>BOOM Sandwich - Sub of India</t>
  </si>
  <si>
    <t>Snacks, Indian, Desserts</t>
  </si>
  <si>
    <t>SWG1109</t>
  </si>
  <si>
    <t>7th Heaven</t>
  </si>
  <si>
    <t>SWG1110</t>
  </si>
  <si>
    <t>Itminaan Matka Biryani - Slow Cooked</t>
  </si>
  <si>
    <t>Biryani, North Indian, Mughlai</t>
  </si>
  <si>
    <t>SWG1111</t>
  </si>
  <si>
    <t>SWG1112</t>
  </si>
  <si>
    <t>Moussestruck</t>
  </si>
  <si>
    <t>Ice Cream, Desserts, Sweets</t>
  </si>
  <si>
    <t>SWG1113</t>
  </si>
  <si>
    <t>SWG1114</t>
  </si>
  <si>
    <t>Tiffin Box</t>
  </si>
  <si>
    <t>Biryani, Beverages, North Eastern</t>
  </si>
  <si>
    <t>SWG1115</t>
  </si>
  <si>
    <t>Waffle Cart</t>
  </si>
  <si>
    <t>Desserts, Snacks, Thalis</t>
  </si>
  <si>
    <t>SWG1116</t>
  </si>
  <si>
    <t>Madno - House of Sundaes</t>
  </si>
  <si>
    <t>Ice Cream, Beverages</t>
  </si>
  <si>
    <t>SWG1117</t>
  </si>
  <si>
    <t>Gourmet Ice Cream Cakes by Baskin Robbins</t>
  </si>
  <si>
    <t>Ice Cream Cakes, Desserts, Ice Cream, Bakery</t>
  </si>
  <si>
    <t>SWG1118</t>
  </si>
  <si>
    <t>SWG1119</t>
  </si>
  <si>
    <t>Khana Khazana</t>
  </si>
  <si>
    <t>Indian, Chinese</t>
  </si>
  <si>
    <t>SWG1120</t>
  </si>
  <si>
    <t>Tea Post</t>
  </si>
  <si>
    <t>SWG1121</t>
  </si>
  <si>
    <t>Pizza Hut</t>
  </si>
  <si>
    <t>SWG1122</t>
  </si>
  <si>
    <t>Momo Mia</t>
  </si>
  <si>
    <t>Dheeraj Regancy</t>
  </si>
  <si>
    <t>Chinese, Desserts, Pizzas, Burgers, Pastas, Italian</t>
  </si>
  <si>
    <t>SWG1123</t>
  </si>
  <si>
    <t>Hola Pasta - Fresh Gourmet Pasta</t>
  </si>
  <si>
    <t>Pastas, Italian, Desserts, Beverages</t>
  </si>
  <si>
    <t>SWG1124</t>
  </si>
  <si>
    <t>Libon The Cake Expert</t>
  </si>
  <si>
    <t>SWG1125</t>
  </si>
  <si>
    <t>New York Burrito Company</t>
  </si>
  <si>
    <t>Mexican, American, Continental, Snacks, Beverages, Desserts</t>
  </si>
  <si>
    <t>SWG1126</t>
  </si>
  <si>
    <t>The Fresh Press</t>
  </si>
  <si>
    <t>Beverages, Juices</t>
  </si>
  <si>
    <t>SWG1127</t>
  </si>
  <si>
    <t>Dairy Don</t>
  </si>
  <si>
    <t>Beverages, Desserts</t>
  </si>
  <si>
    <t>SWG1128</t>
  </si>
  <si>
    <t>McCafe by McDonald's</t>
  </si>
  <si>
    <t>American, Beverages, Desserts</t>
  </si>
  <si>
    <t>SWG1129</t>
  </si>
  <si>
    <t>Bhagwati Pav Bhaji</t>
  </si>
  <si>
    <t>Street Food, Chinese, South Indian, North Indian</t>
  </si>
  <si>
    <t>SWG1130</t>
  </si>
  <si>
    <t>Goragandhi Juice Corner &amp; Veg World</t>
  </si>
  <si>
    <t>North Indian, South Indian, Chinese, Indian, Chaat, Fast Food, Maharashtrian, Pizzas, Juices, Mexican, Pastas</t>
  </si>
  <si>
    <t>SWG1131</t>
  </si>
  <si>
    <t>The Waffle Co.</t>
  </si>
  <si>
    <t>Desserts, Waffle</t>
  </si>
  <si>
    <t>SWG1132</t>
  </si>
  <si>
    <t>99 Pancakes</t>
  </si>
  <si>
    <t>Desserts, Beverages</t>
  </si>
  <si>
    <t>SWG1133</t>
  </si>
  <si>
    <t>IDC Kitchen</t>
  </si>
  <si>
    <t>SWG1134</t>
  </si>
  <si>
    <t>Burger Hub</t>
  </si>
  <si>
    <t>Burgers, Snacks, Chinese</t>
  </si>
  <si>
    <t>SWG1135</t>
  </si>
  <si>
    <t>Delights by INOX</t>
  </si>
  <si>
    <t>Snacks</t>
  </si>
  <si>
    <t>SWG1136</t>
  </si>
  <si>
    <t>GLOBO Ice Creams Of The World</t>
  </si>
  <si>
    <t>Ice Cream, Desserts, Bakery</t>
  </si>
  <si>
    <t>SWG1137</t>
  </si>
  <si>
    <t>Go Zero - Guilt Free Ice Creams</t>
  </si>
  <si>
    <t>SWG1138</t>
  </si>
  <si>
    <t>The Momo Factory</t>
  </si>
  <si>
    <t>Tibetan, Chinese, Asian</t>
  </si>
  <si>
    <t>SWG1139</t>
  </si>
  <si>
    <t>Food Adda</t>
  </si>
  <si>
    <t>Burgers, Pizzas, Fast Food, Beverages</t>
  </si>
  <si>
    <t>SWG1140</t>
  </si>
  <si>
    <t>Bhatti Chicken - Grilled, NOT Fried!</t>
  </si>
  <si>
    <t>North Indian, Snacks, Fast Food, Tandoor</t>
  </si>
  <si>
    <t>SWG1141</t>
  </si>
  <si>
    <t>Mehfil by Behrouz</t>
  </si>
  <si>
    <t>Biryani, North Indian, Kebabs, Mughlai, Lucknowi, Hyderabadi, Desserts, Beverages</t>
  </si>
  <si>
    <t>SWG1142</t>
  </si>
  <si>
    <t>Tewari Brothers</t>
  </si>
  <si>
    <t>Snacks, Sweets, North Indian, Beverages, Desserts</t>
  </si>
  <si>
    <t>SWG1143</t>
  </si>
  <si>
    <t>World Of Paratha</t>
  </si>
  <si>
    <t>North Indian, Beverages</t>
  </si>
  <si>
    <t>SWG1144</t>
  </si>
  <si>
    <t>Bhagwati Veg Restaurant</t>
  </si>
  <si>
    <t>North Indian, Chinese, Biryani, South Indian</t>
  </si>
  <si>
    <t>SWG1145</t>
  </si>
  <si>
    <t>Kwality Walls Frozen Dessert and Ice Cream Shop</t>
  </si>
  <si>
    <t>Desserts, Ice Cream, Ice Cream Cakes</t>
  </si>
  <si>
    <t>SWG1146</t>
  </si>
  <si>
    <t>Anand Sweets &amp; Savouries</t>
  </si>
  <si>
    <t>Jog Gor East</t>
  </si>
  <si>
    <t>SWG1147</t>
  </si>
  <si>
    <t>Myfroyoland - Premium Frozen Yogurt</t>
  </si>
  <si>
    <t>Desserts, Ice Cream, Healthy Food</t>
  </si>
  <si>
    <t>SWG1148</t>
  </si>
  <si>
    <t>Sweetish House Mafia</t>
  </si>
  <si>
    <t>SWG1149</t>
  </si>
  <si>
    <t>Natural Ice Cream</t>
  </si>
  <si>
    <t>Avenue Hotel</t>
  </si>
  <si>
    <t>SWG1150</t>
  </si>
  <si>
    <t>Chinese Wok</t>
  </si>
  <si>
    <t>SWG1151</t>
  </si>
  <si>
    <t>The Belgian Waffle Co.</t>
  </si>
  <si>
    <t>Waffle, Desserts, Ice Cream</t>
  </si>
  <si>
    <t>SWG1152</t>
  </si>
  <si>
    <t>Ghar Ki Rasoi</t>
  </si>
  <si>
    <t>SWG1153</t>
  </si>
  <si>
    <t>Mamledar Misal</t>
  </si>
  <si>
    <t>Maharashtrian, Street Food</t>
  </si>
  <si>
    <t>SWG1154</t>
  </si>
  <si>
    <t>Chaayos Chai+Snacks=Relax</t>
  </si>
  <si>
    <t>kandivali east</t>
  </si>
  <si>
    <t>Bakery, Beverages, Chaat, Desserts, Home Food, Italian, Maharashtrian, Snacks, Street Food, Sweets</t>
  </si>
  <si>
    <t>SWG1155</t>
  </si>
  <si>
    <t>The Good Bowl</t>
  </si>
  <si>
    <t>Biryani, North Indian, Pastas, Punjabi, Desserts, Beverages</t>
  </si>
  <si>
    <t>SWG1156</t>
  </si>
  <si>
    <t>BOX8 - Desi Meals</t>
  </si>
  <si>
    <t>North Indian, Biryani, Thalis, Home Food</t>
  </si>
  <si>
    <t>SWG1157</t>
  </si>
  <si>
    <t>Behrouz Biryani</t>
  </si>
  <si>
    <t>SWG1158</t>
  </si>
  <si>
    <t>Faasos - Wraps, Rolls &amp; Shawarma</t>
  </si>
  <si>
    <t>Kebabs, Fast Food, Snacks, North Indian, American, Healthy Food, Desserts, Beverages</t>
  </si>
  <si>
    <t>SWG1159</t>
  </si>
  <si>
    <t>LunchBox - Meals and Thalis</t>
  </si>
  <si>
    <t>Biryani, North Indian, Punjabi, Healthy Food, Desserts, Beverages</t>
  </si>
  <si>
    <t>SWG1160</t>
  </si>
  <si>
    <t>Subway</t>
  </si>
  <si>
    <t>Salads, Snacks, Desserts, Beverages</t>
  </si>
  <si>
    <t>SWG1161</t>
  </si>
  <si>
    <t>Mohanlal S Mithaiwala</t>
  </si>
  <si>
    <t>Sweets, Desserts, Snacks</t>
  </si>
  <si>
    <t>SWG1162</t>
  </si>
  <si>
    <t>Parsi Dairy Farm</t>
  </si>
  <si>
    <t>SWG1163</t>
  </si>
  <si>
    <t>Adarsh</t>
  </si>
  <si>
    <t>Snacks, Sweets, Bakery</t>
  </si>
  <si>
    <t>SWG1164</t>
  </si>
  <si>
    <t>Mama Mia! - Italian Ice Creams &amp; Cakes</t>
  </si>
  <si>
    <t>Bakery, Desserts, Ice Cream</t>
  </si>
  <si>
    <t>SWG1165</t>
  </si>
  <si>
    <t>Trishiv Chinese Corner</t>
  </si>
  <si>
    <t>Chinese, Fast Food, Street Food, North Indian</t>
  </si>
  <si>
    <t>SWG1166</t>
  </si>
  <si>
    <t>Baskin Robbins - Ice Cream Desserts</t>
  </si>
  <si>
    <t>SWG1167</t>
  </si>
  <si>
    <t>Wagh Bakri Tea Lounge</t>
  </si>
  <si>
    <t>Beverages, Snacks, Fast Food, Street Food, Desserts</t>
  </si>
  <si>
    <t>SWG1168</t>
  </si>
  <si>
    <t>Chitale Xpress</t>
  </si>
  <si>
    <t>SWG1169</t>
  </si>
  <si>
    <t>Cheesecakes By CakeZone</t>
  </si>
  <si>
    <t>L T Road Junction</t>
  </si>
  <si>
    <t>Bakery, Desserts, Sweets, Beverages, Ice Cream, Juices, Bengali</t>
  </si>
  <si>
    <t>SWG1170</t>
  </si>
  <si>
    <t>Birdy's Cake Shop</t>
  </si>
  <si>
    <t>Malad East</t>
  </si>
  <si>
    <t>SWG1171</t>
  </si>
  <si>
    <t>Jeden-The Cake Expert</t>
  </si>
  <si>
    <t>Desserts, Bakery, Sweets</t>
  </si>
  <si>
    <t>SWG1172</t>
  </si>
  <si>
    <t>Iceberg Organic Icecreams</t>
  </si>
  <si>
    <t>SWG1173</t>
  </si>
  <si>
    <t>Oven Story Pizza - Standout Toppings</t>
  </si>
  <si>
    <t>SWG1174</t>
  </si>
  <si>
    <t>Ovenfresh Cakes And Desserts</t>
  </si>
  <si>
    <t>Bakery, Desserts, Beverages, Ice Cream, Sweets, Juices, Bengali, Pizzas</t>
  </si>
  <si>
    <t>SWG1175</t>
  </si>
  <si>
    <t>Vadilal Ice Creams</t>
  </si>
  <si>
    <t>SWG1176</t>
  </si>
  <si>
    <t>Amore Gelato - Italian Ice Cream</t>
  </si>
  <si>
    <t>SWG1177</t>
  </si>
  <si>
    <t>Burger King</t>
  </si>
  <si>
    <t>Burgers, American</t>
  </si>
  <si>
    <t>SWG1178</t>
  </si>
  <si>
    <t>ITC Fabelle Chocolates</t>
  </si>
  <si>
    <t>SWG1179</t>
  </si>
  <si>
    <t>Mad Over Donuts</t>
  </si>
  <si>
    <t>Desserts, Sweets, Bakery</t>
  </si>
  <si>
    <t>SWG1180</t>
  </si>
  <si>
    <t>Frozen Bottle - Milkshakes, Desserts And Ice Cream</t>
  </si>
  <si>
    <t>Beverages, Desserts, Ice Cream, Waffle, Bakery, Healthy Food</t>
  </si>
  <si>
    <t>SWG1181</t>
  </si>
  <si>
    <t>Gianis - Ice Cream, Shakes &amp; Sundaes</t>
  </si>
  <si>
    <t>Ice Cream, Bakery, Beverages</t>
  </si>
  <si>
    <t>SWG1182</t>
  </si>
  <si>
    <t>Tibb's Frankie</t>
  </si>
  <si>
    <t>Snacks, Biryani, North Indian, Mexican, Beverages</t>
  </si>
  <si>
    <t>SWG1183</t>
  </si>
  <si>
    <t>The Biryani Life</t>
  </si>
  <si>
    <t>Biryani, Mughlai, Lucknowi, Hyderabadi, North Indian, Kebabs, Desserts, Beverages</t>
  </si>
  <si>
    <t>SWG1184</t>
  </si>
  <si>
    <t>Sweet Truth - Cake and Desserts</t>
  </si>
  <si>
    <t>Snacks, Bakery, Desserts, Beverages</t>
  </si>
  <si>
    <t>SWG1185</t>
  </si>
  <si>
    <t>Cafe Coffee Day</t>
  </si>
  <si>
    <t>Beverages, Cafe, Snacks, Desserts, Burgers, Ice Cream, Bakery, Fast Food</t>
  </si>
  <si>
    <t>SWG1186</t>
  </si>
  <si>
    <t>Firangi Bake</t>
  </si>
  <si>
    <t>Pizzas, Pastas, Italian, Mexican, Healthy Food, Desserts, Beverages</t>
  </si>
  <si>
    <t>SWG1187</t>
  </si>
  <si>
    <t>Apsara Ice Creams</t>
  </si>
  <si>
    <t>SWG1188</t>
  </si>
  <si>
    <t>Great Indian Khichdi by EatFit</t>
  </si>
  <si>
    <t>Gorai Road</t>
  </si>
  <si>
    <t>Home Food, Indian, North Indian, Healthy Food, Snacks, Desserts, Rajasthani, South Indian, Maharashtrian, Sweets</t>
  </si>
  <si>
    <t>SWG1189</t>
  </si>
  <si>
    <t>Wendy's</t>
  </si>
  <si>
    <t>Burgers, American, Fast Food, Snacks, Beverages</t>
  </si>
  <si>
    <t>SWG1190</t>
  </si>
  <si>
    <t>Keventers - Milkshakes &amp; Desserts</t>
  </si>
  <si>
    <t>Beverages, Ice Cream, Desserts, Healthy Food</t>
  </si>
  <si>
    <t>SWG1191</t>
  </si>
  <si>
    <t>Green Therapy Co.</t>
  </si>
  <si>
    <t>Healthy Food, Juices, Beverages</t>
  </si>
  <si>
    <t>SWG1192</t>
  </si>
  <si>
    <t>FreshMenu</t>
  </si>
  <si>
    <t>Goregaon East</t>
  </si>
  <si>
    <t>Continental, Chinese, Oriental, Asian, Healthy Food, Fast Food, Indian, Desserts</t>
  </si>
  <si>
    <t>SWG1193</t>
  </si>
  <si>
    <t>Lucky Restaurant (Since 1938)</t>
  </si>
  <si>
    <t>Biryani, North Indian, Chinese, Mughlai, Seafood, Desserts, Tandoor, Punjabi, Indian</t>
  </si>
  <si>
    <t>SWG1194</t>
  </si>
  <si>
    <t>The Paratha House</t>
  </si>
  <si>
    <t>North Indian, Indian</t>
  </si>
  <si>
    <t>SWG1195</t>
  </si>
  <si>
    <t>Rabdi Wala</t>
  </si>
  <si>
    <t>Desserts, Gujarati, Rajasthani, Snacks</t>
  </si>
  <si>
    <t>SWG1196</t>
  </si>
  <si>
    <t>Ladu Samrat</t>
  </si>
  <si>
    <t>Maharashtrian, Snacks, Street Food, Indian, Desserts, Chaat</t>
  </si>
  <si>
    <t>SWG1197</t>
  </si>
  <si>
    <t>Greens Restaurant</t>
  </si>
  <si>
    <t>North Indian, Chinese, South Indian</t>
  </si>
  <si>
    <t>SWG1198</t>
  </si>
  <si>
    <t>Chocolateria San Churro</t>
  </si>
  <si>
    <t>SWG1199</t>
  </si>
  <si>
    <t>The Churro Co.</t>
  </si>
  <si>
    <t>Desserts, Beverages, Waffle</t>
  </si>
  <si>
    <t>SWG1200</t>
  </si>
  <si>
    <t>The Dough Therapy</t>
  </si>
  <si>
    <t>Pizzas, Pastas, Italian</t>
  </si>
  <si>
    <t>SWG1201</t>
  </si>
  <si>
    <t>Barbeque Nation</t>
  </si>
  <si>
    <t>North Indian, Barbecue, Biryani, Kebabs, Mughlai, Desserts</t>
  </si>
  <si>
    <t>SWG1202</t>
  </si>
  <si>
    <t>Aromas Cafe &amp; Bistro</t>
  </si>
  <si>
    <t>Continental, Italian, Lebanese, Beverages</t>
  </si>
  <si>
    <t>SWG1203</t>
  </si>
  <si>
    <t>Chai Pe Charcha</t>
  </si>
  <si>
    <t>SWG1204</t>
  </si>
  <si>
    <t>Cremure</t>
  </si>
  <si>
    <t>Bakery, Desserts, Waffle, Beverages</t>
  </si>
  <si>
    <t>SWG1205</t>
  </si>
  <si>
    <t>EatFit</t>
  </si>
  <si>
    <t>Chinese, Healthy Food, Tandoor, Pizzas, North Indian, Thalis, Biryani</t>
  </si>
  <si>
    <t>SWG1206</t>
  </si>
  <si>
    <t>Biryani Can - Pure Veg Biryanis</t>
  </si>
  <si>
    <t>SWG1207</t>
  </si>
  <si>
    <t>Cheelizza - India ka Pizza</t>
  </si>
  <si>
    <t>Pizzas, Italian, Fast Food</t>
  </si>
  <si>
    <t>SWG1208</t>
  </si>
  <si>
    <t>Bake Ur Day - Freshest Cakes</t>
  </si>
  <si>
    <t>Desserts, Bakery, Cakes and Pastries, Beverages</t>
  </si>
  <si>
    <t>SWG1209</t>
  </si>
  <si>
    <t>Radha Krishna</t>
  </si>
  <si>
    <t>SWG1210</t>
  </si>
  <si>
    <t>Amar Juice Center</t>
  </si>
  <si>
    <t>Street Food, Beverages, South Indian</t>
  </si>
  <si>
    <t>SWG1211</t>
  </si>
  <si>
    <t>MM Mithaiwala</t>
  </si>
  <si>
    <t>Sweets, Snacks, Desserts, Beverages</t>
  </si>
  <si>
    <t>SWG1212</t>
  </si>
  <si>
    <t>Haldiram's Restaurant</t>
  </si>
  <si>
    <t>Snacks, South Indian, Desserts, Beverages</t>
  </si>
  <si>
    <t>SWG1213</t>
  </si>
  <si>
    <t>Taco Bell</t>
  </si>
  <si>
    <t>Mexican</t>
  </si>
  <si>
    <t>SWG1214</t>
  </si>
  <si>
    <t>Wow! Momo</t>
  </si>
  <si>
    <t>Tibetan, Healthy Food, Asian, Chinese, Snacks, Continental, Desserts, Beverages</t>
  </si>
  <si>
    <t>SWG1215</t>
  </si>
  <si>
    <t>Bangalore Iyangar's Bakery</t>
  </si>
  <si>
    <t>SWG1216</t>
  </si>
  <si>
    <t>Dum Safar Biryani by Barbeque Nation</t>
  </si>
  <si>
    <t>GROWELS MALL</t>
  </si>
  <si>
    <t>Biryani, Kebabs, Tandoor, Indian, Desserts</t>
  </si>
  <si>
    <t>SWG1217</t>
  </si>
  <si>
    <t>Wow! China</t>
  </si>
  <si>
    <t>Akruli Road</t>
  </si>
  <si>
    <t>SWG1218</t>
  </si>
  <si>
    <t>Malgudi</t>
  </si>
  <si>
    <t>South Indian, Mangalorean, Andhra, Snacks, Healthy Food</t>
  </si>
  <si>
    <t>SWG1219</t>
  </si>
  <si>
    <t>Oye Kiddan</t>
  </si>
  <si>
    <t>SWG1220</t>
  </si>
  <si>
    <t>Sbarro - New York Pizza</t>
  </si>
  <si>
    <t>Italian, Pizzas, Desserts, Beverages</t>
  </si>
  <si>
    <t>SWG1221</t>
  </si>
  <si>
    <t>Cookie Man</t>
  </si>
  <si>
    <t>Desserts, Ice Cream, Bakery</t>
  </si>
  <si>
    <t>SWG1222</t>
  </si>
  <si>
    <t>Pop Tate's</t>
  </si>
  <si>
    <t>Continental, Italian, European, Mexican</t>
  </si>
  <si>
    <t>SWG1223</t>
  </si>
  <si>
    <t>Shiv Sagar</t>
  </si>
  <si>
    <t>Mahavir Nagar</t>
  </si>
  <si>
    <t>Indian, Continental, Chinese</t>
  </si>
  <si>
    <t>SWG1224</t>
  </si>
  <si>
    <t>Urban Tadka</t>
  </si>
  <si>
    <t>SWG1225</t>
  </si>
  <si>
    <t>Uncle's Kitchen (Since 1987)</t>
  </si>
  <si>
    <t>Chinese, Asian, Thai</t>
  </si>
  <si>
    <t>SWG1226</t>
  </si>
  <si>
    <t>Bikaji Food Junxon</t>
  </si>
  <si>
    <t>SWG1227</t>
  </si>
  <si>
    <t>Rajubhai Dhoklawala</t>
  </si>
  <si>
    <t>Sweets, Desserts, Gujarati, Snacks</t>
  </si>
  <si>
    <t>SWG1228</t>
  </si>
  <si>
    <t>Deepak (Borivali)</t>
  </si>
  <si>
    <t>Indian, Chinese, South Indian, Snacks</t>
  </si>
  <si>
    <t>SWG1229</t>
  </si>
  <si>
    <t>Godwa</t>
  </si>
  <si>
    <t>Malad Borivali Area</t>
  </si>
  <si>
    <t>American, Beverages, Thalis</t>
  </si>
  <si>
    <t>SWG1230</t>
  </si>
  <si>
    <t>Radha Krishna (Borivali)</t>
  </si>
  <si>
    <t>Indian, Chinese, South Indian, Mexican, Italian</t>
  </si>
  <si>
    <t>SWG1231</t>
  </si>
  <si>
    <t>Tulsi Vihar</t>
  </si>
  <si>
    <t>North Indian, Chinese, South Indian, Beverages</t>
  </si>
  <si>
    <t>SWG1232</t>
  </si>
  <si>
    <t>Smokin Curries</t>
  </si>
  <si>
    <t>Biryani, Indian, North Indian, Tandoor, Kebabs, Fast Food, Desserts, Beverages</t>
  </si>
  <si>
    <t>SWG1233</t>
  </si>
  <si>
    <t>The Food Studio Kitchen &amp; Bar</t>
  </si>
  <si>
    <t>North Indian, Continental, Asian, Punjabi, Chinese, Italian, Mughlai</t>
  </si>
  <si>
    <t>SWG1234</t>
  </si>
  <si>
    <t>Bhavesh Chinese</t>
  </si>
  <si>
    <t>SWG1235</t>
  </si>
  <si>
    <t>Spukies - The Veg Sigree</t>
  </si>
  <si>
    <t>North Indian, Jain, Chinese, South Indian</t>
  </si>
  <si>
    <t>SWG1236</t>
  </si>
  <si>
    <t>Agri Malhari Katta</t>
  </si>
  <si>
    <t>SWG1237</t>
  </si>
  <si>
    <t>Zaika Fun Dining | Club Aquaria</t>
  </si>
  <si>
    <t>North Indian, Chinese, Biryani, Continental</t>
  </si>
  <si>
    <t>SWG1238</t>
  </si>
  <si>
    <t>Pishu's - Drink Your Fruit</t>
  </si>
  <si>
    <t>Juices, Beverages, Healthy Food</t>
  </si>
  <si>
    <t>SWG1239</t>
  </si>
  <si>
    <t>Madhuram Sweets &amp; Chaat</t>
  </si>
  <si>
    <t>Dahisar</t>
  </si>
  <si>
    <t>SWG1240</t>
  </si>
  <si>
    <t>Cosway</t>
  </si>
  <si>
    <t>PG Road</t>
  </si>
  <si>
    <t>Chinese, North Indian, Indian</t>
  </si>
  <si>
    <t>SWG1241</t>
  </si>
  <si>
    <t>Kansar Pure Veg Thali</t>
  </si>
  <si>
    <t>Chikoowadi</t>
  </si>
  <si>
    <t>Thalis</t>
  </si>
  <si>
    <t>SWG1242</t>
  </si>
  <si>
    <t>Jain SubKuchh Food Plaza</t>
  </si>
  <si>
    <t>Street Food, North Indian, Chinese, Desserts, South Indian</t>
  </si>
  <si>
    <t>SWG1243</t>
  </si>
  <si>
    <t>Pangat (Gorai)</t>
  </si>
  <si>
    <t>Indian, Chinese, Malwani, Seafood, Kebabs, Biryani, Maharashtrian</t>
  </si>
  <si>
    <t>SWG1244</t>
  </si>
  <si>
    <t>Shenoy's</t>
  </si>
  <si>
    <t>Fast Food, Snacks, Chinese, Chaat</t>
  </si>
  <si>
    <t>SWG1245</t>
  </si>
  <si>
    <t>Surmai Restaurant</t>
  </si>
  <si>
    <t>Seafood, Indian, Chinese</t>
  </si>
  <si>
    <t>SWG1246</t>
  </si>
  <si>
    <t>Qutuz Irani Cafe</t>
  </si>
  <si>
    <t>Chincholi Bunder Road</t>
  </si>
  <si>
    <t>SWG1247</t>
  </si>
  <si>
    <t>Anda Apna Apna</t>
  </si>
  <si>
    <t>SWG1248</t>
  </si>
  <si>
    <t>Shreeji Pure Veg</t>
  </si>
  <si>
    <t>Indian, South Indian, Chinese, Desserts, Beverages</t>
  </si>
  <si>
    <t>SWG1249</t>
  </si>
  <si>
    <t>Sai Veg World</t>
  </si>
  <si>
    <t>SWG1250</t>
  </si>
  <si>
    <t>Baba Falooda</t>
  </si>
  <si>
    <t>Mira Road</t>
  </si>
  <si>
    <t>SWG1251</t>
  </si>
  <si>
    <t>Persia Darbar</t>
  </si>
  <si>
    <t>North Indian, Biryani, Chinese, Arabian, Mughlai</t>
  </si>
  <si>
    <t>SWG1252</t>
  </si>
  <si>
    <t>CakeZone</t>
  </si>
  <si>
    <t>Bakery, Desserts, Sweets, Ice Cream</t>
  </si>
  <si>
    <t>SWG1253</t>
  </si>
  <si>
    <t>Bikkgane Biryani</t>
  </si>
  <si>
    <t>Biryani, Hyderabadi, Andhra, South Indian, North Indian, Mughlai, Kebabs</t>
  </si>
  <si>
    <t>SWG1254</t>
  </si>
  <si>
    <t>Chai Point</t>
  </si>
  <si>
    <t>Bakery, Beverages, Maharashtrian, Snacks, Street Food, South Indian, Punjabi, Chaat, Indian, American, North Indian, Fast Food, Desserts, Cafe, Healthy Food, Home Food</t>
  </si>
  <si>
    <t>SWG1255</t>
  </si>
  <si>
    <t>Biryani By Kilo</t>
  </si>
  <si>
    <t>Biryani, Hyderabadi, North Indian, Kebabs, Mughlai, Desserts</t>
  </si>
  <si>
    <t>SWG1256</t>
  </si>
  <si>
    <t>Curry Mantra</t>
  </si>
  <si>
    <t>Indian, Chinese, Tandoor, Biryani, Mangalorean, Malwani, Kerala, Goan, Chettinad, Mughlai, Seafood</t>
  </si>
  <si>
    <t>SWG1257</t>
  </si>
  <si>
    <t>Oye Teri - The Kulcha Kulture</t>
  </si>
  <si>
    <t>SWG1258</t>
  </si>
  <si>
    <t>Noorani Restaurant</t>
  </si>
  <si>
    <t>Chinese, North Indian</t>
  </si>
  <si>
    <t>SWG1259</t>
  </si>
  <si>
    <t>Cheesecake &amp; Co.</t>
  </si>
  <si>
    <t>SWG1260</t>
  </si>
  <si>
    <t>Smoor</t>
  </si>
  <si>
    <t>I C Colony</t>
  </si>
  <si>
    <t>Desserts, Bakery, Beverages</t>
  </si>
  <si>
    <t>SWG1261</t>
  </si>
  <si>
    <t>HRX by EatFit</t>
  </si>
  <si>
    <t>Healthy Food, Salads, Keto</t>
  </si>
  <si>
    <t>SWG1262</t>
  </si>
  <si>
    <t>Shahi Darbar</t>
  </si>
  <si>
    <t>Beverages, Desserts, Ice Cream</t>
  </si>
  <si>
    <t>SWG1263</t>
  </si>
  <si>
    <t>Gomantak</t>
  </si>
  <si>
    <t>Indian, Seafood, Tandoor, Malwani, Chinese</t>
  </si>
  <si>
    <t>SWG1264</t>
  </si>
  <si>
    <t>Cafe Heaven</t>
  </si>
  <si>
    <t>Mughlai, Chinese, Tandoor, Indian</t>
  </si>
  <si>
    <t>SWG1265</t>
  </si>
  <si>
    <t>Landmark Restaurant Veg Diet</t>
  </si>
  <si>
    <t>North Indian, Chinese, Continental, Beverages</t>
  </si>
  <si>
    <t>SWG1266</t>
  </si>
  <si>
    <t>Supermani</t>
  </si>
  <si>
    <t>South Indian, Biryani, Fast Food, Snacks</t>
  </si>
  <si>
    <t>SWG1267</t>
  </si>
  <si>
    <t>Aahar-E-Kolkata</t>
  </si>
  <si>
    <t>Bengali, Thalis, Biryani, Desserts</t>
  </si>
  <si>
    <t>SWG1268</t>
  </si>
  <si>
    <t>Suraj Lama Momos</t>
  </si>
  <si>
    <t>SWG1269</t>
  </si>
  <si>
    <t>Charcoal Bistro</t>
  </si>
  <si>
    <t>SWG1270</t>
  </si>
  <si>
    <t>The Tiny Tub</t>
  </si>
  <si>
    <t>Desserts, Bakery, Sweets, Snacks, Cafe</t>
  </si>
  <si>
    <t>SWG1271</t>
  </si>
  <si>
    <t xml:space="preserve">DIMSUM WU (Chinese, Momo, Shushi &amp; more) </t>
  </si>
  <si>
    <t>Pan-Asian, Indonesian, Thai, Chinese, Desserts</t>
  </si>
  <si>
    <t>SWG1272</t>
  </si>
  <si>
    <t>Kolkata Heshel</t>
  </si>
  <si>
    <t>SWG1273</t>
  </si>
  <si>
    <t>Social</t>
  </si>
  <si>
    <t>North Indian, Chinese, Fast Food, Biryani, Pizzas, Salads, Kebabs, Juices, Desserts, Beverages</t>
  </si>
  <si>
    <t>SWG1274</t>
  </si>
  <si>
    <t>Ohhdaily - Healthy &amp; Homely Tiffins</t>
  </si>
  <si>
    <t>Thalis, Indian, Home Food, Chinese</t>
  </si>
  <si>
    <t>SWG1275</t>
  </si>
  <si>
    <t>Harvest Salad Co</t>
  </si>
  <si>
    <t>Road Ramachandra Lbe</t>
  </si>
  <si>
    <t>Salads, Healthy Food, Snacks</t>
  </si>
  <si>
    <t>SWG1276</t>
  </si>
  <si>
    <t>Maiz Mexican Kitchen</t>
  </si>
  <si>
    <t>Mexican, Indian, Salads</t>
  </si>
  <si>
    <t>SWG1277</t>
  </si>
  <si>
    <t>Veg Sutra</t>
  </si>
  <si>
    <t>Goregaon</t>
  </si>
  <si>
    <t>North Indian, Chinese</t>
  </si>
  <si>
    <t>SWG1278</t>
  </si>
  <si>
    <t>Balaji Snacks</t>
  </si>
  <si>
    <t>Snacks, Chaat, South Indian</t>
  </si>
  <si>
    <t>SWG1279</t>
  </si>
  <si>
    <t>Shree Krishna</t>
  </si>
  <si>
    <t>Indian, Chinese, North Indian, Tandoor, Seafood, Biryani</t>
  </si>
  <si>
    <t>SWG1280</t>
  </si>
  <si>
    <t>Speak Burgers by Vicky Ratnani</t>
  </si>
  <si>
    <t>Burgers, American, Beverages</t>
  </si>
  <si>
    <t>SWG1281</t>
  </si>
  <si>
    <t>Spicy Bowl</t>
  </si>
  <si>
    <t>Chinese, Biryani, North Indian, Tandoor, Beverages</t>
  </si>
  <si>
    <t>SWG1282</t>
  </si>
  <si>
    <t>Fire Bowl</t>
  </si>
  <si>
    <t>Chinese, Italian, Mexican, Thai</t>
  </si>
  <si>
    <t>SWG1283</t>
  </si>
  <si>
    <t>Falafel's</t>
  </si>
  <si>
    <t>Lebanese, Mediterranean, Arabian, Middle Eastern, Rolls &amp; Wraps, Jain</t>
  </si>
  <si>
    <t>SWG1284</t>
  </si>
  <si>
    <t>The Pancake Story</t>
  </si>
  <si>
    <t>SWG1285</t>
  </si>
  <si>
    <t>Baithack Taste of Kulhad</t>
  </si>
  <si>
    <t>Beverages, Fast Food, Snacks</t>
  </si>
  <si>
    <t>SWG1286</t>
  </si>
  <si>
    <t>Curry Culture</t>
  </si>
  <si>
    <t>Biryani, North Indian, Kebabs, Malwani, Chinese, Seafood, Asian, Thai, Mughlai, Indian, Desserts, Tandoor</t>
  </si>
  <si>
    <t>SWG1287</t>
  </si>
  <si>
    <t>Foodaholic</t>
  </si>
  <si>
    <t>SWG1288</t>
  </si>
  <si>
    <t>The Bar Stock Exchange</t>
  </si>
  <si>
    <t>North Indian, Biryani, Chinese, Asian, Kebabs, Italian</t>
  </si>
  <si>
    <t>SWG1289</t>
  </si>
  <si>
    <t>Punjabi Grill</t>
  </si>
  <si>
    <t>Punjabi, Combo, Tandoor, Snacks, Chinese, Biryani</t>
  </si>
  <si>
    <t>SWG1290</t>
  </si>
  <si>
    <t>Bandra Cakery by Bunty Mahajan</t>
  </si>
  <si>
    <t>SWG1291</t>
  </si>
  <si>
    <t>Krishna Lunch Home</t>
  </si>
  <si>
    <t>North Indian, Indian, Tandoor, Seafood</t>
  </si>
  <si>
    <t>SWG1292</t>
  </si>
  <si>
    <t>Fried Nation</t>
  </si>
  <si>
    <t>Fast Food, American</t>
  </si>
  <si>
    <t>SWG1293</t>
  </si>
  <si>
    <t>Cake Works</t>
  </si>
  <si>
    <t>SWG1294</t>
  </si>
  <si>
    <t>Meraki</t>
  </si>
  <si>
    <t>SWG1295</t>
  </si>
  <si>
    <t>Dale's Eden Cake Shop</t>
  </si>
  <si>
    <t>SWG1296</t>
  </si>
  <si>
    <t>Banana Leaf</t>
  </si>
  <si>
    <t>South Indian, Snacks, Andhra</t>
  </si>
  <si>
    <t>SWG1297</t>
  </si>
  <si>
    <t>House of Biryan- Biryani, Kepsa and More</t>
  </si>
  <si>
    <t>Biryani, Kebabs, Rolls</t>
  </si>
  <si>
    <t>SWG1298</t>
  </si>
  <si>
    <t>Brijwasi Sweets Original Since 1946</t>
  </si>
  <si>
    <t>Sweets, Snacks, Chaat, Beverages, Indian</t>
  </si>
  <si>
    <t>SWG1299</t>
  </si>
  <si>
    <t>Deliciae by Bunty Mahajan</t>
  </si>
  <si>
    <t>SWG1300</t>
  </si>
  <si>
    <t>Sahara Restaurant</t>
  </si>
  <si>
    <t>North Indian, Chinese, Tandoor, Biryani</t>
  </si>
  <si>
    <t>SWG1301</t>
  </si>
  <si>
    <t>Copper Chimney</t>
  </si>
  <si>
    <t>North Indian, Indian, Punjabi, Biryani, Tandoor, Kebabs, Mughlai, Desserts</t>
  </si>
  <si>
    <t>SWG1302</t>
  </si>
  <si>
    <t>Jimis Burger</t>
  </si>
  <si>
    <t>American</t>
  </si>
  <si>
    <t>SWG1303</t>
  </si>
  <si>
    <t>Sadak Chaap</t>
  </si>
  <si>
    <t>Tandoor, Indian, Snacks</t>
  </si>
  <si>
    <t>SWG1304</t>
  </si>
  <si>
    <t>Jamai Shoshthi</t>
  </si>
  <si>
    <t>Bengali, Biryani, Mughlai</t>
  </si>
  <si>
    <t>SWG1305</t>
  </si>
  <si>
    <t>Carter's Blue</t>
  </si>
  <si>
    <t>Indian, Chinese, Lebanese</t>
  </si>
  <si>
    <t>SWG1306</t>
  </si>
  <si>
    <t>Hotel Ram Krishna</t>
  </si>
  <si>
    <t>SWG1307</t>
  </si>
  <si>
    <t>Delicacy</t>
  </si>
  <si>
    <t>SWG1308</t>
  </si>
  <si>
    <t>5 Spice</t>
  </si>
  <si>
    <t>Chinese, Asian, Thai, Seafood</t>
  </si>
  <si>
    <t>SWG1309</t>
  </si>
  <si>
    <t>BOMBAY JUICE</t>
  </si>
  <si>
    <t xml:space="preserve"> Ratna bhai chawk saibaba Nagar, borivali west</t>
  </si>
  <si>
    <t>Juices, Beverages, Salads</t>
  </si>
  <si>
    <t>SWG1310</t>
  </si>
  <si>
    <t>Bombay Sweet Shop</t>
  </si>
  <si>
    <t>Desserts, Sweets, Bakery, Snacks, Indian</t>
  </si>
  <si>
    <t>SWG1311</t>
  </si>
  <si>
    <t>Balaji Pure Veg</t>
  </si>
  <si>
    <t>Chinese, South Indian</t>
  </si>
  <si>
    <t>SWG1312</t>
  </si>
  <si>
    <t>Fuel Up</t>
  </si>
  <si>
    <t>Healthy Food, Salads, Juices, Grill, American, Continental</t>
  </si>
  <si>
    <t>SWG1313</t>
  </si>
  <si>
    <t>Meal Bowl</t>
  </si>
  <si>
    <t>Goregaon West</t>
  </si>
  <si>
    <t>SWG1314</t>
  </si>
  <si>
    <t>The French Connection</t>
  </si>
  <si>
    <t>Bakery, Snacks, Italian</t>
  </si>
  <si>
    <t>SWG1315</t>
  </si>
  <si>
    <t>Madrasi Kaapi House</t>
  </si>
  <si>
    <t>Evershine Millenium Paradise</t>
  </si>
  <si>
    <t>South Indian, Combo, Beverages</t>
  </si>
  <si>
    <t>SWG1316</t>
  </si>
  <si>
    <t>Singarawala</t>
  </si>
  <si>
    <t>Bengali, Mughlai, Biryani, Thalis</t>
  </si>
  <si>
    <t>SWG1317</t>
  </si>
  <si>
    <t>Shivam Sundaram</t>
  </si>
  <si>
    <t>Express Highway</t>
  </si>
  <si>
    <t>SWG1318</t>
  </si>
  <si>
    <t>DBW - De Burger World</t>
  </si>
  <si>
    <t>Burgers, Snacks, Beverages</t>
  </si>
  <si>
    <t>SWG1319</t>
  </si>
  <si>
    <t>The Biryani Story</t>
  </si>
  <si>
    <t>Biryani, Kebabs, Tandoor, Beverages</t>
  </si>
  <si>
    <t>SWG1320</t>
  </si>
  <si>
    <t>Andhra Kodi Pulao</t>
  </si>
  <si>
    <t>Hyderabadi, South Indian, North Indian, Andhra, Kebabs, Mughlai</t>
  </si>
  <si>
    <t>SWG1321</t>
  </si>
  <si>
    <t>Maharaja Bhog</t>
  </si>
  <si>
    <t>Gujarati, Rajasthani, Thalis</t>
  </si>
  <si>
    <t>SWG1322</t>
  </si>
  <si>
    <t>Pizza Caprina</t>
  </si>
  <si>
    <t>Pizzas, Italian-American, Desserts</t>
  </si>
  <si>
    <t>SWG1323</t>
  </si>
  <si>
    <t>Satkar Restaurant</t>
  </si>
  <si>
    <t>Dahisar West</t>
  </si>
  <si>
    <t>Indian, Chinese, Tandoor</t>
  </si>
  <si>
    <t>SWG1324</t>
  </si>
  <si>
    <t>Upwas Uphargruha</t>
  </si>
  <si>
    <t>Rawal Pada</t>
  </si>
  <si>
    <t>SWG1325</t>
  </si>
  <si>
    <t>Eva's Pizza</t>
  </si>
  <si>
    <t>Pizzas, Italian, Salads</t>
  </si>
  <si>
    <t>SWG1326</t>
  </si>
  <si>
    <t>Biryani Culture</t>
  </si>
  <si>
    <t>Asian, Biryani, Chinese, Desserts, Indian, Mughlai, North Indian, Seafood, Tandoor, Thai, Kebabs</t>
  </si>
  <si>
    <t>SWG1327</t>
  </si>
  <si>
    <t>Zaffran</t>
  </si>
  <si>
    <t xml:space="preserve">Andheri Link Road </t>
  </si>
  <si>
    <t>North Indian, Biryani, Indian, Kebabs, Rolls &amp; Wraps</t>
  </si>
  <si>
    <t>SWG1328</t>
  </si>
  <si>
    <t>Home Plate by EatFit</t>
  </si>
  <si>
    <t>North Indian, Home Food, Healthy Food, Indian, Punjabi, South Indian, Rajasthani, Maharashtrian, Snacks, Desserts, Beverages</t>
  </si>
  <si>
    <t>SWG1329</t>
  </si>
  <si>
    <t>The Dessert Heaven - Pure Veg</t>
  </si>
  <si>
    <t>SWG1330</t>
  </si>
  <si>
    <t>Darbhanga Xpress - The Taste of Mithila</t>
  </si>
  <si>
    <t>Indian, Seafood</t>
  </si>
  <si>
    <t>SWG1331</t>
  </si>
  <si>
    <t>Marrakesh</t>
  </si>
  <si>
    <t>Lebanese, North Indian, Kebabs, Desserts, Beverages</t>
  </si>
  <si>
    <t>SWG1332</t>
  </si>
  <si>
    <t>Bowl Soul</t>
  </si>
  <si>
    <t>Indian, Asian, Continental, Pan-Asian, Chinese, Mediterranean, Mexican, Lebanese, North Indian, Korean, Japanese, South Indian</t>
  </si>
  <si>
    <t>SWG1333</t>
  </si>
  <si>
    <t>Olio - The Wood Fired Pizzeria</t>
  </si>
  <si>
    <t>Pizzas, Pastas, Fast Food, Snacks, Beverages</t>
  </si>
  <si>
    <t>SWG1334</t>
  </si>
  <si>
    <t>Barista Coffee</t>
  </si>
  <si>
    <t>Beverages, Snacks, Desserts</t>
  </si>
  <si>
    <t>SWG1335</t>
  </si>
  <si>
    <t>Kailash Parbat</t>
  </si>
  <si>
    <t>SWG1336</t>
  </si>
  <si>
    <t>Chaat Street - Desi Chaat &amp; Chai</t>
  </si>
  <si>
    <t>Snacks, Chaat, Street Food, North Indian, Fast Food</t>
  </si>
  <si>
    <t>SWG1337</t>
  </si>
  <si>
    <t>Suruchi Veg Restaurant</t>
  </si>
  <si>
    <t>North Indian, Chinese, South Indian, Fast Food, Beverages, Biryani</t>
  </si>
  <si>
    <t>SWG1338</t>
  </si>
  <si>
    <t>Oye Paratha House</t>
  </si>
  <si>
    <t>SWG1339</t>
  </si>
  <si>
    <t>Mishra Pan Bhandar</t>
  </si>
  <si>
    <t>Paan, Sweets, Mughlai</t>
  </si>
  <si>
    <t>SWG1340</t>
  </si>
  <si>
    <t>Ebony Casual Diner</t>
  </si>
  <si>
    <t>North Indian, Chinese, Biryani, Tandoor, Seafood</t>
  </si>
  <si>
    <t>SWG1341</t>
  </si>
  <si>
    <t>Golden Dragon Chinese Point</t>
  </si>
  <si>
    <t>90 FT Road</t>
  </si>
  <si>
    <t>SWG1342</t>
  </si>
  <si>
    <t>Surbhi Pure Veg (Thakur Village)</t>
  </si>
  <si>
    <t>Indian, Biryani, Chinese, Snacks, Beverages</t>
  </si>
  <si>
    <t>SWG1343</t>
  </si>
  <si>
    <t>Cafe Cocobroma</t>
  </si>
  <si>
    <t>Cafe, Desserts, Waffle, Beverages, Bakery, Sweets</t>
  </si>
  <si>
    <t>SWG1344</t>
  </si>
  <si>
    <t>Surbhi</t>
  </si>
  <si>
    <t>Indian, Biryani, Chinese, South Indian, Snacks, Desserts, Beverages</t>
  </si>
  <si>
    <t>SWG1345</t>
  </si>
  <si>
    <t>Konark Veg Diet</t>
  </si>
  <si>
    <t>North Indian, Chinese, South Indian, Indian</t>
  </si>
  <si>
    <t>SWG1346</t>
  </si>
  <si>
    <t>Mira Veg Restaurant</t>
  </si>
  <si>
    <t>South Indian, Chinese, North Indian, Fast Food, Indian, Beverages, Street Food</t>
  </si>
  <si>
    <t>SWG1347</t>
  </si>
  <si>
    <t>Aavakay The Andhra Kitchen</t>
  </si>
  <si>
    <t>Andhra, Biryani, Indian, Desserts, Beverages</t>
  </si>
  <si>
    <t>SWG1348</t>
  </si>
  <si>
    <t>Papacream</t>
  </si>
  <si>
    <t>Ice Cream, Healthy Food, Desserts</t>
  </si>
  <si>
    <t>SWG1349</t>
  </si>
  <si>
    <t>Bangalore Iyengar's Bakery</t>
  </si>
  <si>
    <t>SWG1350</t>
  </si>
  <si>
    <t>B Burger - Bigger Burger</t>
  </si>
  <si>
    <t>Malad west</t>
  </si>
  <si>
    <t>Burgers, American, Beverages, Snacks</t>
  </si>
  <si>
    <t>SWG1351</t>
  </si>
  <si>
    <t>Art Of Dum</t>
  </si>
  <si>
    <t>Biryani, North Indian, Kebabs, Indian, Awadhi, Hyderabadi, Mughlai, Desserts, Beverages</t>
  </si>
  <si>
    <t>SWG1352</t>
  </si>
  <si>
    <t>China Box Co</t>
  </si>
  <si>
    <t>SWG1353</t>
  </si>
  <si>
    <t>Mini Punjab</t>
  </si>
  <si>
    <t>SWG1354</t>
  </si>
  <si>
    <t>Dimsum (Momo) Express</t>
  </si>
  <si>
    <t>North Indian, Chinese, Tandoor</t>
  </si>
  <si>
    <t>SWG1355</t>
  </si>
  <si>
    <t>Coco Cafe</t>
  </si>
  <si>
    <t>Cafe, Burgers, American, Italian, Beverages, Desserts, Pastas, Continental</t>
  </si>
  <si>
    <t>SWG1356</t>
  </si>
  <si>
    <t>Al-Baik.Com</t>
  </si>
  <si>
    <t>Fast Food, Pizzas, Burgers, Rolls &amp; Wraps, Snacks</t>
  </si>
  <si>
    <t>SWG1357</t>
  </si>
  <si>
    <t>Foodland</t>
  </si>
  <si>
    <t>Mughlai, North Indian, Chinese, Seafood</t>
  </si>
  <si>
    <t>SWG1358</t>
  </si>
  <si>
    <t>House of Candy</t>
  </si>
  <si>
    <t>Sweets</t>
  </si>
  <si>
    <t>SWG1359</t>
  </si>
  <si>
    <t>Fruit Pop by Eatfit</t>
  </si>
  <si>
    <t>Beverages, Juices, Healthy Food, Desserts</t>
  </si>
  <si>
    <t>SWG1360</t>
  </si>
  <si>
    <t>Artinci - Indulge Guilt Free!</t>
  </si>
  <si>
    <t>Ice Cream, Healthy Food, Keto, Desserts, Snacks, Beverages, Bakery, Sweets</t>
  </si>
  <si>
    <t>SWG1361</t>
  </si>
  <si>
    <t>Taaka Chinese</t>
  </si>
  <si>
    <t>Chinese, Oriental, Asian</t>
  </si>
  <si>
    <t>SWG1362</t>
  </si>
  <si>
    <t>Tandoori Nights</t>
  </si>
  <si>
    <t>Mughlai, Chinese</t>
  </si>
  <si>
    <t>SWG1363</t>
  </si>
  <si>
    <t>Mirch</t>
  </si>
  <si>
    <t>Mughlai, North Indian, Chinese, South Indian</t>
  </si>
  <si>
    <t>SWG1364</t>
  </si>
  <si>
    <t>Banglore Iyengar Bakery</t>
  </si>
  <si>
    <t>Bakery, Snacks</t>
  </si>
  <si>
    <t>SWG1365</t>
  </si>
  <si>
    <t>The Baker's Dozen</t>
  </si>
  <si>
    <t>Bakery, Snacks, Desserts</t>
  </si>
  <si>
    <t>SWG1366</t>
  </si>
  <si>
    <t>Haka</t>
  </si>
  <si>
    <t>Chinese, Asian</t>
  </si>
  <si>
    <t>SWG1367</t>
  </si>
  <si>
    <t>Samosa Singh</t>
  </si>
  <si>
    <t>North Indian, Indian, Snacks, Street Food</t>
  </si>
  <si>
    <t>SWG1368</t>
  </si>
  <si>
    <t>Mainland China</t>
  </si>
  <si>
    <t>SWG1369</t>
  </si>
  <si>
    <t>The Brooklyn Creamery - Healthy Ice Cream</t>
  </si>
  <si>
    <t>SWG1370</t>
  </si>
  <si>
    <t>Ribbons And Balloons - The Cake Shop</t>
  </si>
  <si>
    <t>Imperial Heights</t>
  </si>
  <si>
    <t>Cakes and Pastries, Bakery, Desserts, Ice Cream</t>
  </si>
  <si>
    <t>SWG1371</t>
  </si>
  <si>
    <t>Mom's Kitchen</t>
  </si>
  <si>
    <t>North Indian, Indian, Biryani</t>
  </si>
  <si>
    <t>SWG1372</t>
  </si>
  <si>
    <t>Nomad Pizza- Traveller Series</t>
  </si>
  <si>
    <t>Pizzas, Fast Food, Desserts, Beverages</t>
  </si>
  <si>
    <t>SWG1373</t>
  </si>
  <si>
    <t>Prasuma Momo Kitchen</t>
  </si>
  <si>
    <t>Chinese, Asian, Snacks, Tibetan, Street Food, Japanese, Pan-Asian, Beverages</t>
  </si>
  <si>
    <t>SWG1374</t>
  </si>
  <si>
    <t>The Betel Leaf Co.</t>
  </si>
  <si>
    <t>Paan, Desserts, Indian</t>
  </si>
  <si>
    <t>SWG1375</t>
  </si>
  <si>
    <t>Punjab Grill</t>
  </si>
  <si>
    <t>MALAD WEST</t>
  </si>
  <si>
    <t>North Indian, Kebabs, Biryani, Mughlai</t>
  </si>
  <si>
    <t>SWG1376</t>
  </si>
  <si>
    <t>Asia Kitchen By Mainland China</t>
  </si>
  <si>
    <t>Asian, Japanese, Chinese</t>
  </si>
  <si>
    <t>SWG1377</t>
  </si>
  <si>
    <t>Giani</t>
  </si>
  <si>
    <t>SWG1378</t>
  </si>
  <si>
    <t>PizzaExpress</t>
  </si>
  <si>
    <t>Pizzas, Italian</t>
  </si>
  <si>
    <t>SWG1379</t>
  </si>
  <si>
    <t>Crusto's - Cheese Burst Pizza</t>
  </si>
  <si>
    <t>SWG1380</t>
  </si>
  <si>
    <t>Green Cravings</t>
  </si>
  <si>
    <t>Healthy Food, Fast Food, Grill</t>
  </si>
  <si>
    <t>SWG1381</t>
  </si>
  <si>
    <t>Biryani Badshah</t>
  </si>
  <si>
    <t>SWG1382</t>
  </si>
  <si>
    <t>Naadbramha Idli</t>
  </si>
  <si>
    <t>SWG1383</t>
  </si>
  <si>
    <t>BOSS Burger</t>
  </si>
  <si>
    <t>Burgers, American, Fast Food, Snacks</t>
  </si>
  <si>
    <t>SWG1384</t>
  </si>
  <si>
    <t>Edesia by Freshmenu</t>
  </si>
  <si>
    <t>Desserts, Bakery, Fast Food</t>
  </si>
  <si>
    <t>SWG1385</t>
  </si>
  <si>
    <t>Doner and Gyros</t>
  </si>
  <si>
    <t>Lebanese, Middle Eastern, Healthy Food, Salads, Snacks, American, Desserts, Beverages, Rolls &amp; Wraps, Fast Food</t>
  </si>
  <si>
    <t>SWG1386</t>
  </si>
  <si>
    <t>New York Waffles &amp; Dinges</t>
  </si>
  <si>
    <t>Waffle, Bakery, Desserts, Beverages, Ice Cream</t>
  </si>
  <si>
    <t>SWG1387</t>
  </si>
  <si>
    <t>Vividham Sweets and Dryfruits</t>
  </si>
  <si>
    <t>SWG1388</t>
  </si>
  <si>
    <t>Juno's Pizza by EatFit - Baking Fresh Since 1974</t>
  </si>
  <si>
    <t>Pizzas, Pastas, Jain, Beverages, Desserts, Fast Food</t>
  </si>
  <si>
    <t>SWG1389</t>
  </si>
  <si>
    <t>Starboy Pizza &amp; Shakes</t>
  </si>
  <si>
    <t>Pizzas, Italian, Desserts, Beverages</t>
  </si>
  <si>
    <t>SWG1390</t>
  </si>
  <si>
    <t>SLAY Coffee</t>
  </si>
  <si>
    <t>Cafe, Beverages, Desserts, Snacks, Pastas</t>
  </si>
  <si>
    <t>SWG1391</t>
  </si>
  <si>
    <t>The Sugar Free Keto Kafe - Artinci</t>
  </si>
  <si>
    <t>Ice Cream, Keto, Healthy Food, Sweets, Bakery, Desserts, Snacks</t>
  </si>
  <si>
    <t>SWG1392</t>
  </si>
  <si>
    <t>Cake Walk</t>
  </si>
  <si>
    <t>Indian, Bakery, Waffle, Desserts</t>
  </si>
  <si>
    <t>SWG1393</t>
  </si>
  <si>
    <t>Akkad Bakkad Bombay Boo - AB3</t>
  </si>
  <si>
    <t>Snacks, Fast Food, Pizzas</t>
  </si>
  <si>
    <t>SWG1394</t>
  </si>
  <si>
    <t>The Wafflemeister</t>
  </si>
  <si>
    <t>Desserts, Beverages, Sweets, Ice Cream</t>
  </si>
  <si>
    <t>SWG1395</t>
  </si>
  <si>
    <t>Sanjay Pure Veg</t>
  </si>
  <si>
    <t>Indian, South Indian</t>
  </si>
  <si>
    <t>SWG1396</t>
  </si>
  <si>
    <t>Su-Veg</t>
  </si>
  <si>
    <t>North Indian, Chinese, South Indian, Biryani, Snacks, Beverages</t>
  </si>
  <si>
    <t>SWG1397</t>
  </si>
  <si>
    <t>Harsh Thali and Parathas - Mom Makes, Son Sells</t>
  </si>
  <si>
    <t>North Indian, Thalis, Gujarati, Rajasthani, Jain, Chinese</t>
  </si>
  <si>
    <t>SWG1398</t>
  </si>
  <si>
    <t>Monopoly</t>
  </si>
  <si>
    <t>Italian, Mexican, Continental, Juices, Pizzas, Snacks, Pastas, Beverages</t>
  </si>
  <si>
    <t>SWG1399</t>
  </si>
  <si>
    <t>Hotel Sarvoday</t>
  </si>
  <si>
    <t>SWG1400</t>
  </si>
  <si>
    <t>Maa Anjani Pav Bhaji Centre</t>
  </si>
  <si>
    <t>SWG1401</t>
  </si>
  <si>
    <t>Maharashtra Biryani center</t>
  </si>
  <si>
    <t>SWG1402</t>
  </si>
  <si>
    <t>Jain Dughdalay</t>
  </si>
  <si>
    <t>SWG1403</t>
  </si>
  <si>
    <t>69 Dackers Lane</t>
  </si>
  <si>
    <t>Bengali, Biryani</t>
  </si>
  <si>
    <t>SWG1404</t>
  </si>
  <si>
    <t>Madras Talkies</t>
  </si>
  <si>
    <t>South Indian, Beverages</t>
  </si>
  <si>
    <t>SWG1405</t>
  </si>
  <si>
    <t>Rama's Sweets &amp; Snacks</t>
  </si>
  <si>
    <t>SWG1406</t>
  </si>
  <si>
    <t>Malvan Kinara</t>
  </si>
  <si>
    <t>Akurli Road</t>
  </si>
  <si>
    <t>SWG1407</t>
  </si>
  <si>
    <t>Oye Bihari - Real Taste of Bihar</t>
  </si>
  <si>
    <t>SWG1408</t>
  </si>
  <si>
    <t>DonBuri</t>
  </si>
  <si>
    <t>SWG1409</t>
  </si>
  <si>
    <t>Khichdi Express</t>
  </si>
  <si>
    <t>Indian, North Indian, Home Food, Healthy Food, Snacks, Juices, Beverages</t>
  </si>
  <si>
    <t>SWG1410</t>
  </si>
  <si>
    <t>Keventers Ice Cream</t>
  </si>
  <si>
    <t>SWG1411</t>
  </si>
  <si>
    <t>ENSO - Sourdough Pizza by Nomad</t>
  </si>
  <si>
    <t>Pizzas, Fast Food, Desserts, Salads, Beverages</t>
  </si>
  <si>
    <t>SWG1412</t>
  </si>
  <si>
    <t>Cafe Delhi Heights</t>
  </si>
  <si>
    <t>Italian, American, Indian</t>
  </si>
  <si>
    <t>SWG1413</t>
  </si>
  <si>
    <t>Raja Chinese &amp; Tandoor Corner</t>
  </si>
  <si>
    <t>Chinese, Barbecue</t>
  </si>
  <si>
    <t>SWG1414</t>
  </si>
  <si>
    <t>Su - Swagat</t>
  </si>
  <si>
    <t>North Indian, Chinese, Tandoor, Beverages, Ice Cream, South Indian</t>
  </si>
  <si>
    <t>SWG1415</t>
  </si>
  <si>
    <t>Grand Maratha</t>
  </si>
  <si>
    <t>North Indian, Chinese, Malwani</t>
  </si>
  <si>
    <t>SWG1416</t>
  </si>
  <si>
    <t>Hotel Shree Ramdev</t>
  </si>
  <si>
    <t>South Indian, Punjabi, Indian, Tandoor, Biryani, Chinese</t>
  </si>
  <si>
    <t>SWG1417</t>
  </si>
  <si>
    <t>Dwaraka</t>
  </si>
  <si>
    <t>South Indian, Indian, Chinese, North Indian, Italian</t>
  </si>
  <si>
    <t>SWG1418</t>
  </si>
  <si>
    <t>Paratha Zone</t>
  </si>
  <si>
    <t>BORIVALI</t>
  </si>
  <si>
    <t>North Indian, Snacks, Biryani</t>
  </si>
  <si>
    <t>SWG1419</t>
  </si>
  <si>
    <t>THE CAKE POINT</t>
  </si>
  <si>
    <t>SWG1420</t>
  </si>
  <si>
    <t>Agrawal Sweets</t>
  </si>
  <si>
    <t>North Indian, Snacks</t>
  </si>
  <si>
    <t>SWG1421</t>
  </si>
  <si>
    <t>Kathiyawadi Bhog</t>
  </si>
  <si>
    <t>SWG1422</t>
  </si>
  <si>
    <t>SHREE RAM SWEETS AND FARSAN</t>
  </si>
  <si>
    <t>SWG1423</t>
  </si>
  <si>
    <t>Bhaskar's Puranpoli Ghar</t>
  </si>
  <si>
    <t>Maharashtrian, Gujarati, Mangalorean</t>
  </si>
  <si>
    <t>SWG1424</t>
  </si>
  <si>
    <t>Chaap Theka</t>
  </si>
  <si>
    <t>Biryani, Jain, Tandoor, North Indian</t>
  </si>
  <si>
    <t>SWG1425</t>
  </si>
  <si>
    <t>Biryani Barbeque Chinese (BBC)</t>
  </si>
  <si>
    <t>SWG1426</t>
  </si>
  <si>
    <t>Damru Paan Shop</t>
  </si>
  <si>
    <t>Paan</t>
  </si>
  <si>
    <t>SWG1427</t>
  </si>
  <si>
    <t>Nandu Dosa Dinner</t>
  </si>
  <si>
    <t>SWG1428</t>
  </si>
  <si>
    <t>Nagpal Choley Bhature</t>
  </si>
  <si>
    <t>North Indian, Tandoor, Beverages, Desserts</t>
  </si>
  <si>
    <t>SWG1429</t>
  </si>
  <si>
    <t>The Juice Junction</t>
  </si>
  <si>
    <t>Mahavir Nagar Kandivali West</t>
  </si>
  <si>
    <t>Juices, Beverages</t>
  </si>
  <si>
    <t>SWG1430</t>
  </si>
  <si>
    <t>Nat Khat Pav Bhaji And Snacks Corner</t>
  </si>
  <si>
    <t>North Indian, Fast Food, Snacks</t>
  </si>
  <si>
    <t>SWG1431</t>
  </si>
  <si>
    <t>Mystic Lebanese</t>
  </si>
  <si>
    <t>Arabian, Mediterranean, Lebanese, Turkish</t>
  </si>
  <si>
    <t>SWG1432</t>
  </si>
  <si>
    <t>Amritsari Kulcha Junction (Pure Veg)</t>
  </si>
  <si>
    <t>North Indian, Chaat, Punjabi, Beverages</t>
  </si>
  <si>
    <t>SWG1433</t>
  </si>
  <si>
    <t>South Tiffin House Exclusive</t>
  </si>
  <si>
    <t>South Indian, Street Food, Beverages, Snacks</t>
  </si>
  <si>
    <t>SWG1434</t>
  </si>
  <si>
    <t>Lata Restaurant</t>
  </si>
  <si>
    <t>Indian, Chinese, Mughlai, Biryani, North Indian</t>
  </si>
  <si>
    <t>SWG1435</t>
  </si>
  <si>
    <t>Sandeep Pure Veg</t>
  </si>
  <si>
    <t>Railway Station</t>
  </si>
  <si>
    <t>South Indian, North Indian, Chinese, Street Food</t>
  </si>
  <si>
    <t>SWG1436</t>
  </si>
  <si>
    <t>Sannidhi Family Restaurant (Kandivali Station)</t>
  </si>
  <si>
    <t>Mughlai, North Indian, Chinese, South Indian, Indian, Salads, Desserts, Snacks, Beverages</t>
  </si>
  <si>
    <t>SWG1437</t>
  </si>
  <si>
    <t>Pangat (Dahisar East)</t>
  </si>
  <si>
    <t>Konkan, Chinese, Tandoor, Indian</t>
  </si>
  <si>
    <t>SWG1438</t>
  </si>
  <si>
    <t>Akkad Bakkad Bombay Boom (Mahavir Nagar)</t>
  </si>
  <si>
    <t>Snacks, Italian</t>
  </si>
  <si>
    <t>SWG1439</t>
  </si>
  <si>
    <t>Ganesh Snack &amp; Juice Corner</t>
  </si>
  <si>
    <t>Fast Food, Chaat</t>
  </si>
  <si>
    <t>SWG1440</t>
  </si>
  <si>
    <t>Sonu's Chinese Corner</t>
  </si>
  <si>
    <t>SWG1441</t>
  </si>
  <si>
    <t>Radha Restaurant</t>
  </si>
  <si>
    <t>South Indian, Chinese, Snacks, Indian, Beverages, Pizzas</t>
  </si>
  <si>
    <t>SWG1442</t>
  </si>
  <si>
    <t>Sanjay Icecreams</t>
  </si>
  <si>
    <t>SWG1443</t>
  </si>
  <si>
    <t>Raisins Chocolatier And Patisserie</t>
  </si>
  <si>
    <t>SWG1444</t>
  </si>
  <si>
    <t>Fisco Restobar</t>
  </si>
  <si>
    <t>Indian, Chinese, Italian, Mexican</t>
  </si>
  <si>
    <t>SWG1445</t>
  </si>
  <si>
    <t>Pizzas, Burgers, Desserts, Chinese, Pastas, Italian</t>
  </si>
  <si>
    <t>SWG1446</t>
  </si>
  <si>
    <t>Taste Of Kolkata</t>
  </si>
  <si>
    <t>Indian, Chinese, Bengali</t>
  </si>
  <si>
    <t>SWG1447</t>
  </si>
  <si>
    <t>Sizzling Spices</t>
  </si>
  <si>
    <t>Chinese, Thai, Asian, Indonesian, Seafood, Beverages</t>
  </si>
  <si>
    <t>SWG1448</t>
  </si>
  <si>
    <t>Times Of Paratha</t>
  </si>
  <si>
    <t>SWG1449</t>
  </si>
  <si>
    <t>Malvani Swaad (Sushama's Kitchen)</t>
  </si>
  <si>
    <t>Malwani, Seafood, Indian, North Indian, Biryani, Salads, Beverages, Thalis</t>
  </si>
  <si>
    <t>SWG1450</t>
  </si>
  <si>
    <t>2 Delicious Poha House</t>
  </si>
  <si>
    <t>SWG1451</t>
  </si>
  <si>
    <t>New Kulfi Center</t>
  </si>
  <si>
    <t>SWG1452</t>
  </si>
  <si>
    <t>Swastik Fast Food (Franky)</t>
  </si>
  <si>
    <t>SWG1453</t>
  </si>
  <si>
    <t>A Taste Of India</t>
  </si>
  <si>
    <t>Indian, Chinese, Mughlai, North Indian</t>
  </si>
  <si>
    <t>SWG1454</t>
  </si>
  <si>
    <t>Crave Junction</t>
  </si>
  <si>
    <t>Italian, Chinese, Pizzas, Beverages</t>
  </si>
  <si>
    <t>SWG1455</t>
  </si>
  <si>
    <t>Uk14</t>
  </si>
  <si>
    <t>Beverages, Ice Cream</t>
  </si>
  <si>
    <t>SWG1456</t>
  </si>
  <si>
    <t>Jain Sweets</t>
  </si>
  <si>
    <t>Dattani Centre</t>
  </si>
  <si>
    <t>Street Food, Maharashtrian</t>
  </si>
  <si>
    <t>SWG1457</t>
  </si>
  <si>
    <t>UFO Fries &amp; Corn</t>
  </si>
  <si>
    <t>SWG1458</t>
  </si>
  <si>
    <t>Wtc Pasta</t>
  </si>
  <si>
    <t>Italian, Snacks, Grill, Beverages, Pizzas, Pastas</t>
  </si>
  <si>
    <t>SWG1459</t>
  </si>
  <si>
    <t>UBQ BY Barbeque Nation</t>
  </si>
  <si>
    <t>SWG1460</t>
  </si>
  <si>
    <t>Food Costa</t>
  </si>
  <si>
    <t>Kandivali (East), Thakur Village</t>
  </si>
  <si>
    <t>Fast Food, Pizzas, Biryani, Mexican, Snacks, Beverages, Burgers</t>
  </si>
  <si>
    <t>SWG1461</t>
  </si>
  <si>
    <t>Five Star</t>
  </si>
  <si>
    <t>Fast Food, Burgers, Snacks</t>
  </si>
  <si>
    <t>SWG1462</t>
  </si>
  <si>
    <t>Arihant Dugdhalay</t>
  </si>
  <si>
    <t>Desserts, Sweets</t>
  </si>
  <si>
    <t>SWG1463</t>
  </si>
  <si>
    <t>Al Arabian Shawarma</t>
  </si>
  <si>
    <t>Arabian, Lebanese, Kebabs, Salads, Beverages, Middle Eastern</t>
  </si>
  <si>
    <t>SWG1464</t>
  </si>
  <si>
    <t>Bombay Sultaani Biryani House</t>
  </si>
  <si>
    <t>Indian, Biryani</t>
  </si>
  <si>
    <t>SWG1465</t>
  </si>
  <si>
    <t>East Asia - Indian | Asian | Continental</t>
  </si>
  <si>
    <t>Chinese, Italian, Thai, Asian, Indian, Tandoor, Continental, Sushi, Pizzas, Salads</t>
  </si>
  <si>
    <t>SWG1466</t>
  </si>
  <si>
    <t>Joey's Pizzeria-Kandivali (E)</t>
  </si>
  <si>
    <t>Pizzas, Chinese, Desserts, Burgers, Pastas, Italian</t>
  </si>
  <si>
    <t>SWG1467</t>
  </si>
  <si>
    <t>The Chocolate Heaven</t>
  </si>
  <si>
    <t>Desserts, Italian, Snacks</t>
  </si>
  <si>
    <t>SWG1468</t>
  </si>
  <si>
    <t>Pavbhaji Bistro</t>
  </si>
  <si>
    <t>Indian, Fast Food</t>
  </si>
  <si>
    <t>SWG1469</t>
  </si>
  <si>
    <t>New Wanton Point</t>
  </si>
  <si>
    <t>SWG1470</t>
  </si>
  <si>
    <t>Delicacy Of Mewar</t>
  </si>
  <si>
    <t>SWG1471</t>
  </si>
  <si>
    <t>Ek Bihari - The Bihar Diaries</t>
  </si>
  <si>
    <t>Kandivali East, Thakur Village</t>
  </si>
  <si>
    <t>SWG1472</t>
  </si>
  <si>
    <t>Yamu's Panchayat</t>
  </si>
  <si>
    <t>SWG1473</t>
  </si>
  <si>
    <t>Vividh NX</t>
  </si>
  <si>
    <t>Chinese, Oriental, Indian</t>
  </si>
  <si>
    <t>SWG1474</t>
  </si>
  <si>
    <t>Kumar's Cafe</t>
  </si>
  <si>
    <t>Beverages, South Indian</t>
  </si>
  <si>
    <t>SWG1475</t>
  </si>
  <si>
    <t>Makhani Darbar</t>
  </si>
  <si>
    <t>North Indian, Kebabs, Mughlai, Beverages, Desserts</t>
  </si>
  <si>
    <t>SWG1476</t>
  </si>
  <si>
    <t>Baskin Robbins Happyness Shakes</t>
  </si>
  <si>
    <t>SWG1477</t>
  </si>
  <si>
    <t>Pizza Town</t>
  </si>
  <si>
    <t>Pizzas, Beverages, Italian</t>
  </si>
  <si>
    <t>SWG1478</t>
  </si>
  <si>
    <t>Jugheads</t>
  </si>
  <si>
    <t>Continental, Chinese, North Indian, American</t>
  </si>
  <si>
    <t>SWG1479</t>
  </si>
  <si>
    <t>Mahakali Fast Food &amp; Juice Centre</t>
  </si>
  <si>
    <t>Indian, South Indian, Beverages, Awadhi</t>
  </si>
  <si>
    <t>SWG1480</t>
  </si>
  <si>
    <t>Aakash</t>
  </si>
  <si>
    <t>Desserts, Snacks</t>
  </si>
  <si>
    <t>SWG1481</t>
  </si>
  <si>
    <t>Gupta Bhelpuri House</t>
  </si>
  <si>
    <t>Snacks, Chaat</t>
  </si>
  <si>
    <t>SWG1482</t>
  </si>
  <si>
    <t>Gaonthan The Family Restaurant</t>
  </si>
  <si>
    <t>North Indian, Chinese, Biryani</t>
  </si>
  <si>
    <t>SWG1483</t>
  </si>
  <si>
    <t>The Avenue</t>
  </si>
  <si>
    <t>North Indian, Chinese, Tandoor, Indian, Seafood</t>
  </si>
  <si>
    <t>SWG1484</t>
  </si>
  <si>
    <t>Souffle Cake Shop</t>
  </si>
  <si>
    <t>SWG1485</t>
  </si>
  <si>
    <t>Spring Fields</t>
  </si>
  <si>
    <t>North Indian, Chinese, Italian</t>
  </si>
  <si>
    <t>SWG1486</t>
  </si>
  <si>
    <t>Sheetal Dugdhalay</t>
  </si>
  <si>
    <t>SWG1487</t>
  </si>
  <si>
    <t>WA! Wok (Delicious Chinese)</t>
  </si>
  <si>
    <t>Chinese, Oriental, Asian, Burmese, Thai</t>
  </si>
  <si>
    <t>SWG1488</t>
  </si>
  <si>
    <t>One Minute chai Nashta</t>
  </si>
  <si>
    <t>Bengali, Snacks, Street Food</t>
  </si>
  <si>
    <t>SWG1489</t>
  </si>
  <si>
    <t>Kuku's</t>
  </si>
  <si>
    <t>SWG1490</t>
  </si>
  <si>
    <t>RTC - Rolls And Fried Chicken</t>
  </si>
  <si>
    <t>Snacks, Fast Food, North Indian, Street Food</t>
  </si>
  <si>
    <t>SWG1491</t>
  </si>
  <si>
    <t>Biryani Barbeque Chinese (BBC-Babhai Naka)</t>
  </si>
  <si>
    <t>SWG1492</t>
  </si>
  <si>
    <t>Gokul Anand</t>
  </si>
  <si>
    <t>North Indian, Chinese, Beverages, South Indian</t>
  </si>
  <si>
    <t>SWG1493</t>
  </si>
  <si>
    <t>Tuba Restaurant</t>
  </si>
  <si>
    <t>Chinese, North Indian, Biryani, Indian, Sweets, Salads, Snacks</t>
  </si>
  <si>
    <t>SWG1494</t>
  </si>
  <si>
    <t>The Veg Treat Express</t>
  </si>
  <si>
    <t>North Indian, Indian, Chinese, Italian, Mexican, Desserts</t>
  </si>
  <si>
    <t>SWG1495</t>
  </si>
  <si>
    <t>Pushti Tushti</t>
  </si>
  <si>
    <t>SWG1496</t>
  </si>
  <si>
    <t>MM Mithaiwala.</t>
  </si>
  <si>
    <t>Sweets, Snacks, Bengali</t>
  </si>
  <si>
    <t>SWG1497</t>
  </si>
  <si>
    <t>Anhad Misal</t>
  </si>
  <si>
    <t>Snacks, North Indian</t>
  </si>
  <si>
    <t>SWG1498</t>
  </si>
  <si>
    <t>Classic Pure Veg</t>
  </si>
  <si>
    <t>SWG1499</t>
  </si>
  <si>
    <t>SNS Mexican Shack</t>
  </si>
  <si>
    <t>Mexican, Salads, Burgers, Tex-Mex, Beverages, Fast Food</t>
  </si>
  <si>
    <t>SWG1500</t>
  </si>
  <si>
    <t>Stacks And Racks</t>
  </si>
  <si>
    <t>SWG1501</t>
  </si>
  <si>
    <t>Marathi Mejwani</t>
  </si>
  <si>
    <t>Indian, South Indian, Seafood</t>
  </si>
  <si>
    <t>SWG1502</t>
  </si>
  <si>
    <t>Gupta Bhelpuri And Sandwich Corner</t>
  </si>
  <si>
    <t>SWG1503</t>
  </si>
  <si>
    <t>Sanata Snacks</t>
  </si>
  <si>
    <t>Maharashtrian, Snacks, Beverages</t>
  </si>
  <si>
    <t>SWG1504</t>
  </si>
  <si>
    <t>Mm Mithaiwala Fast Food</t>
  </si>
  <si>
    <t>Fast Food, South Indian, Indian, Snacks, Beverages</t>
  </si>
  <si>
    <t>SWG1505</t>
  </si>
  <si>
    <t>Hotel Gopal Krishna</t>
  </si>
  <si>
    <t>SWG1506</t>
  </si>
  <si>
    <t>Satkar Rice Plate House</t>
  </si>
  <si>
    <t>Maharashtrian, Malwani, Seafood, Biryani</t>
  </si>
  <si>
    <t>SWG1507</t>
  </si>
  <si>
    <t>Cafe Shalimar</t>
  </si>
  <si>
    <t>Malad</t>
  </si>
  <si>
    <t>North Indian, Biryani, Desserts, Beverages</t>
  </si>
  <si>
    <t>SWG1508</t>
  </si>
  <si>
    <t>Arabian Shawarma Cafe</t>
  </si>
  <si>
    <t>Arabian, Lebanese, Snacks</t>
  </si>
  <si>
    <t>SWG1509</t>
  </si>
  <si>
    <t>China Hunt</t>
  </si>
  <si>
    <t>Chinese, North Indian, Tandoor</t>
  </si>
  <si>
    <t>SWG1510</t>
  </si>
  <si>
    <t>Hotel Sai Palace Grand</t>
  </si>
  <si>
    <t>North Indian, Chinese, Biryani, Desserts, Continental, Mangalorean, Seafood, Italian, Fast Food</t>
  </si>
  <si>
    <t>SWG1511</t>
  </si>
  <si>
    <t>Khaas Paratha</t>
  </si>
  <si>
    <t>SWG1512</t>
  </si>
  <si>
    <t>Nischita Nxt</t>
  </si>
  <si>
    <t>Biryani, Chinese, North Indian, Seafood</t>
  </si>
  <si>
    <t>SWG1513</t>
  </si>
  <si>
    <t>Foodgerk - The Diet Parlour</t>
  </si>
  <si>
    <t>Continental, Salads</t>
  </si>
  <si>
    <t>SWG1514</t>
  </si>
  <si>
    <t>Jay Prakash Bar &amp; Restaurant</t>
  </si>
  <si>
    <t>SWG1515</t>
  </si>
  <si>
    <t>YUI</t>
  </si>
  <si>
    <t>Asian, Japanese</t>
  </si>
  <si>
    <t>SWG1516</t>
  </si>
  <si>
    <t>Sai Veg World Xpress</t>
  </si>
  <si>
    <t>South Indian, North Indian</t>
  </si>
  <si>
    <t>SWG1517</t>
  </si>
  <si>
    <t>Dessert Therapy</t>
  </si>
  <si>
    <t>Cakes and Pastries, Desserts, Beverages, Bakery</t>
  </si>
  <si>
    <t>SWG1518</t>
  </si>
  <si>
    <t>Sammy Sosa</t>
  </si>
  <si>
    <t>Mexican, Asian</t>
  </si>
  <si>
    <t>SWG1519</t>
  </si>
  <si>
    <t>Suka Sukhi</t>
  </si>
  <si>
    <t>Maharashtrian, Malwani</t>
  </si>
  <si>
    <t>SWG1520</t>
  </si>
  <si>
    <t>Queen Margherita's Pizzeria</t>
  </si>
  <si>
    <t>Pizzas, Italian-American</t>
  </si>
  <si>
    <t>SWG1521</t>
  </si>
  <si>
    <t>Curry and Combo Twist (Pure Veg)</t>
  </si>
  <si>
    <t>Mum_Jog Gor East</t>
  </si>
  <si>
    <t>SWG1522</t>
  </si>
  <si>
    <t>The Red Turtle - Pan Asian Bistro</t>
  </si>
  <si>
    <t>Pan-Asian, Chinese, Thai, Japanese, Singaporean</t>
  </si>
  <si>
    <t>SWG1523</t>
  </si>
  <si>
    <t>The Veg Treat Royal</t>
  </si>
  <si>
    <t>North Indian, Indian, Chinese, Continental, South Indian</t>
  </si>
  <si>
    <t>SWG1524</t>
  </si>
  <si>
    <t>Mangoes</t>
  </si>
  <si>
    <t>Mangalorean, Goan</t>
  </si>
  <si>
    <t>SWG1525</t>
  </si>
  <si>
    <t>Rangrezz Desi Restobar</t>
  </si>
  <si>
    <t>SWG1526</t>
  </si>
  <si>
    <t>Bansi Vadapav</t>
  </si>
  <si>
    <t>SWG1527</t>
  </si>
  <si>
    <t>Mumbaikar S Food House</t>
  </si>
  <si>
    <t>Indian, Thalis</t>
  </si>
  <si>
    <t>SWG1528</t>
  </si>
  <si>
    <t>Vivek Chinese corner</t>
  </si>
  <si>
    <t>SWG1529</t>
  </si>
  <si>
    <t>Pranayam (Pure Veg)</t>
  </si>
  <si>
    <t>North Indian, South Indian, Snacks</t>
  </si>
  <si>
    <t>SWG1530</t>
  </si>
  <si>
    <t>Grab Some Momos Here</t>
  </si>
  <si>
    <t>Tibetan, Chinese</t>
  </si>
  <si>
    <t>SWG1531</t>
  </si>
  <si>
    <t>Peco Peco</t>
  </si>
  <si>
    <t>SWG1532</t>
  </si>
  <si>
    <t>Meetha By Radisson</t>
  </si>
  <si>
    <t>SWG1533</t>
  </si>
  <si>
    <t>Rasodu - The Ethnic Kitchen</t>
  </si>
  <si>
    <t>Indian, Thalis, Beverages</t>
  </si>
  <si>
    <t>SWG1534</t>
  </si>
  <si>
    <t>Kake Da Hotel (Since 1931)</t>
  </si>
  <si>
    <t>Jogeshwari West</t>
  </si>
  <si>
    <t>North Indian, Tandoor, Punjabi</t>
  </si>
  <si>
    <t>SWG1535</t>
  </si>
  <si>
    <t># Thali</t>
  </si>
  <si>
    <t>SWG1536</t>
  </si>
  <si>
    <t>Sernyaa</t>
  </si>
  <si>
    <t>Ashok Enclave</t>
  </si>
  <si>
    <t>SWG1537</t>
  </si>
  <si>
    <t>Udipi Vihar (pure veg) restaurant</t>
  </si>
  <si>
    <t>Chinese, North Indian, South Indian, Tandoor, Biryani, Desserts</t>
  </si>
  <si>
    <t>SWG1538</t>
  </si>
  <si>
    <t>Shubh Sagar Restaurant</t>
  </si>
  <si>
    <t>Chinese, North Indian, South Indian</t>
  </si>
  <si>
    <t>SWG1539</t>
  </si>
  <si>
    <t>Ruchi Veg Restaurant</t>
  </si>
  <si>
    <t>South Indian, North Indian, Chinese, Tandoor, Biryani, Juices, Beverages, Mughlai, Home Food, Healthy Food, Italian, Mexican</t>
  </si>
  <si>
    <t>SWG1540</t>
  </si>
  <si>
    <t>Jango's</t>
  </si>
  <si>
    <t>Chinese, North Indian, Biryani, Kebabs</t>
  </si>
  <si>
    <t>SWG1541</t>
  </si>
  <si>
    <t>Konkan Chilly</t>
  </si>
  <si>
    <t>Chincholi Bunder</t>
  </si>
  <si>
    <t>Konkan, North Indian, Chinese, Tandoor, Malwani</t>
  </si>
  <si>
    <t>SWG1542</t>
  </si>
  <si>
    <t>Flavours Of China (Evershine Nagar)</t>
  </si>
  <si>
    <t>SWG1543</t>
  </si>
  <si>
    <t>Landmark Kitchens</t>
  </si>
  <si>
    <t>Indian, Snacks, Pizzas, Chinese</t>
  </si>
  <si>
    <t>SWG1544</t>
  </si>
  <si>
    <t>Desi Shack- Acha Khao, Acha Khilao- By om snacks</t>
  </si>
  <si>
    <t>Indian, Fast Food, Snacks, Italian, Chinese, Beverages</t>
  </si>
  <si>
    <t>SWG1545</t>
  </si>
  <si>
    <t>Malgudi - Veg &amp; Non-Veg Family Restaurant</t>
  </si>
  <si>
    <t>North Indian, Chinese, South Indian, Malwani</t>
  </si>
  <si>
    <t>SWG1546</t>
  </si>
  <si>
    <t>Shiv Sagar Malad</t>
  </si>
  <si>
    <t>SWG1547</t>
  </si>
  <si>
    <t>Lalit Bakery</t>
  </si>
  <si>
    <t>Bakery, Desserts, Italian</t>
  </si>
  <si>
    <t>SWG1548</t>
  </si>
  <si>
    <t>Namaskar The Family Restaurant</t>
  </si>
  <si>
    <t>North Indian, Chinese, Maharashtrian, Biryani</t>
  </si>
  <si>
    <t>SWG1549</t>
  </si>
  <si>
    <t>Green Tadka</t>
  </si>
  <si>
    <t>SWG1550</t>
  </si>
  <si>
    <t>Stir Fry Grill</t>
  </si>
  <si>
    <t>Chinese, Continental, Indian, Thai, Healthy Food, Pan-Asian</t>
  </si>
  <si>
    <t>SWG1551</t>
  </si>
  <si>
    <t>Deepak Only Veg</t>
  </si>
  <si>
    <t>South Indian, Chinese, Indian</t>
  </si>
  <si>
    <t>SWG1552</t>
  </si>
  <si>
    <t>Gulistan Family Restaurant</t>
  </si>
  <si>
    <t>SWG1553</t>
  </si>
  <si>
    <t>Keto Treats</t>
  </si>
  <si>
    <t>Evershine nagar</t>
  </si>
  <si>
    <t>Keto, Bakery, Ice Cream, Desserts</t>
  </si>
  <si>
    <t>SWG1554</t>
  </si>
  <si>
    <t>Hotel Apala samadhan</t>
  </si>
  <si>
    <t>Malwani, Indian, Chinese</t>
  </si>
  <si>
    <t>SWG1555</t>
  </si>
  <si>
    <t>Ravindra Restaurant</t>
  </si>
  <si>
    <t>North Indian, South Indian, Chinese, Pizzas</t>
  </si>
  <si>
    <t>SWG1556</t>
  </si>
  <si>
    <t>Apricot foods</t>
  </si>
  <si>
    <t>Sweets, Fast Food, Chaat, Snacks, Desserts, Gujarati, Maharashtrian</t>
  </si>
  <si>
    <t>SWG1557</t>
  </si>
  <si>
    <t>Sattvik Tiffin Co</t>
  </si>
  <si>
    <t>SWG1558</t>
  </si>
  <si>
    <t>Govindas Veg Treat</t>
  </si>
  <si>
    <t>North Indian, Chinese, Beverages, South American</t>
  </si>
  <si>
    <t>SWG1559</t>
  </si>
  <si>
    <t>The Delhi Spice</t>
  </si>
  <si>
    <t>Biryani, Chinese, North Indian</t>
  </si>
  <si>
    <t>SWG1560</t>
  </si>
  <si>
    <t>Hotel National</t>
  </si>
  <si>
    <t>SWG1561</t>
  </si>
  <si>
    <t>The Burrow Cafe</t>
  </si>
  <si>
    <t>Pastas, Continental</t>
  </si>
  <si>
    <t>SWG1562</t>
  </si>
  <si>
    <t>Saundha</t>
  </si>
  <si>
    <t>North Indian, Biryani, Kebabs, Chaat, Beverages</t>
  </si>
  <si>
    <t>SWG1563</t>
  </si>
  <si>
    <t>Raju Pav Bhaji</t>
  </si>
  <si>
    <t>SWG1564</t>
  </si>
  <si>
    <t>Cha - Ya its cup of tea</t>
  </si>
  <si>
    <t>Beverages, Snacks</t>
  </si>
  <si>
    <t>SWG1565</t>
  </si>
  <si>
    <t>Coffee By Di Bella Exclusive</t>
  </si>
  <si>
    <t>Desserts, Beverages, Fast Food, Waffle, Snacks, Bakery</t>
  </si>
  <si>
    <t>SWG1566</t>
  </si>
  <si>
    <t>Jagtap Missal</t>
  </si>
  <si>
    <t>Snacks, Indian</t>
  </si>
  <si>
    <t>SWG1567</t>
  </si>
  <si>
    <t>Nafees Biryani</t>
  </si>
  <si>
    <t>Mughlai</t>
  </si>
  <si>
    <t>SWG1568</t>
  </si>
  <si>
    <t>R K Ladoowala</t>
  </si>
  <si>
    <t>Indian, Sweets, Desserts</t>
  </si>
  <si>
    <t>SWG1569</t>
  </si>
  <si>
    <t>Biryani-Holic</t>
  </si>
  <si>
    <t>Biryani, Indian</t>
  </si>
  <si>
    <t>SWG1570</t>
  </si>
  <si>
    <t>The Green Kitchen</t>
  </si>
  <si>
    <t>Fast Food, Indian, Chinese, Continental, Tandoor, Pizzas, South Indian, Mexican</t>
  </si>
  <si>
    <t>SWG1571</t>
  </si>
  <si>
    <t>Bindaas Binge ( Cakes, Pastries &amp; More )</t>
  </si>
  <si>
    <t>Bakery, Desserts, Sweets</t>
  </si>
  <si>
    <t>SWG1572</t>
  </si>
  <si>
    <t>Anytime Misal</t>
  </si>
  <si>
    <t>Street Food, Beverages, Desserts</t>
  </si>
  <si>
    <t>SWG1573</t>
  </si>
  <si>
    <t>Andawala</t>
  </si>
  <si>
    <t>Fast Food, Street Food</t>
  </si>
  <si>
    <t>SWG1574</t>
  </si>
  <si>
    <t>Chatako The Gujju's</t>
  </si>
  <si>
    <t>Gujarati</t>
  </si>
  <si>
    <t>SWG1575</t>
  </si>
  <si>
    <t>Aditi Fast Food</t>
  </si>
  <si>
    <t>Street Food, Indian, Chinese, Beverages</t>
  </si>
  <si>
    <t>SWG1576</t>
  </si>
  <si>
    <t>Hotel ShreeDevi</t>
  </si>
  <si>
    <t>Indian, Chinese, Punjabi</t>
  </si>
  <si>
    <t>SWG1577</t>
  </si>
  <si>
    <t>Thepla Junction</t>
  </si>
  <si>
    <t>SWG1578</t>
  </si>
  <si>
    <t>The Daily Deli</t>
  </si>
  <si>
    <t>Continental, American, Pizzas, Pastas, Beverages, Desserts</t>
  </si>
  <si>
    <t>SWG1579</t>
  </si>
  <si>
    <t>Cherry's Kitchen</t>
  </si>
  <si>
    <t>Indian, Kerala</t>
  </si>
  <si>
    <t>SWG1580</t>
  </si>
  <si>
    <t>Annapurna Healthy Kitchen</t>
  </si>
  <si>
    <t>Gujarati, Thalis</t>
  </si>
  <si>
    <t>SWG1581</t>
  </si>
  <si>
    <t>Divya Chinese corner</t>
  </si>
  <si>
    <t>SWG1582</t>
  </si>
  <si>
    <t>Medha malvan</t>
  </si>
  <si>
    <t>Malwani</t>
  </si>
  <si>
    <t>SWG1583</t>
  </si>
  <si>
    <t>Vedant Snacks Corner</t>
  </si>
  <si>
    <t>South Indian, Beverages, North Indian, Juices</t>
  </si>
  <si>
    <t>SWG1584</t>
  </si>
  <si>
    <t>Noor Biryani Center</t>
  </si>
  <si>
    <t>Biryani, Mughlai, North Indian, Indian, Tandoor, Punjabi, Snacks, Desserts</t>
  </si>
  <si>
    <t>SWG1585</t>
  </si>
  <si>
    <t>Dada's Chinese Kitchen</t>
  </si>
  <si>
    <t>SWG1586</t>
  </si>
  <si>
    <t>Sun Moon &amp; Potatoes</t>
  </si>
  <si>
    <t>Continental, Chinese, Salads, Asian</t>
  </si>
  <si>
    <t>SWG1587</t>
  </si>
  <si>
    <t>Arabian Shawarma by Rudy's</t>
  </si>
  <si>
    <t>Lebanese, Arabian, Salads</t>
  </si>
  <si>
    <t>SWG1588</t>
  </si>
  <si>
    <t>Fakth Chicken</t>
  </si>
  <si>
    <t>SWG1589</t>
  </si>
  <si>
    <t>Jalaram Kathiyawadi Thali</t>
  </si>
  <si>
    <t>SWG1590</t>
  </si>
  <si>
    <t>Samant Bandhu Nx</t>
  </si>
  <si>
    <t>Desserts, Snacks, Sweets, Beverages</t>
  </si>
  <si>
    <t>SWG1591</t>
  </si>
  <si>
    <t>Silver Oaks</t>
  </si>
  <si>
    <t>North Indian, Mughlai, Chinese, Continental</t>
  </si>
  <si>
    <t>SWG1592</t>
  </si>
  <si>
    <t>Jai Bholenath Kathiyawadi</t>
  </si>
  <si>
    <t>Thalis, Gujarati, Jain</t>
  </si>
  <si>
    <t>SWG1593</t>
  </si>
  <si>
    <t>Cafe meter on</t>
  </si>
  <si>
    <t>Italian, Indian, Chinese, Continental</t>
  </si>
  <si>
    <t>SWG1594</t>
  </si>
  <si>
    <t>Choclato</t>
  </si>
  <si>
    <t>SWG1595</t>
  </si>
  <si>
    <t>Cafe Lajawab</t>
  </si>
  <si>
    <t>Arabian, Snacks</t>
  </si>
  <si>
    <t>SWG1596</t>
  </si>
  <si>
    <t>Mary Fast Food</t>
  </si>
  <si>
    <t>Chinese, Fast Food</t>
  </si>
  <si>
    <t>SWG1597</t>
  </si>
  <si>
    <t>Satyanarayan Lunch Home</t>
  </si>
  <si>
    <t>SWG1598</t>
  </si>
  <si>
    <t>Uttar Da Puttar</t>
  </si>
  <si>
    <t>North Indian, Indian, Punjabi, Biryani</t>
  </si>
  <si>
    <t>SWG1599</t>
  </si>
  <si>
    <t>Alfredo's</t>
  </si>
  <si>
    <t>Italian, European</t>
  </si>
  <si>
    <t>SWG1600</t>
  </si>
  <si>
    <t>Al-Falah Shawarma</t>
  </si>
  <si>
    <t>SWG1601</t>
  </si>
  <si>
    <t>Mothers Touch Rajasthani</t>
  </si>
  <si>
    <t>SWG1602</t>
  </si>
  <si>
    <t>Cravings all day</t>
  </si>
  <si>
    <t xml:space="preserve">Goregaon West	</t>
  </si>
  <si>
    <t>SWG1603</t>
  </si>
  <si>
    <t>Big Fat Monk</t>
  </si>
  <si>
    <t>Chinese, Asian, Fast Food, Desserts, Beverages</t>
  </si>
  <si>
    <t>SWG1604</t>
  </si>
  <si>
    <t>44 The Food Hub</t>
  </si>
  <si>
    <t>SWG1605</t>
  </si>
  <si>
    <t>Radha Krishna Fast Food - Mahavir Nagar</t>
  </si>
  <si>
    <t>SWG1606</t>
  </si>
  <si>
    <t>Aniket Chinese Corner</t>
  </si>
  <si>
    <t>Chinese, North Indian, Biryani</t>
  </si>
  <si>
    <t>SWG1607</t>
  </si>
  <si>
    <t>Jungle Juice</t>
  </si>
  <si>
    <t>SWG1608</t>
  </si>
  <si>
    <t>Indore.Online</t>
  </si>
  <si>
    <t>Sweets, Street Food</t>
  </si>
  <si>
    <t>SWG1609</t>
  </si>
  <si>
    <t>Rolls Mania</t>
  </si>
  <si>
    <t>SWG1610</t>
  </si>
  <si>
    <t>Vinayak Ankit Sandwich</t>
  </si>
  <si>
    <t>Snacks, Continental</t>
  </si>
  <si>
    <t>SWG1611</t>
  </si>
  <si>
    <t>Hari Om Khaman House</t>
  </si>
  <si>
    <t>Gujarati, Snacks, Sweets</t>
  </si>
  <si>
    <t>SWG1612</t>
  </si>
  <si>
    <t>Fusion Ice Cream Cakes</t>
  </si>
  <si>
    <t>Ice Cream, Desserts, Bakery, Beverages</t>
  </si>
  <si>
    <t>SWG1613</t>
  </si>
  <si>
    <t>Hotel Milan Pure Veg</t>
  </si>
  <si>
    <t>SWG1614</t>
  </si>
  <si>
    <t>TIBO Dalwada</t>
  </si>
  <si>
    <t>Street Food, Desserts</t>
  </si>
  <si>
    <t>SWG1615</t>
  </si>
  <si>
    <t>Brain Freeze Ice cream &amp; Desserts</t>
  </si>
  <si>
    <t>SWG1616</t>
  </si>
  <si>
    <t>Farmhouse-Palladium</t>
  </si>
  <si>
    <t>Indian, Tandoor, Chinese, Continental, Biryani, Seafood, Pizzas, Pastas</t>
  </si>
  <si>
    <t>SWG1617</t>
  </si>
  <si>
    <t>Amantran Restaurant</t>
  </si>
  <si>
    <t>Meat</t>
  </si>
  <si>
    <t>SWG1618</t>
  </si>
  <si>
    <t>Monopoly-The Chinese Edition</t>
  </si>
  <si>
    <t>Chinese, Oriental, Continental</t>
  </si>
  <si>
    <t>SWG1619</t>
  </si>
  <si>
    <t>Dinshaw's Xpress Cafe And Restro</t>
  </si>
  <si>
    <t>Indian, Continental, Mexican, Pizzas, Pastas, Burgers, Snacks, Fast Food, Beverages, Juices, Ice Cream, Desserts</t>
  </si>
  <si>
    <t>SWG1620</t>
  </si>
  <si>
    <t>The Nature Bar</t>
  </si>
  <si>
    <t>Salads, Keto, Burgers, Beverages, Mediterranean, American, Healthy Food, Grill, Greek</t>
  </si>
  <si>
    <t>SWG1621</t>
  </si>
  <si>
    <t>Aakash Sweets and Snacks</t>
  </si>
  <si>
    <t>SWG1622</t>
  </si>
  <si>
    <t>Nagpal's Choley Bhature</t>
  </si>
  <si>
    <t>SWG1623</t>
  </si>
  <si>
    <t>Mumbadevi Jalebi Wala</t>
  </si>
  <si>
    <t>Snacks, Sweets</t>
  </si>
  <si>
    <t>SWG1624</t>
  </si>
  <si>
    <t>Chhotu's Kitchen</t>
  </si>
  <si>
    <t>SWG1625</t>
  </si>
  <si>
    <t>Desai Bhaishankar Gaurishanar (K.P.)</t>
  </si>
  <si>
    <t>SWG1626</t>
  </si>
  <si>
    <t>Shree Makhan Bhog</t>
  </si>
  <si>
    <t>Chaat, Snacks, Sweets</t>
  </si>
  <si>
    <t>SWG1627</t>
  </si>
  <si>
    <t>Shawarma Heaven</t>
  </si>
  <si>
    <t>Lebanese, Chinese, Indian, Continental, Tandoor</t>
  </si>
  <si>
    <t>SWG1628</t>
  </si>
  <si>
    <t>Sattva</t>
  </si>
  <si>
    <t>SWG1629</t>
  </si>
  <si>
    <t>Seeta Nx</t>
  </si>
  <si>
    <t>SWG1630</t>
  </si>
  <si>
    <t>Night Evil Chinese Food</t>
  </si>
  <si>
    <t>SWG1631</t>
  </si>
  <si>
    <t>Bhoomi Kolhapuri</t>
  </si>
  <si>
    <t>Raja Dalvi Marg</t>
  </si>
  <si>
    <t>Street Food</t>
  </si>
  <si>
    <t>SWG1632</t>
  </si>
  <si>
    <t>Hotel Payal</t>
  </si>
  <si>
    <t>SWG1633</t>
  </si>
  <si>
    <t>Fling Confectionery</t>
  </si>
  <si>
    <t>SWG1634</t>
  </si>
  <si>
    <t>Pipasa</t>
  </si>
  <si>
    <t>SWG1635</t>
  </si>
  <si>
    <t>Dessert Junction</t>
  </si>
  <si>
    <t>Desserts, Fast Food</t>
  </si>
  <si>
    <t>SWG1636</t>
  </si>
  <si>
    <t>Bina's Fresh Batch Homemade Ice Cream</t>
  </si>
  <si>
    <t>Desserts, Ice Cream</t>
  </si>
  <si>
    <t>SWG1637</t>
  </si>
  <si>
    <t>Samvene - The Bagel Cafe</t>
  </si>
  <si>
    <t>American, Burgers, Italian, Continental, Pizzas, Pastas, Beverages, Snacks</t>
  </si>
  <si>
    <t>SWG1638</t>
  </si>
  <si>
    <t>Wokstreet</t>
  </si>
  <si>
    <t>SWG1639</t>
  </si>
  <si>
    <t>Moments</t>
  </si>
  <si>
    <t>SWG1640</t>
  </si>
  <si>
    <t>Hotel Malvan Katta</t>
  </si>
  <si>
    <t>VIthbhati, Goregoan (East) 3)</t>
  </si>
  <si>
    <t>SWG1641</t>
  </si>
  <si>
    <t>Sindhi Tadka</t>
  </si>
  <si>
    <t>Sindhi, North Indian, Indian</t>
  </si>
  <si>
    <t>SWG1642</t>
  </si>
  <si>
    <t>Kokan Katta</t>
  </si>
  <si>
    <t>Seafood, Chinese, Indian, North Indian, Beverages, Biryani</t>
  </si>
  <si>
    <t>SWG1643</t>
  </si>
  <si>
    <t>The Fusion Kitchen</t>
  </si>
  <si>
    <t>Italian, Asian</t>
  </si>
  <si>
    <t>SWG1644</t>
  </si>
  <si>
    <t>Oriental Stir Fry</t>
  </si>
  <si>
    <t>Fast Food, Chinese, South Indian, Indian</t>
  </si>
  <si>
    <t>SWG1645</t>
  </si>
  <si>
    <t>Zesty Kitchen</t>
  </si>
  <si>
    <t>Indian, Seafood, North Indian, Biryani, South Indian, Bengali, Malwani</t>
  </si>
  <si>
    <t>SWG1646</t>
  </si>
  <si>
    <t>Konkan Spice</t>
  </si>
  <si>
    <t>South Indian, Malwani</t>
  </si>
  <si>
    <t>SWG1647</t>
  </si>
  <si>
    <t>Chholay</t>
  </si>
  <si>
    <t>North Indian, Indian, Jain</t>
  </si>
  <si>
    <t>SWG1648</t>
  </si>
  <si>
    <t>British Brewing Company</t>
  </si>
  <si>
    <t>Italian, American, Indian, Asian</t>
  </si>
  <si>
    <t>SWG1649</t>
  </si>
  <si>
    <t>Zoodles</t>
  </si>
  <si>
    <t>Pan-Asian, Chinese, Seafood, Thai, Asian, Desserts</t>
  </si>
  <si>
    <t>SWG1650</t>
  </si>
  <si>
    <t>Shawarma House Express</t>
  </si>
  <si>
    <t>Indian, Beverages, Turkish</t>
  </si>
  <si>
    <t>SWG1651</t>
  </si>
  <si>
    <t>Hotel Jyoti</t>
  </si>
  <si>
    <t>SWG1652</t>
  </si>
  <si>
    <t>Ahare Bangla</t>
  </si>
  <si>
    <t>SWG1653</t>
  </si>
  <si>
    <t>Classic Veg Restaurant</t>
  </si>
  <si>
    <t>SWG1654</t>
  </si>
  <si>
    <t>The Boston Cafe &amp; Patisserie</t>
  </si>
  <si>
    <t>SWG1655</t>
  </si>
  <si>
    <t>Makhan Maar ke</t>
  </si>
  <si>
    <t>SWG1656</t>
  </si>
  <si>
    <t>Amber Restaurant</t>
  </si>
  <si>
    <t xml:space="preserve">trikamdas road </t>
  </si>
  <si>
    <t>Chinese, Indian, Tandoor</t>
  </si>
  <si>
    <t>SWG1657</t>
  </si>
  <si>
    <t>The Bombay Chaat Co by Spukies</t>
  </si>
  <si>
    <t>Chaat, South Indian, Juices, Beverages</t>
  </si>
  <si>
    <t>SWG1658</t>
  </si>
  <si>
    <t>Only Roti's</t>
  </si>
  <si>
    <t>SWG1659</t>
  </si>
  <si>
    <t>Om Snacks</t>
  </si>
  <si>
    <t>Pizzas, Pastas</t>
  </si>
  <si>
    <t>SWG1660</t>
  </si>
  <si>
    <t>Golden Leaf Restaurant</t>
  </si>
  <si>
    <t>Chinese, Street Food, South Indian</t>
  </si>
  <si>
    <t>SWG1661</t>
  </si>
  <si>
    <t>The Local Eatery</t>
  </si>
  <si>
    <t>SWG1662</t>
  </si>
  <si>
    <t>Nityanand Lunch Home And Hotel</t>
  </si>
  <si>
    <t>Biryani, Tandoor, Chinese</t>
  </si>
  <si>
    <t>SWG1663</t>
  </si>
  <si>
    <t>Street Gourmet</t>
  </si>
  <si>
    <t>South Indian, Indian, Chinese</t>
  </si>
  <si>
    <t>SWG1664</t>
  </si>
  <si>
    <t>Spirit Kitchen and Bar</t>
  </si>
  <si>
    <t>SWG1665</t>
  </si>
  <si>
    <t>Hotel Shree Prabhu Niketan</t>
  </si>
  <si>
    <t>SWG1666</t>
  </si>
  <si>
    <t>Image Restaurant</t>
  </si>
  <si>
    <t>North Indian, Chinese, Kebabs, Biryani, Mangalorean, Desserts, Tandoor</t>
  </si>
  <si>
    <t>SWG1667</t>
  </si>
  <si>
    <t>J.B.Dynasty And Malwani Kalwan</t>
  </si>
  <si>
    <t>Chinese, Malwani, Indian, Oriental</t>
  </si>
  <si>
    <t>SWG1668</t>
  </si>
  <si>
    <t>The Mak Broasted Fastfood</t>
  </si>
  <si>
    <t>Continental, Italian</t>
  </si>
  <si>
    <t>SWG1669</t>
  </si>
  <si>
    <t>The Veg Treat Celebrations</t>
  </si>
  <si>
    <t>South Indian, Punjabi, Chinese, Italian, Mexican</t>
  </si>
  <si>
    <t>SWG1670</t>
  </si>
  <si>
    <t>Uncle's Corner</t>
  </si>
  <si>
    <t>Chinese, Tandoor, Seafood, Thai, Biryani, Indian</t>
  </si>
  <si>
    <t>SWG1671</t>
  </si>
  <si>
    <t>Enrich Kulfi</t>
  </si>
  <si>
    <t>SWG1672</t>
  </si>
  <si>
    <t>Fort Kochi</t>
  </si>
  <si>
    <t>South Indian, Kerala</t>
  </si>
  <si>
    <t>SWG1673</t>
  </si>
  <si>
    <t>Samarth Sagar (Pure Veg)</t>
  </si>
  <si>
    <t>Chinese, North Indian, South Indian, Chaat</t>
  </si>
  <si>
    <t>SWG1674</t>
  </si>
  <si>
    <t>Schumania</t>
  </si>
  <si>
    <t>SWG1675</t>
  </si>
  <si>
    <t>Rollzilla</t>
  </si>
  <si>
    <t>SWG1676</t>
  </si>
  <si>
    <t>Healing Rice Bowls</t>
  </si>
  <si>
    <t>Indian, South Indian, Punjabi</t>
  </si>
  <si>
    <t>SWG1677</t>
  </si>
  <si>
    <t>The Big Squeeze</t>
  </si>
  <si>
    <t>Juices, Healthy Food, Beverages</t>
  </si>
  <si>
    <t>SWG1678</t>
  </si>
  <si>
    <t>KBC - Kebaabs, Biryani, Curries</t>
  </si>
  <si>
    <t>Kebabs, Biryani, North Indian, Indian, Snacks</t>
  </si>
  <si>
    <t>SWG1679</t>
  </si>
  <si>
    <t>The Chai Fusion</t>
  </si>
  <si>
    <t>Chinese, Continental</t>
  </si>
  <si>
    <t>SWG1680</t>
  </si>
  <si>
    <t>Ether Atelier Chocolate</t>
  </si>
  <si>
    <t>SWG1681</t>
  </si>
  <si>
    <t>Bombay Fast Food</t>
  </si>
  <si>
    <t>SWG1682</t>
  </si>
  <si>
    <t>Cake Valley</t>
  </si>
  <si>
    <t>Bakery, Desserts, Beverages</t>
  </si>
  <si>
    <t>SWG1683</t>
  </si>
  <si>
    <t>Cake &amp; Bake</t>
  </si>
  <si>
    <t>SWG1684</t>
  </si>
  <si>
    <t>The Lunchbox</t>
  </si>
  <si>
    <t>SWG1685</t>
  </si>
  <si>
    <t>Hotel Samadhan</t>
  </si>
  <si>
    <t>Malwani, Maharashtrian, Indian</t>
  </si>
  <si>
    <t>SWG1686</t>
  </si>
  <si>
    <t>The Waffle Man From the House Of Cookieman</t>
  </si>
  <si>
    <t>SWG1687</t>
  </si>
  <si>
    <t>Sigree Global Grill</t>
  </si>
  <si>
    <t>North Indian, Mughlai, Kebabs, Mediterranean, Greek, Turkish, Lebanese</t>
  </si>
  <si>
    <t>SWG1688</t>
  </si>
  <si>
    <t>Only Parathas</t>
  </si>
  <si>
    <t>North Indian, Thalis, Chaat, Chinese, Snacks, Beverages</t>
  </si>
  <si>
    <t>SWG1689</t>
  </si>
  <si>
    <t>The King's Field</t>
  </si>
  <si>
    <t>Indian, Chinese, Tandoor, Snacks</t>
  </si>
  <si>
    <t>SWG1690</t>
  </si>
  <si>
    <t>Nagrik Sweets And Farsan</t>
  </si>
  <si>
    <t>SWG1691</t>
  </si>
  <si>
    <t>Rashmin Dairy Farm</t>
  </si>
  <si>
    <t>SWG1692</t>
  </si>
  <si>
    <t>Bbc Express-By Borivali Biryani Centre</t>
  </si>
  <si>
    <t>SWG1693</t>
  </si>
  <si>
    <t>Emrik The Cake Point</t>
  </si>
  <si>
    <t>SWG1694</t>
  </si>
  <si>
    <t>Gayatri Sweets and Farsan</t>
  </si>
  <si>
    <t>North Indian, Fast Food, South Indian, Sweets</t>
  </si>
  <si>
    <t>SWG1695</t>
  </si>
  <si>
    <t>Riga Chinese Corner</t>
  </si>
  <si>
    <t>SWG1696</t>
  </si>
  <si>
    <t>Magari</t>
  </si>
  <si>
    <t>Continental, Italian, Beverages</t>
  </si>
  <si>
    <t>SWG1697</t>
  </si>
  <si>
    <t>shaan hotel</t>
  </si>
  <si>
    <t>SWG1698</t>
  </si>
  <si>
    <t>Brijwasi Sweets and Snacks</t>
  </si>
  <si>
    <t>SWG1699</t>
  </si>
  <si>
    <t>Pav Bhaji Klub</t>
  </si>
  <si>
    <t>SWG1700</t>
  </si>
  <si>
    <t>Tasty Chinese Hotel</t>
  </si>
  <si>
    <t>SWG1701</t>
  </si>
  <si>
    <t>Wow Bistro - Evershine Club</t>
  </si>
  <si>
    <t>SWG1702</t>
  </si>
  <si>
    <t>H &amp; Charlie</t>
  </si>
  <si>
    <t>Burgers, Steakhouse, Desserts, Beverages, Cafe, Fast Food, Pastas</t>
  </si>
  <si>
    <t>SWG1703</t>
  </si>
  <si>
    <t>Royal Manglore</t>
  </si>
  <si>
    <t>SWG1704</t>
  </si>
  <si>
    <t>Healthy Deck</t>
  </si>
  <si>
    <t>Continental, Beverages, Keto, Ice Cream, Salads</t>
  </si>
  <si>
    <t>SWG1705</t>
  </si>
  <si>
    <t>Delhi Darbar Biryani Hub</t>
  </si>
  <si>
    <t>Biryani, North Indian</t>
  </si>
  <si>
    <t>SWG1706</t>
  </si>
  <si>
    <t>Burgizza</t>
  </si>
  <si>
    <t>SWG1707</t>
  </si>
  <si>
    <t>Celebrations By Kilo</t>
  </si>
  <si>
    <t>SWG1708</t>
  </si>
  <si>
    <t>Houseboat Cafe</t>
  </si>
  <si>
    <t>Kerala, South Indian</t>
  </si>
  <si>
    <t>SWG1709</t>
  </si>
  <si>
    <t>Veg Treat Regalia</t>
  </si>
  <si>
    <t>North Indian, Indian, Chinese, Continental</t>
  </si>
  <si>
    <t>SWG1710</t>
  </si>
  <si>
    <t>Oh! It's Fishy</t>
  </si>
  <si>
    <t>Indian, Tandoor, Seafood, Chinese</t>
  </si>
  <si>
    <t>SWG1711</t>
  </si>
  <si>
    <t>Brijwasi Snack Foods</t>
  </si>
  <si>
    <t>Snacks, Street Food, Chaat, Fast Food</t>
  </si>
  <si>
    <t>SWG1712</t>
  </si>
  <si>
    <t>Daffodils 23</t>
  </si>
  <si>
    <t>Indian, Chinese, Beverages, Mexican, Continental</t>
  </si>
  <si>
    <t>SWG1713</t>
  </si>
  <si>
    <t>Sumeruu</t>
  </si>
  <si>
    <t>SWG1714</t>
  </si>
  <si>
    <t>Malvaniz</t>
  </si>
  <si>
    <t>Malwani, Seafood</t>
  </si>
  <si>
    <t>SWG1715</t>
  </si>
  <si>
    <t>Jayesh Food Centre</t>
  </si>
  <si>
    <t>SWG1716</t>
  </si>
  <si>
    <t>The Hangout Pizza Hub</t>
  </si>
  <si>
    <t>SWG1717</t>
  </si>
  <si>
    <t>Royale Masterchef Finedine</t>
  </si>
  <si>
    <t>Indian, Chinese, Continental, Mexican, Lebanese</t>
  </si>
  <si>
    <t>SWG1718</t>
  </si>
  <si>
    <t>Subramanian Snacks</t>
  </si>
  <si>
    <t>South Indian, Chinese, Fast Food, Arabian, Tandoor</t>
  </si>
  <si>
    <t>SWG1719</t>
  </si>
  <si>
    <t>Goaikar's goan Cuisine</t>
  </si>
  <si>
    <t>North Indian, Seafood, Snacks</t>
  </si>
  <si>
    <t>SWG1720</t>
  </si>
  <si>
    <t>The Gratitude Kitchen</t>
  </si>
  <si>
    <t>Indian, Burgers, Snacks, Fast Food, Salads, Desserts</t>
  </si>
  <si>
    <t>SWG1721</t>
  </si>
  <si>
    <t>KHA - Burgers, Fries, Fried Chicken</t>
  </si>
  <si>
    <t>Burgers, American, Fast Food</t>
  </si>
  <si>
    <t>SWG1722</t>
  </si>
  <si>
    <t>Hotel Sampoorna Samadhan (By Hotel Apala Samadhan)</t>
  </si>
  <si>
    <t>Malwani, Indian, North Indian, Chinese</t>
  </si>
  <si>
    <t>SWG1723</t>
  </si>
  <si>
    <t>Zyka E Lajawab</t>
  </si>
  <si>
    <t>Chinese, Street Food, Indian, Kebabs, Tandoor</t>
  </si>
  <si>
    <t>SWG1724</t>
  </si>
  <si>
    <t>Maldrin's Chinese Restaurant</t>
  </si>
  <si>
    <t>SWG1725</t>
  </si>
  <si>
    <t>Mishmashbakery</t>
  </si>
  <si>
    <t>SWG1726</t>
  </si>
  <si>
    <t>Goan Katta</t>
  </si>
  <si>
    <t>Goan, Seafood, Indian, Beverages</t>
  </si>
  <si>
    <t>SWG1727</t>
  </si>
  <si>
    <t>The Moveable Feast</t>
  </si>
  <si>
    <t>North Indian, Chinese, Mughlai, Beverages, Biryani</t>
  </si>
  <si>
    <t>SWG1728</t>
  </si>
  <si>
    <t>Sisho - Oriental Pure Veg /Jain</t>
  </si>
  <si>
    <t>SWG1729</t>
  </si>
  <si>
    <t>Little West Pizza</t>
  </si>
  <si>
    <t>Pizzas, Italian, Beverages</t>
  </si>
  <si>
    <t>SWG1730</t>
  </si>
  <si>
    <t>Flavours 21</t>
  </si>
  <si>
    <t>Chinese, Lebanese, Biryani, Thai</t>
  </si>
  <si>
    <t>SWG1731</t>
  </si>
  <si>
    <t>Top Star</t>
  </si>
  <si>
    <t>Indian, Chinese, Tandoor, Biryani</t>
  </si>
  <si>
    <t>SWG1732</t>
  </si>
  <si>
    <t>Fussion</t>
  </si>
  <si>
    <t>North Indian, Tandoor, Mughlai, Parsi, Indian, American, Desserts, Ice Cream</t>
  </si>
  <si>
    <t>SWG1733</t>
  </si>
  <si>
    <t>Crab Kolambi Pomfret &amp; More</t>
  </si>
  <si>
    <t>PIMPRIPADA</t>
  </si>
  <si>
    <t>Maharashtrian, Seafood, Biryani, Desserts, Thalis</t>
  </si>
  <si>
    <t>SWG1734</t>
  </si>
  <si>
    <t>Amma's</t>
  </si>
  <si>
    <t>Chincholi Cross Road</t>
  </si>
  <si>
    <t>North Indian, Chinese, Tandoor, Beverages</t>
  </si>
  <si>
    <t>SWG1735</t>
  </si>
  <si>
    <t>Classic Comfort</t>
  </si>
  <si>
    <t>Beverages, Indian, Chinese, South Indian, Fast Food</t>
  </si>
  <si>
    <t>SWG1736</t>
  </si>
  <si>
    <t>Papa'S Multi Cuisine</t>
  </si>
  <si>
    <t>SWG1737</t>
  </si>
  <si>
    <t>Royal Challenge</t>
  </si>
  <si>
    <t>SWG1738</t>
  </si>
  <si>
    <t>The Game Ranch</t>
  </si>
  <si>
    <t>Pizzas, North Indian, Burgers, Asian, Chinese</t>
  </si>
  <si>
    <t>SWG1739</t>
  </si>
  <si>
    <t>Bajrang Bhel Puri</t>
  </si>
  <si>
    <t>SWG1740</t>
  </si>
  <si>
    <t>Sapna Veg Restaurant</t>
  </si>
  <si>
    <t>North Indian, South Indian</t>
  </si>
  <si>
    <t>SWG1741</t>
  </si>
  <si>
    <t>The Shawarma fellow</t>
  </si>
  <si>
    <t>Arabian</t>
  </si>
  <si>
    <t>SWG1742</t>
  </si>
  <si>
    <t>Olive Bistro &amp; Bar</t>
  </si>
  <si>
    <t>Indian, Italian</t>
  </si>
  <si>
    <t>SWG1743</t>
  </si>
  <si>
    <t>Waffle Town</t>
  </si>
  <si>
    <t>Waffle, Desserts, Beverages</t>
  </si>
  <si>
    <t>SWG1744</t>
  </si>
  <si>
    <t>Garden Court Restaurant</t>
  </si>
  <si>
    <t>SWG1745</t>
  </si>
  <si>
    <t>Adelkars Kitchen</t>
  </si>
  <si>
    <t>SWG1746</t>
  </si>
  <si>
    <t>Hill View</t>
  </si>
  <si>
    <t>SWG1747</t>
  </si>
  <si>
    <t>70's Frogurt Hood</t>
  </si>
  <si>
    <t>SWG1748</t>
  </si>
  <si>
    <t>SMP Express</t>
  </si>
  <si>
    <t>Chinese, Tandoor, Indian, Continental</t>
  </si>
  <si>
    <t>SWG1749</t>
  </si>
  <si>
    <t>Gupta Panipuri Center</t>
  </si>
  <si>
    <t>Chaat, Snacks</t>
  </si>
  <si>
    <t>SWG1750</t>
  </si>
  <si>
    <t>Malad Marathi Katta</t>
  </si>
  <si>
    <t>Maharashtrian, Biryani, Indian</t>
  </si>
  <si>
    <t>SWG1751</t>
  </si>
  <si>
    <t>Cream Lounge</t>
  </si>
  <si>
    <t>Snacks, Desserts, Beverages, Ice Cream</t>
  </si>
  <si>
    <t>SWG1752</t>
  </si>
  <si>
    <t>Lassi &amp; Falooda Co</t>
  </si>
  <si>
    <t>Ice Cream, Beverages, Juices, Indian, Snacks, Healthy Food</t>
  </si>
  <si>
    <t>SWG1753</t>
  </si>
  <si>
    <t>All About salads</t>
  </si>
  <si>
    <t>Continental, Healthy Food, Salads</t>
  </si>
  <si>
    <t>SWG1754</t>
  </si>
  <si>
    <t>Gorai Kinara</t>
  </si>
  <si>
    <t>Malwani, Chinese, North Indian, Beverages</t>
  </si>
  <si>
    <t>SWG1755</t>
  </si>
  <si>
    <t>High On Wok - Sassy N Saucy</t>
  </si>
  <si>
    <t>Aarey Road</t>
  </si>
  <si>
    <t>Asian, Chinese, Salads</t>
  </si>
  <si>
    <t>SWG1756</t>
  </si>
  <si>
    <t>Flag's</t>
  </si>
  <si>
    <t>North Indian, Chinese, Italian, Thai, Mexican</t>
  </si>
  <si>
    <t>SWG1757</t>
  </si>
  <si>
    <t>Namaskar</t>
  </si>
  <si>
    <t>Borivali west</t>
  </si>
  <si>
    <t>SWG1758</t>
  </si>
  <si>
    <t>Neelams pride</t>
  </si>
  <si>
    <t>Chinese, Indian, Snacks</t>
  </si>
  <si>
    <t>SWG1759</t>
  </si>
  <si>
    <t>Natural Fresh Ice Cream</t>
  </si>
  <si>
    <t>SWG1760</t>
  </si>
  <si>
    <t>Hotel Amantran</t>
  </si>
  <si>
    <t>SWG1761</t>
  </si>
  <si>
    <t>Agent Jack's Bar</t>
  </si>
  <si>
    <t>Tandoor, Chinese, Pizzas, Salads, Indian, North Indian, Healthy Food, Pastas, Jain</t>
  </si>
  <si>
    <t>SWG1762</t>
  </si>
  <si>
    <t>New Chopsticks</t>
  </si>
  <si>
    <t>SWG1763</t>
  </si>
  <si>
    <t>Sagar Sweets</t>
  </si>
  <si>
    <t>Sweets, Snacks, Bakery</t>
  </si>
  <si>
    <t>SWG1764</t>
  </si>
  <si>
    <t>City Samosa</t>
  </si>
  <si>
    <t>Snacks, Beverages</t>
  </si>
  <si>
    <t>SWG1765</t>
  </si>
  <si>
    <t>Cake Basket</t>
  </si>
  <si>
    <t xml:space="preserve">malad west </t>
  </si>
  <si>
    <t>SWG1766</t>
  </si>
  <si>
    <t>MovieMax</t>
  </si>
  <si>
    <t>Beverages, Burgers</t>
  </si>
  <si>
    <t>SWG1767</t>
  </si>
  <si>
    <t>Welcome Fast Food</t>
  </si>
  <si>
    <t>Fast Food, Snacks</t>
  </si>
  <si>
    <t>SWG1768</t>
  </si>
  <si>
    <t>Haagen Dazs Ice Cream &amp; Desserts</t>
  </si>
  <si>
    <t>Matunga Wadala</t>
  </si>
  <si>
    <t>SWG1769</t>
  </si>
  <si>
    <t>Tea Square Bar</t>
  </si>
  <si>
    <t>Pizzas, Fast Food, Street Food, Juices, Beverages</t>
  </si>
  <si>
    <t>SWG1770</t>
  </si>
  <si>
    <t>Makabo By Juice Time</t>
  </si>
  <si>
    <t>North Indian, Chinese, Beverages</t>
  </si>
  <si>
    <t>SWG1771</t>
  </si>
  <si>
    <t>New Sheetal Dugdhalaya</t>
  </si>
  <si>
    <t>SWG1772</t>
  </si>
  <si>
    <t>Malvani swad</t>
  </si>
  <si>
    <t>Indian, North Indian</t>
  </si>
  <si>
    <t>SWG1773</t>
  </si>
  <si>
    <t>Snack Shack</t>
  </si>
  <si>
    <t>SWG1774</t>
  </si>
  <si>
    <t>Shanghai Kitchen</t>
  </si>
  <si>
    <t>Chinese, Asian, Thai, Seafood, Beverages</t>
  </si>
  <si>
    <t>SWG1775</t>
  </si>
  <si>
    <t>Burrp Pizza</t>
  </si>
  <si>
    <t>SWG1776</t>
  </si>
  <si>
    <t>American Pie - Butter Crust Pizza</t>
  </si>
  <si>
    <t>Pizzas, Italian, Pastas</t>
  </si>
  <si>
    <t>SWG1777</t>
  </si>
  <si>
    <t>Pohewala</t>
  </si>
  <si>
    <t>Jog Gor West</t>
  </si>
  <si>
    <t>Snacks, Fast Food</t>
  </si>
  <si>
    <t>SWG1778</t>
  </si>
  <si>
    <t>Momo's Mealbox</t>
  </si>
  <si>
    <t>Chinese, Arabian, Fast Food, Burgers, Snacks, Pastas</t>
  </si>
  <si>
    <t>SWG1779</t>
  </si>
  <si>
    <t>Love &amp; Latte</t>
  </si>
  <si>
    <t>Beverages, Desserts, Cafe, Pizzas, Snacks, Waffle, Pastas</t>
  </si>
  <si>
    <t>SWG1780</t>
  </si>
  <si>
    <t>Sardaar Ji</t>
  </si>
  <si>
    <t>North Indian, Snacks, Chinese, Desserts</t>
  </si>
  <si>
    <t>SWG1781</t>
  </si>
  <si>
    <t>Cake Heaven</t>
  </si>
  <si>
    <t>SWG1782</t>
  </si>
  <si>
    <t>Bamboo Kitchen</t>
  </si>
  <si>
    <t>North Indian, Chinese, Biryani, Indian, Tandoor, Thai, Continental</t>
  </si>
  <si>
    <t>SWG1783</t>
  </si>
  <si>
    <t>Lassi Wala</t>
  </si>
  <si>
    <t>SWG1784</t>
  </si>
  <si>
    <t>Dharma's Sandwich</t>
  </si>
  <si>
    <t>Italian, American, Grill, Pizzas, Pastas, Snacks, Beverages</t>
  </si>
  <si>
    <t>SWG1785</t>
  </si>
  <si>
    <t>Hotel Ballaleshwar</t>
  </si>
  <si>
    <t>SWG1786</t>
  </si>
  <si>
    <t>Baithack</t>
  </si>
  <si>
    <t>Beverages, Fast Food, Snacks, Burgers</t>
  </si>
  <si>
    <t>SWG1787</t>
  </si>
  <si>
    <t>Great Indian Meals</t>
  </si>
  <si>
    <t>Mangalorean, North Indian, South Indian, Malwani</t>
  </si>
  <si>
    <t>SWG1788</t>
  </si>
  <si>
    <t>Gelato Italiano - Ice Cream</t>
  </si>
  <si>
    <t>SWG1789</t>
  </si>
  <si>
    <t>Brunch n Munch</t>
  </si>
  <si>
    <t>European, American, Continental, Italian</t>
  </si>
  <si>
    <t>SWG1790</t>
  </si>
  <si>
    <t>Ruchi Restaurant</t>
  </si>
  <si>
    <t>Gor East</t>
  </si>
  <si>
    <t>Italian, Burgers, Pizzas, Pastas, Continental</t>
  </si>
  <si>
    <t>SWG1791</t>
  </si>
  <si>
    <t>Farzi Cafe</t>
  </si>
  <si>
    <t>SWG1792</t>
  </si>
  <si>
    <t>Cococart</t>
  </si>
  <si>
    <t>SWG1793</t>
  </si>
  <si>
    <t>Kings Kulfi</t>
  </si>
  <si>
    <t>SWG1794</t>
  </si>
  <si>
    <t>6th Street Yogurt</t>
  </si>
  <si>
    <t>SWG1795</t>
  </si>
  <si>
    <t>Diya's Kitchen</t>
  </si>
  <si>
    <t>South Indian, Snacks, Juices, Desserts</t>
  </si>
  <si>
    <t>SWG1796</t>
  </si>
  <si>
    <t>Shamazing Sugarfree Desserts</t>
  </si>
  <si>
    <t>SWG1797</t>
  </si>
  <si>
    <t>Rosh &amp; Ron</t>
  </si>
  <si>
    <t>Bmc Colony</t>
  </si>
  <si>
    <t>Chinese, Thai</t>
  </si>
  <si>
    <t>SWG1798</t>
  </si>
  <si>
    <t>Sahara Hotel</t>
  </si>
  <si>
    <t>SWG1799</t>
  </si>
  <si>
    <t>Vedant kitchen</t>
  </si>
  <si>
    <t>SWG1800</t>
  </si>
  <si>
    <t>Chai Vibhaag</t>
  </si>
  <si>
    <t>Indian, Beverages, Snacks</t>
  </si>
  <si>
    <t>SWG1801</t>
  </si>
  <si>
    <t>Potlibabas Kitchen</t>
  </si>
  <si>
    <t>Malwani, Biryani, Seafood, Salads</t>
  </si>
  <si>
    <t>SWG1802</t>
  </si>
  <si>
    <t>Food Lord - The Dining Bar</t>
  </si>
  <si>
    <t>Chinese, Continental, Indian</t>
  </si>
  <si>
    <t>SWG1803</t>
  </si>
  <si>
    <t>Sweet heart cakes and more</t>
  </si>
  <si>
    <t>SWG1804</t>
  </si>
  <si>
    <t>Anna Dosa Point</t>
  </si>
  <si>
    <t>SWG1805</t>
  </si>
  <si>
    <t>Joyful Pizza</t>
  </si>
  <si>
    <t>SWG1806</t>
  </si>
  <si>
    <t>The Chinese Corner</t>
  </si>
  <si>
    <t>Chinese, Lebanese</t>
  </si>
  <si>
    <t>SWG1807</t>
  </si>
  <si>
    <t>Bao Bao</t>
  </si>
  <si>
    <t>Asian, Chinese, Beverages</t>
  </si>
  <si>
    <t>SWG1808</t>
  </si>
  <si>
    <t>Egg Station</t>
  </si>
  <si>
    <t>SWG1809</t>
  </si>
  <si>
    <t>Purohit Sweets</t>
  </si>
  <si>
    <t>Sweets, Fast Food, Desserts</t>
  </si>
  <si>
    <t>SWG1810</t>
  </si>
  <si>
    <t>Rajus fast food</t>
  </si>
  <si>
    <t>SWG1811</t>
  </si>
  <si>
    <t>Yummy cake</t>
  </si>
  <si>
    <t>SWG1812</t>
  </si>
  <si>
    <t>Maxus Cakes</t>
  </si>
  <si>
    <t>SWG1813</t>
  </si>
  <si>
    <t>World Famous Paratha</t>
  </si>
  <si>
    <t>Indian, Beverages</t>
  </si>
  <si>
    <t>SWG1814</t>
  </si>
  <si>
    <t>Swadesi Dairy Products</t>
  </si>
  <si>
    <t>SWG1815</t>
  </si>
  <si>
    <t>Detox Cold Pressed Juice Bar</t>
  </si>
  <si>
    <t>SWG1816</t>
  </si>
  <si>
    <t>Sri Ram Kulfi And Ice Creams</t>
  </si>
  <si>
    <t>SWG1817</t>
  </si>
  <si>
    <t>Lavista Cake Shop</t>
  </si>
  <si>
    <t>SWG1818</t>
  </si>
  <si>
    <t>Davat Fast Food</t>
  </si>
  <si>
    <t>Arabian, Chinese</t>
  </si>
  <si>
    <t>SWG1819</t>
  </si>
  <si>
    <t>Golden Family Restaurant</t>
  </si>
  <si>
    <t>Continental, Oriental, Asian</t>
  </si>
  <si>
    <t>SWG1820</t>
  </si>
  <si>
    <t>Ek Batta Do</t>
  </si>
  <si>
    <t>Beverages, Snacks, Burgers, Pastas</t>
  </si>
  <si>
    <t>SWG1821</t>
  </si>
  <si>
    <t>Centre Point Dhaba</t>
  </si>
  <si>
    <t>North Indian, Chinese, Snacks</t>
  </si>
  <si>
    <t>SWG1822</t>
  </si>
  <si>
    <t>Red Indian Sizzlers</t>
  </si>
  <si>
    <t>Pizzas, Chinese, Continental</t>
  </si>
  <si>
    <t>SWG1823</t>
  </si>
  <si>
    <t>Brownie Point Cakes Shop Frenchaies</t>
  </si>
  <si>
    <t>Indian, Bakery, Desserts</t>
  </si>
  <si>
    <t>SWG1824</t>
  </si>
  <si>
    <t>Super (Borivali)</t>
  </si>
  <si>
    <t>SWG1825</t>
  </si>
  <si>
    <t>The Italian Oven</t>
  </si>
  <si>
    <t>SWG1826</t>
  </si>
  <si>
    <t>Maa Laads Kitchen</t>
  </si>
  <si>
    <t>Home Food, Rajasthani, North Indian, Indian</t>
  </si>
  <si>
    <t>SWG1827</t>
  </si>
  <si>
    <t>The Dragon House</t>
  </si>
  <si>
    <t>SWG1828</t>
  </si>
  <si>
    <t>Crazy Dough Pizza</t>
  </si>
  <si>
    <t>SWG1829</t>
  </si>
  <si>
    <t>Charlie's Chimney</t>
  </si>
  <si>
    <t>Chinese, Biryani</t>
  </si>
  <si>
    <t>SWG1830</t>
  </si>
  <si>
    <t>Panchmukhi</t>
  </si>
  <si>
    <t>Rajan Pada</t>
  </si>
  <si>
    <t>Indian, North Indian, Chinese, Tandoor</t>
  </si>
  <si>
    <t>SWG1831</t>
  </si>
  <si>
    <t>Hotel Side Walk</t>
  </si>
  <si>
    <t>SWG1832</t>
  </si>
  <si>
    <t>Rustam Darbar</t>
  </si>
  <si>
    <t>Chinese, North Indian, Mughlai</t>
  </si>
  <si>
    <t>SWG1833</t>
  </si>
  <si>
    <t>First Bytes Of Home</t>
  </si>
  <si>
    <t>Maharashtrian, Street Food, Fast Food</t>
  </si>
  <si>
    <t>SWG1834</t>
  </si>
  <si>
    <t>Aadu's Kitchen</t>
  </si>
  <si>
    <t>Chinese, Thai, Indian, Snacks</t>
  </si>
  <si>
    <t>SWG1835</t>
  </si>
  <si>
    <t>Pappis Kitchen</t>
  </si>
  <si>
    <t>SWG1836</t>
  </si>
  <si>
    <t>Hotel Kokan Kinara</t>
  </si>
  <si>
    <t>North Indian, Seafood, Chinese, Tandoor</t>
  </si>
  <si>
    <t>SWG1837</t>
  </si>
  <si>
    <t>Urban Bawarchi</t>
  </si>
  <si>
    <t>Snacks, Biryani, Desserts</t>
  </si>
  <si>
    <t>SWG1838</t>
  </si>
  <si>
    <t>Bubble Tea (Badabing Badaboom)</t>
  </si>
  <si>
    <t>SWG1839</t>
  </si>
  <si>
    <t>Break Fast Choice</t>
  </si>
  <si>
    <t>SWG1840</t>
  </si>
  <si>
    <t>Al's Kitchen &amp; Grill</t>
  </si>
  <si>
    <t>Indian, Chinese, Thai, Tandoor, Fast Food</t>
  </si>
  <si>
    <t>SWG1841</t>
  </si>
  <si>
    <t>Geeta Z Veg Hub &amp; Tiffin Service</t>
  </si>
  <si>
    <t>Indian, Snacks, North Indian</t>
  </si>
  <si>
    <t>SWG1842</t>
  </si>
  <si>
    <t>Q Fussion</t>
  </si>
  <si>
    <t>SWG1843</t>
  </si>
  <si>
    <t>Urban Aladdin</t>
  </si>
  <si>
    <t>Tandoor, Mughlai, Chinese, Thai, Biryani, North Indian, Pizzas</t>
  </si>
  <si>
    <t>SWG1844</t>
  </si>
  <si>
    <t>Sultanate Biryani By Purple Foods</t>
  </si>
  <si>
    <t>Biryani, North Indian, Indian</t>
  </si>
  <si>
    <t>SWG1845</t>
  </si>
  <si>
    <t>Royal Chinese Corner</t>
  </si>
  <si>
    <t>SWG1846</t>
  </si>
  <si>
    <t>Star Biryani</t>
  </si>
  <si>
    <t>SWG1847</t>
  </si>
  <si>
    <t>Mad Over Momos</t>
  </si>
  <si>
    <t>SWG1848</t>
  </si>
  <si>
    <t>Marhaba</t>
  </si>
  <si>
    <t>SWG1849</t>
  </si>
  <si>
    <t>Firangi Burgers</t>
  </si>
  <si>
    <t>Fast Food, Pizzas, Chinese, Beverages</t>
  </si>
  <si>
    <t>SWG1850</t>
  </si>
  <si>
    <t>Huber And Holly</t>
  </si>
  <si>
    <t>SWG1851</t>
  </si>
  <si>
    <t>The Bihari Studio</t>
  </si>
  <si>
    <t>Kandivali East Lokhandwala</t>
  </si>
  <si>
    <t>SWG1852</t>
  </si>
  <si>
    <t>Franco's Pizzeria</t>
  </si>
  <si>
    <t>Pizzas, Pastas, Fast Food, Italian</t>
  </si>
  <si>
    <t>SWG1853</t>
  </si>
  <si>
    <t>Farmhouse Brass Anchor</t>
  </si>
  <si>
    <t>Asian, Continental</t>
  </si>
  <si>
    <t>SWG1854</t>
  </si>
  <si>
    <t>Pednekar Kitchen</t>
  </si>
  <si>
    <t>Seafood</t>
  </si>
  <si>
    <t>SWG1855</t>
  </si>
  <si>
    <t>The Fusion Express</t>
  </si>
  <si>
    <t>SWG1856</t>
  </si>
  <si>
    <t>Olive Garden</t>
  </si>
  <si>
    <t>North Indian, Italian, Mexican</t>
  </si>
  <si>
    <t>SWG1857</t>
  </si>
  <si>
    <t>Has Juice &amp; More</t>
  </si>
  <si>
    <t>South Indian, North Indian, Chinese, Desserts</t>
  </si>
  <si>
    <t>SWG1858</t>
  </si>
  <si>
    <t>B for Biryani</t>
  </si>
  <si>
    <t>North Indian, Biryani, Kebabs, Chinese, Asian, Thai, Mughlai</t>
  </si>
  <si>
    <t>SWG1859</t>
  </si>
  <si>
    <t>Kwanz</t>
  </si>
  <si>
    <t>Chinese, Indian, Biryani</t>
  </si>
  <si>
    <t>SWG1860</t>
  </si>
  <si>
    <t>Moyra Da</t>
  </si>
  <si>
    <t>Bengali, Sweets, Snacks</t>
  </si>
  <si>
    <t>SWG1861</t>
  </si>
  <si>
    <t>Bhimji And Sons</t>
  </si>
  <si>
    <t>SWG1862</t>
  </si>
  <si>
    <t>Hapningzs</t>
  </si>
  <si>
    <t>Kandivali borivali East</t>
  </si>
  <si>
    <t>Chinese, Indian, Tandoor, Biryani</t>
  </si>
  <si>
    <t>SWG1863</t>
  </si>
  <si>
    <t>Tandoor Cafe</t>
  </si>
  <si>
    <t>SWG1864</t>
  </si>
  <si>
    <t>From The Wok</t>
  </si>
  <si>
    <t>Malad kan east</t>
  </si>
  <si>
    <t>SWG1865</t>
  </si>
  <si>
    <t>Little Cherry</t>
  </si>
  <si>
    <t>SWG1866</t>
  </si>
  <si>
    <t>Fizzy Thakur Village</t>
  </si>
  <si>
    <t>Beverages, Desserts, Fast Food</t>
  </si>
  <si>
    <t>SWG1867</t>
  </si>
  <si>
    <t>Kulhad Rani</t>
  </si>
  <si>
    <t>Beverages, Snacks, Chinese</t>
  </si>
  <si>
    <t>SWG1868</t>
  </si>
  <si>
    <t>Bottle Booth</t>
  </si>
  <si>
    <t>SWG1869</t>
  </si>
  <si>
    <t>99 Waffles</t>
  </si>
  <si>
    <t>SWG1870</t>
  </si>
  <si>
    <t>Akkad Bakkad Bombay Boom</t>
  </si>
  <si>
    <t>Fast Food, Italian, Beverages</t>
  </si>
  <si>
    <t>SWG1871</t>
  </si>
  <si>
    <t>The Foodstagram</t>
  </si>
  <si>
    <t>Indian, Chinese, Biryani, Beverages</t>
  </si>
  <si>
    <t>SWG1872</t>
  </si>
  <si>
    <t>Dessero Cake Shop</t>
  </si>
  <si>
    <t>Bakery, Desserts, Waffle, Beverages, Burgers</t>
  </si>
  <si>
    <t>SWG1873</t>
  </si>
  <si>
    <t>CHINA WOK</t>
  </si>
  <si>
    <t>SWG1874</t>
  </si>
  <si>
    <t>Chef's Corner</t>
  </si>
  <si>
    <t>Italian-American, Mexican, Snacks</t>
  </si>
  <si>
    <t>SWG1875</t>
  </si>
  <si>
    <t>Tasty Corner</t>
  </si>
  <si>
    <t>SWG1876</t>
  </si>
  <si>
    <t>Effingut</t>
  </si>
  <si>
    <t>SWG1877</t>
  </si>
  <si>
    <t>Swad deshi mataka</t>
  </si>
  <si>
    <t>SWG1878</t>
  </si>
  <si>
    <t>Crave Kitchen</t>
  </si>
  <si>
    <t>Burgers, Beverages, Snacks</t>
  </si>
  <si>
    <t>SWG1879</t>
  </si>
  <si>
    <t>Boba And Mocha</t>
  </si>
  <si>
    <t>SWG1880</t>
  </si>
  <si>
    <t>Dharma's sandwich - Thakur Village</t>
  </si>
  <si>
    <t>Pizzas, North Indian, Grill, Beverages</t>
  </si>
  <si>
    <t>SWG1881</t>
  </si>
  <si>
    <t>Subhash Pan Bhandar And Coldrinks</t>
  </si>
  <si>
    <t>SWG1882</t>
  </si>
  <si>
    <t>Santushti Shakes And More</t>
  </si>
  <si>
    <t>Desserts, Waffle, Ice Cream</t>
  </si>
  <si>
    <t>SWG1883</t>
  </si>
  <si>
    <t>Spicy Dajiba</t>
  </si>
  <si>
    <t>EVERSHINE MILLANIUM PARADISE</t>
  </si>
  <si>
    <t>Indian, Snacks, Beverages</t>
  </si>
  <si>
    <t>SWG1884</t>
  </si>
  <si>
    <t>Shahi Caterers</t>
  </si>
  <si>
    <t>SWG1885</t>
  </si>
  <si>
    <t>Janta Farsan And Sweets</t>
  </si>
  <si>
    <t>Sweets, Snacks, Indian</t>
  </si>
  <si>
    <t>SWG1886</t>
  </si>
  <si>
    <t>Surti Egg Point</t>
  </si>
  <si>
    <t>SWG1887</t>
  </si>
  <si>
    <t>MH11 Assal Missal</t>
  </si>
  <si>
    <t>Street Food, Maharashtrian, Indian</t>
  </si>
  <si>
    <t>SWG1888</t>
  </si>
  <si>
    <t>Momos Canteen</t>
  </si>
  <si>
    <t xml:space="preserve">Dahisar East </t>
  </si>
  <si>
    <t>Chinese, Tibetan</t>
  </si>
  <si>
    <t>SWG1889</t>
  </si>
  <si>
    <t>Nuvola Gelato</t>
  </si>
  <si>
    <t>Kandivali, Malad East</t>
  </si>
  <si>
    <t>SWG1890</t>
  </si>
  <si>
    <t>Western Tadka</t>
  </si>
  <si>
    <t>Italian, North Indian, South Indian, Beverages, Snacks, American, Chinese, Salads, Rajasthani, Tandoor, Lebanese, Hyderabadi, Kebabs, Juices, Biryani</t>
  </si>
  <si>
    <t>SWG1891</t>
  </si>
  <si>
    <t>Kanha Sweets Snacks And Dryfruit</t>
  </si>
  <si>
    <t>Snacks, Chaat, Sweets, Beverages, Desserts</t>
  </si>
  <si>
    <t>SWG1892</t>
  </si>
  <si>
    <t>Momo Guy</t>
  </si>
  <si>
    <t>Chinese, Fast Food, Beverages</t>
  </si>
  <si>
    <t>SWG1893</t>
  </si>
  <si>
    <t># Vegan</t>
  </si>
  <si>
    <t>SWG1894</t>
  </si>
  <si>
    <t>Bhau Cha Dhakka</t>
  </si>
  <si>
    <t>Indian, Chinese, North Indian</t>
  </si>
  <si>
    <t>SWG1895</t>
  </si>
  <si>
    <t>Viola Patisserie</t>
  </si>
  <si>
    <t>G2 GARNET PALLADIUM</t>
  </si>
  <si>
    <t>SWG1896</t>
  </si>
  <si>
    <t>My Little Cafe</t>
  </si>
  <si>
    <t>Cafe, Pizzas</t>
  </si>
  <si>
    <t>SWG1897</t>
  </si>
  <si>
    <t>Hotel sekar</t>
  </si>
  <si>
    <t>SWG1898</t>
  </si>
  <si>
    <t>Sultans Deli</t>
  </si>
  <si>
    <t>Arabian, Lebanese</t>
  </si>
  <si>
    <t>SWG1899</t>
  </si>
  <si>
    <t>MexiChino</t>
  </si>
  <si>
    <t>Mexican, Chinese</t>
  </si>
  <si>
    <t>SWG1900</t>
  </si>
  <si>
    <t>RTC 2 - Rolls and Chicken Grills</t>
  </si>
  <si>
    <t>SWG1901</t>
  </si>
  <si>
    <t>Soda Frankie Hub</t>
  </si>
  <si>
    <t>SWG1902</t>
  </si>
  <si>
    <t>SHEIK'S Shawarma</t>
  </si>
  <si>
    <t>Lebanese, Mediterranean, Arabian, Middle Eastern, Beverages, Desserts, Bakery, Jain</t>
  </si>
  <si>
    <t>SWG1903</t>
  </si>
  <si>
    <t>Mastee</t>
  </si>
  <si>
    <t>Italian, Continental</t>
  </si>
  <si>
    <t>SWG1904</t>
  </si>
  <si>
    <t>The Veg Treat Legacy</t>
  </si>
  <si>
    <t>Chinese, South Indian, Biryani, Indian</t>
  </si>
  <si>
    <t>SWG1905</t>
  </si>
  <si>
    <t>The China Kitchen</t>
  </si>
  <si>
    <t>SWG1906</t>
  </si>
  <si>
    <t>Monopoly Restaurant &amp; Juice House</t>
  </si>
  <si>
    <t>Continental, Beverages</t>
  </si>
  <si>
    <t>SWG1907</t>
  </si>
  <si>
    <t>Laxmi Vilas</t>
  </si>
  <si>
    <t>Daftary Road</t>
  </si>
  <si>
    <t>North Indian, Chinese, Seafood</t>
  </si>
  <si>
    <t>SWG1908</t>
  </si>
  <si>
    <t>Pritam Fast Food</t>
  </si>
  <si>
    <t>Chinese, Beverages, South Indian, Indian, Fast Food</t>
  </si>
  <si>
    <t>SWG1909</t>
  </si>
  <si>
    <t>Smoothie Bar Inc</t>
  </si>
  <si>
    <t>SWG1910</t>
  </si>
  <si>
    <t>Bombay Cycle Cafe</t>
  </si>
  <si>
    <t>SWG1911</t>
  </si>
  <si>
    <t>White House Cafe</t>
  </si>
  <si>
    <t>Italian, Beverages</t>
  </si>
  <si>
    <t>SWG1912</t>
  </si>
  <si>
    <t>Shuddhi</t>
  </si>
  <si>
    <t>SWG1913</t>
  </si>
  <si>
    <t>Muchhad Paanwala</t>
  </si>
  <si>
    <t>SWG1914</t>
  </si>
  <si>
    <t>Parathas And Meals</t>
  </si>
  <si>
    <t>Ganesh Chowk</t>
  </si>
  <si>
    <t>SWG1915</t>
  </si>
  <si>
    <t>Bangalore Iyyangars Bakery</t>
  </si>
  <si>
    <t>SWG1916</t>
  </si>
  <si>
    <t>Suriya's Kitchen</t>
  </si>
  <si>
    <t>Thai, Chinese, Asian</t>
  </si>
  <si>
    <t>SWG1917</t>
  </si>
  <si>
    <t>The Hangout Burger Hub</t>
  </si>
  <si>
    <t>Fast Food, Snacks, American</t>
  </si>
  <si>
    <t>SWG1918</t>
  </si>
  <si>
    <t>The Grove Kitchen And Bar</t>
  </si>
  <si>
    <t>SWG1919</t>
  </si>
  <si>
    <t>SHREE SEVA FOODS</t>
  </si>
  <si>
    <t>SWG1920</t>
  </si>
  <si>
    <t>Aaradhya Family Chinese Corner</t>
  </si>
  <si>
    <t>SWG1921</t>
  </si>
  <si>
    <t>Sam Snacks</t>
  </si>
  <si>
    <t>SWG1922</t>
  </si>
  <si>
    <t>Bollywood Burger &amp; Waffles CO</t>
  </si>
  <si>
    <t>SWG1923</t>
  </si>
  <si>
    <t>Sweet Touch By Landmark</t>
  </si>
  <si>
    <t>SWG1924</t>
  </si>
  <si>
    <t>Moktu</t>
  </si>
  <si>
    <t>SWG1925</t>
  </si>
  <si>
    <t>Natural juice center</t>
  </si>
  <si>
    <t>SWG1926</t>
  </si>
  <si>
    <t>The Boat Club</t>
  </si>
  <si>
    <t>Indian, Thai</t>
  </si>
  <si>
    <t>SWG1927</t>
  </si>
  <si>
    <t>Masala Mastee</t>
  </si>
  <si>
    <t>Maharashtrian, North Indian, Chinese, Fast Food</t>
  </si>
  <si>
    <t>SWG1928</t>
  </si>
  <si>
    <t>Hotel Navbharat</t>
  </si>
  <si>
    <t>Chinese, Indian, Beverages</t>
  </si>
  <si>
    <t>SWG1929</t>
  </si>
  <si>
    <t>Coastal Food and Spirits</t>
  </si>
  <si>
    <t>SWG1930</t>
  </si>
  <si>
    <t>Hotel Lotus Court</t>
  </si>
  <si>
    <t>SWG1931</t>
  </si>
  <si>
    <t>SoonLi Chinese Restaurant</t>
  </si>
  <si>
    <t>SWG1932</t>
  </si>
  <si>
    <t>Raju's Asian Corner</t>
  </si>
  <si>
    <t>SWG1933</t>
  </si>
  <si>
    <t>Maratha Biryani Center</t>
  </si>
  <si>
    <t>Biryani, Chinese, Mughlai, North Indian, Tandoor</t>
  </si>
  <si>
    <t>SWG1934</t>
  </si>
  <si>
    <t>Flag's Iii</t>
  </si>
  <si>
    <t>Indian, Continental, Chinese, Italian</t>
  </si>
  <si>
    <t>SWG1935</t>
  </si>
  <si>
    <t>Aai Krupa Fast Food</t>
  </si>
  <si>
    <t>SWG1936</t>
  </si>
  <si>
    <t>Ashoka Restaurant &amp; Bar</t>
  </si>
  <si>
    <t>SWG1937</t>
  </si>
  <si>
    <t>Mizuna The Oriental Place</t>
  </si>
  <si>
    <t>Chinese, Fast Food, Snacks, Asian</t>
  </si>
  <si>
    <t>SWG1938</t>
  </si>
  <si>
    <t>Jaya's Kitchen</t>
  </si>
  <si>
    <t>SWG1939</t>
  </si>
  <si>
    <t>Crazy Cakes</t>
  </si>
  <si>
    <t>SWG1940</t>
  </si>
  <si>
    <t>Happy Moments</t>
  </si>
  <si>
    <t>SWG1941</t>
  </si>
  <si>
    <t>The Shivaay</t>
  </si>
  <si>
    <t>Indian, Chinese, Continental</t>
  </si>
  <si>
    <t>SWG1942</t>
  </si>
  <si>
    <t>Bombay Sweets</t>
  </si>
  <si>
    <t>SWG1943</t>
  </si>
  <si>
    <t>Banglore Iyangar'S Bekery</t>
  </si>
  <si>
    <t>SWG1944</t>
  </si>
  <si>
    <t>Radha Krishna Hotel</t>
  </si>
  <si>
    <t>SWG1945</t>
  </si>
  <si>
    <t>Da Krem - Home of fresh baking.</t>
  </si>
  <si>
    <t>SWG1946</t>
  </si>
  <si>
    <t>Laxmi Sweets and Thaali</t>
  </si>
  <si>
    <t>SWG1947</t>
  </si>
  <si>
    <t>Madhav Fast Food And juice Center</t>
  </si>
  <si>
    <t>Beverages, Indian, Fast Food, South Indian, Burgers, Pizzas, Snacks</t>
  </si>
  <si>
    <t>SWG1948</t>
  </si>
  <si>
    <t>Pooja Pav Bhaji And Snacks Corner</t>
  </si>
  <si>
    <t>Fast Food, Indian, Chinese</t>
  </si>
  <si>
    <t>SWG1949</t>
  </si>
  <si>
    <t>Shetty tea and snacks center</t>
  </si>
  <si>
    <t>Snacks, South Indian</t>
  </si>
  <si>
    <t>SWG1950</t>
  </si>
  <si>
    <t>Cherry &amp; Chocolatte</t>
  </si>
  <si>
    <t>Bandra West</t>
  </si>
  <si>
    <t>SWG1951</t>
  </si>
  <si>
    <t>Maharaja Darbar</t>
  </si>
  <si>
    <t>Gandhare Road</t>
  </si>
  <si>
    <t>North Indian, Chinese, South Indian, Burgers, Pizzas, Bakery, Beverages</t>
  </si>
  <si>
    <t>SWG1952</t>
  </si>
  <si>
    <t>Meal By Kilo</t>
  </si>
  <si>
    <t>SWG1953</t>
  </si>
  <si>
    <t>Bhajiyawala &amp; Co</t>
  </si>
  <si>
    <t>Indian, Italian-American, Continental, Lebanese</t>
  </si>
  <si>
    <t>SWG1954</t>
  </si>
  <si>
    <t>North Punjabi Kitchen</t>
  </si>
  <si>
    <t>North Indian, Punjabi, Maharashtrian, Indian</t>
  </si>
  <si>
    <t>SWG1955</t>
  </si>
  <si>
    <t>Prasadam</t>
  </si>
  <si>
    <t>SWG1956</t>
  </si>
  <si>
    <t>Mumbai Fast Food</t>
  </si>
  <si>
    <t>Fast Food, Snacks, Pizzas, Beverages</t>
  </si>
  <si>
    <t>SWG1957</t>
  </si>
  <si>
    <t>Joye's Pizzeria</t>
  </si>
  <si>
    <t>Chinese, Desserts, Burgers, Pizzas, Italian</t>
  </si>
  <si>
    <t>SWG1958</t>
  </si>
  <si>
    <t>Hotel Regency</t>
  </si>
  <si>
    <t>SWG1959</t>
  </si>
  <si>
    <t>Savory Kitchen</t>
  </si>
  <si>
    <t>Indian, Bengali</t>
  </si>
  <si>
    <t>SWG1960</t>
  </si>
  <si>
    <t>Tavola restaurant</t>
  </si>
  <si>
    <t>Indian, Biryani, Chinese, Pizzas, Seafood</t>
  </si>
  <si>
    <t>SWG1961</t>
  </si>
  <si>
    <t>Vijay Pure Veg</t>
  </si>
  <si>
    <t>SWG1962</t>
  </si>
  <si>
    <t>Konkan Kubera</t>
  </si>
  <si>
    <t>Chinese, North Indian, Seafood</t>
  </si>
  <si>
    <t>SWG1963</t>
  </si>
  <si>
    <t>Spaghetto</t>
  </si>
  <si>
    <t>SWG1964</t>
  </si>
  <si>
    <t>Froozo</t>
  </si>
  <si>
    <t>Pizzas, Beverages, Burgers, Desserts</t>
  </si>
  <si>
    <t>SWG1965</t>
  </si>
  <si>
    <t>Chinese Foodie</t>
  </si>
  <si>
    <t>SWG1966</t>
  </si>
  <si>
    <t>Chinese Katta</t>
  </si>
  <si>
    <t>Chinese, Snacks</t>
  </si>
  <si>
    <t>SWG1967</t>
  </si>
  <si>
    <t>Cake Culture</t>
  </si>
  <si>
    <t>SWG1968</t>
  </si>
  <si>
    <t>Phat Fork Chinese</t>
  </si>
  <si>
    <t>SWG1969</t>
  </si>
  <si>
    <t>Yummy Shawarma</t>
  </si>
  <si>
    <t>Arabian, Burgers, Kebabs, Snacks, Beverages</t>
  </si>
  <si>
    <t>SWG1970</t>
  </si>
  <si>
    <t>Panda Momos</t>
  </si>
  <si>
    <t>Asian, Chinese, Tibetan, Beverages, Desserts</t>
  </si>
  <si>
    <t>SWG1971</t>
  </si>
  <si>
    <t>The Chinese House</t>
  </si>
  <si>
    <t>SWG1972</t>
  </si>
  <si>
    <t>London Dairy</t>
  </si>
  <si>
    <t>Punjabi</t>
  </si>
  <si>
    <t>SWG1973</t>
  </si>
  <si>
    <t>Pure Veg Bowls &amp; Meals</t>
  </si>
  <si>
    <t>Healthy Food, Pizzas, North Indian, Thalis, Biryani, Chinese</t>
  </si>
  <si>
    <t>SWG1974</t>
  </si>
  <si>
    <t>The Cake House</t>
  </si>
  <si>
    <t>SWG1975</t>
  </si>
  <si>
    <t>Wack Waffles &amp; Brownies</t>
  </si>
  <si>
    <t>SWG1976</t>
  </si>
  <si>
    <t>Miami Waffle &amp; Jawbreakers</t>
  </si>
  <si>
    <t>Waffle, Bakery, Desserts, Bengali</t>
  </si>
  <si>
    <t>SWG1977</t>
  </si>
  <si>
    <t>Winners Pizza (Fresh Dough)</t>
  </si>
  <si>
    <t>SWG1978</t>
  </si>
  <si>
    <t>Green Dot Pizza</t>
  </si>
  <si>
    <t>SWG1979</t>
  </si>
  <si>
    <t>MASKA CHASKA</t>
  </si>
  <si>
    <t>Chinese, Pizzas</t>
  </si>
  <si>
    <t>SWG1980</t>
  </si>
  <si>
    <t>Cake4u</t>
  </si>
  <si>
    <t>SWG1981</t>
  </si>
  <si>
    <t>Jenny's Brownies</t>
  </si>
  <si>
    <t>Waffle, Bakery, Ice Cream, Desserts, Beverages</t>
  </si>
  <si>
    <t>SWG1982</t>
  </si>
  <si>
    <t>Cafe k2k</t>
  </si>
  <si>
    <t>SWG1983</t>
  </si>
  <si>
    <t>Nomad Salad</t>
  </si>
  <si>
    <t>Salads, Healthy Food</t>
  </si>
  <si>
    <t>SWG1984</t>
  </si>
  <si>
    <t>Food Express</t>
  </si>
  <si>
    <t>Fast Food, Italian, Snacks</t>
  </si>
  <si>
    <t>SWG1985</t>
  </si>
  <si>
    <t>Wendy's Flavor Fresh Burgers</t>
  </si>
  <si>
    <t>SWG1986</t>
  </si>
  <si>
    <t>Mummy's Kitchen</t>
  </si>
  <si>
    <t>Street Food, South Indian</t>
  </si>
  <si>
    <t>SWG1987</t>
  </si>
  <si>
    <t>Cake Zone</t>
  </si>
  <si>
    <t>SWG1988</t>
  </si>
  <si>
    <t>Cake Point</t>
  </si>
  <si>
    <t>Cafe</t>
  </si>
  <si>
    <t>SWG1989</t>
  </si>
  <si>
    <t>Mumma's kitchen</t>
  </si>
  <si>
    <t>SWG1990</t>
  </si>
  <si>
    <t>Friends Fast Food</t>
  </si>
  <si>
    <t>SWG1991</t>
  </si>
  <si>
    <t>Food Hub</t>
  </si>
  <si>
    <t>SWG1992</t>
  </si>
  <si>
    <t>Vital Bowls</t>
  </si>
  <si>
    <t>Healthy Food, Salads, Beverages, Keto</t>
  </si>
  <si>
    <t>SWG1993</t>
  </si>
  <si>
    <t>Wakka Makka Chinese</t>
  </si>
  <si>
    <t>Chinese, Asian, Desserts, Beverages</t>
  </si>
  <si>
    <t>SWG1994</t>
  </si>
  <si>
    <t>Tea Villa Cafe</t>
  </si>
  <si>
    <t>Beverages, Asian, Italian-American, Arabian, Japanese, Fast Food, Waffle, Salads</t>
  </si>
  <si>
    <t>SWG1995</t>
  </si>
  <si>
    <t>Shawarma Corner</t>
  </si>
  <si>
    <t>SWG1996</t>
  </si>
  <si>
    <t>The Sandwich House</t>
  </si>
  <si>
    <t>Snacks, Fast Food, Pizzas, American, Desserts</t>
  </si>
  <si>
    <t>SWG1997</t>
  </si>
  <si>
    <t>CELEBRATE WITH CAKE</t>
  </si>
  <si>
    <t>SWG1998</t>
  </si>
  <si>
    <t>Live Puff Factory</t>
  </si>
  <si>
    <t>SWG1999</t>
  </si>
  <si>
    <t>Sanjog Restaurant</t>
  </si>
  <si>
    <t>Indian, Kebabs, Chinese, Tandoor, Biryani, Beverages, Juices</t>
  </si>
  <si>
    <t>SWG2000</t>
  </si>
  <si>
    <t>Bottoms Up</t>
  </si>
  <si>
    <t>SWG2001</t>
  </si>
  <si>
    <t>Minus Zero Degree Icecreams</t>
  </si>
  <si>
    <t>Desserts, Ice Cream, Beverages</t>
  </si>
  <si>
    <t>SWG2002</t>
  </si>
  <si>
    <t>Tea Pea</t>
  </si>
  <si>
    <t>Italian, Beverages, Desserts, Snacks, Fast Food, Chaat, American</t>
  </si>
  <si>
    <t>SWG2003</t>
  </si>
  <si>
    <t>Wedeshi Canteen</t>
  </si>
  <si>
    <t>BORIVALI EAST</t>
  </si>
  <si>
    <t>Waffle, Desserts</t>
  </si>
  <si>
    <t>SWG2004</t>
  </si>
  <si>
    <t>Pizza Mania</t>
  </si>
  <si>
    <t>Pizzas, Fast Food</t>
  </si>
  <si>
    <t>SWG2005</t>
  </si>
  <si>
    <t>Miami Shakes &amp; More</t>
  </si>
  <si>
    <t>SWG2006</t>
  </si>
  <si>
    <t>Chinese Adda</t>
  </si>
  <si>
    <t>Chinese, Fast Food, Italian</t>
  </si>
  <si>
    <t>SWG2007</t>
  </si>
  <si>
    <t>BlackBun</t>
  </si>
  <si>
    <t>SWG2008</t>
  </si>
  <si>
    <t>Subhash Paan Bhandar</t>
  </si>
  <si>
    <t>SWG2009</t>
  </si>
  <si>
    <t>MCF - V Kitchen</t>
  </si>
  <si>
    <t>SWG2010</t>
  </si>
  <si>
    <t>Shegaon Kachori - Maha 203</t>
  </si>
  <si>
    <t>SWG2011</t>
  </si>
  <si>
    <t>Pooja Malai Gola</t>
  </si>
  <si>
    <t>SWG2012</t>
  </si>
  <si>
    <t>Bake &amp; Bite</t>
  </si>
  <si>
    <t>SWG2013</t>
  </si>
  <si>
    <t>shree balaji foods</t>
  </si>
  <si>
    <t>SWG2014</t>
  </si>
  <si>
    <t>Shree Rameshwar Ice Cream And Falooda</t>
  </si>
  <si>
    <t>SWG2015</t>
  </si>
  <si>
    <t>Baskin Robbins</t>
  </si>
  <si>
    <t>SWG2016</t>
  </si>
  <si>
    <t>Chopsticks Pure Veg</t>
  </si>
  <si>
    <t>SWG2017</t>
  </si>
  <si>
    <t>Mitron Kandivali</t>
  </si>
  <si>
    <t>Italian-American, Fast Food, Salads</t>
  </si>
  <si>
    <t>SWG2018</t>
  </si>
  <si>
    <t>UK14 Icecream</t>
  </si>
  <si>
    <t>Bakery, Ice Cream, Beverages</t>
  </si>
  <si>
    <t>SWG2019</t>
  </si>
  <si>
    <t>Sage</t>
  </si>
  <si>
    <t>Pastas, European, Continental, Italian, Cafe</t>
  </si>
  <si>
    <t>SWG2020</t>
  </si>
  <si>
    <t>Bombay Chinese Co.</t>
  </si>
  <si>
    <t>Thai, Chinese, Indian</t>
  </si>
  <si>
    <t>SWG2021</t>
  </si>
  <si>
    <t>Bombay Healthy Juices</t>
  </si>
  <si>
    <t>Juices</t>
  </si>
  <si>
    <t>SWG2022</t>
  </si>
  <si>
    <t>Pooja Chinese Corner</t>
  </si>
  <si>
    <t>Kandivali - West</t>
  </si>
  <si>
    <t>SWG2023</t>
  </si>
  <si>
    <t>Poush - Essence of Kashmir</t>
  </si>
  <si>
    <t>Indian, Bengali, Mughlai</t>
  </si>
  <si>
    <t>SWG2024</t>
  </si>
  <si>
    <t>Taste of Italy</t>
  </si>
  <si>
    <t>Continental, Italian, Fast Food</t>
  </si>
  <si>
    <t>SWG2025</t>
  </si>
  <si>
    <t>Manaqish - Lebanese Gourmet</t>
  </si>
  <si>
    <t>Lebanese, Salads, Snacks</t>
  </si>
  <si>
    <t>SWG2026</t>
  </si>
  <si>
    <t>Tawa Twist ( Pure Veg )</t>
  </si>
  <si>
    <t>SWG2027</t>
  </si>
  <si>
    <t>Vaishalis Krustty Kremme</t>
  </si>
  <si>
    <t>Bakery, Cakes and Pastries, Desserts</t>
  </si>
  <si>
    <t>SWG2028</t>
  </si>
  <si>
    <t>Saute</t>
  </si>
  <si>
    <t>Thai, Chinese, Indian, Tandoor</t>
  </si>
  <si>
    <t>SWG2029</t>
  </si>
  <si>
    <t>PizzAah! District</t>
  </si>
  <si>
    <t>SWG2030</t>
  </si>
  <si>
    <t>Satnam Golden Fast Food Centre</t>
  </si>
  <si>
    <t>Fast Food, Italian, Mexican, Snacks</t>
  </si>
  <si>
    <t>SWG2031</t>
  </si>
  <si>
    <t>The Kulfi &amp; Falooda Project</t>
  </si>
  <si>
    <t>Ice Cream, Beverages, Juices, Desserts</t>
  </si>
  <si>
    <t>SWG2032</t>
  </si>
  <si>
    <t>Coffee Craft</t>
  </si>
  <si>
    <t>Beverages, Fast Food, Desserts</t>
  </si>
  <si>
    <t>SWG2033</t>
  </si>
  <si>
    <t>K's Charcoal</t>
  </si>
  <si>
    <t>Italian, Mexican</t>
  </si>
  <si>
    <t>SWG2034</t>
  </si>
  <si>
    <t>7 Islands</t>
  </si>
  <si>
    <t>Indian, Oriental, Snacks, North Indian, Chinese, Pastas</t>
  </si>
  <si>
    <t>SWG2035</t>
  </si>
  <si>
    <t>Namaskar - The Maharaja</t>
  </si>
  <si>
    <t>North Indian, Seafood, Biryani, Tandoor, Kebabs</t>
  </si>
  <si>
    <t>SWG2036</t>
  </si>
  <si>
    <t>Cheezza Point</t>
  </si>
  <si>
    <t>Pizzas, Burgers, Snacks, Beverages</t>
  </si>
  <si>
    <t>SWG2037</t>
  </si>
  <si>
    <t>Hen Hao Chi</t>
  </si>
  <si>
    <t>SWG2038</t>
  </si>
  <si>
    <t>Mantra</t>
  </si>
  <si>
    <t>SWG2039</t>
  </si>
  <si>
    <t>Sam Chinese Corner</t>
  </si>
  <si>
    <t>SWG2040</t>
  </si>
  <si>
    <t>Albela Chinese Home</t>
  </si>
  <si>
    <t>SWG2041</t>
  </si>
  <si>
    <t>Mother's Touch Gujrati</t>
  </si>
  <si>
    <t>SWG2042</t>
  </si>
  <si>
    <t>Nityanand (Kandivali)</t>
  </si>
  <si>
    <t>Dhanukarwadi</t>
  </si>
  <si>
    <t>SWG2043</t>
  </si>
  <si>
    <t>Dream Wok</t>
  </si>
  <si>
    <t>SWG2044</t>
  </si>
  <si>
    <t>The Chinese Village</t>
  </si>
  <si>
    <t>Gorai</t>
  </si>
  <si>
    <t>Chinese, Beverages, Desserts</t>
  </si>
  <si>
    <t>SWG2045</t>
  </si>
  <si>
    <t>Royal Chinese Cafe</t>
  </si>
  <si>
    <t>SWG2046</t>
  </si>
  <si>
    <t>Snackiezz</t>
  </si>
  <si>
    <t>Continental, Beverages, Snacks, Italian-American</t>
  </si>
  <si>
    <t>SWG2047</t>
  </si>
  <si>
    <t>Bipin Sandwich &amp; Pizza Plaza</t>
  </si>
  <si>
    <t>SWG2048</t>
  </si>
  <si>
    <t>PS Pav Bhaji</t>
  </si>
  <si>
    <t>SWG2049</t>
  </si>
  <si>
    <t>Bipin Big Sandwich</t>
  </si>
  <si>
    <t>SWG2050</t>
  </si>
  <si>
    <t>Ambika Chinese Restaurant (Since 2005)</t>
  </si>
  <si>
    <t>SWG2051</t>
  </si>
  <si>
    <t>Dum De Biryani</t>
  </si>
  <si>
    <t>Snacks, Biryani, Tandoor, Indian</t>
  </si>
  <si>
    <t>SWG2052</t>
  </si>
  <si>
    <t>Gup Shup Snacks Junction</t>
  </si>
  <si>
    <t>SWG2053</t>
  </si>
  <si>
    <t>Swaad E Rasoi</t>
  </si>
  <si>
    <t>SWG2054</t>
  </si>
  <si>
    <t>Chocoholix</t>
  </si>
  <si>
    <t>SWG2055</t>
  </si>
  <si>
    <t>Unique Cake Shop</t>
  </si>
  <si>
    <t>SWG2056</t>
  </si>
  <si>
    <t>Dandelions Kitchen &amp; Bar</t>
  </si>
  <si>
    <t>Indian, Kebabs, Continental, Thai, Burmese, Salads, Seafood</t>
  </si>
  <si>
    <t>SWG2057</t>
  </si>
  <si>
    <t>Hassan Kabab Spot</t>
  </si>
  <si>
    <t>Snacks, North Indian, Indian</t>
  </si>
  <si>
    <t>SWG2058</t>
  </si>
  <si>
    <t>Nagori Tea Point</t>
  </si>
  <si>
    <t>SWG2059</t>
  </si>
  <si>
    <t>Eat Hygiene</t>
  </si>
  <si>
    <t>Pizzas, Pastas, Desserts, Beverages</t>
  </si>
  <si>
    <t>SWG2060</t>
  </si>
  <si>
    <t>Raju's Chinese Corner</t>
  </si>
  <si>
    <t>SWG2061</t>
  </si>
  <si>
    <t>Food Lovers</t>
  </si>
  <si>
    <t>SWG2062</t>
  </si>
  <si>
    <t>Enchante By Chai Point</t>
  </si>
  <si>
    <t>SWG2063</t>
  </si>
  <si>
    <t>Hot Lee Chinese</t>
  </si>
  <si>
    <t>SWG2064</t>
  </si>
  <si>
    <t>Food Planet</t>
  </si>
  <si>
    <t>Snacks, Pizzas, Burgers, Fast Food</t>
  </si>
  <si>
    <t>SWG2065</t>
  </si>
  <si>
    <t>Waffle World</t>
  </si>
  <si>
    <t>SWG2066</t>
  </si>
  <si>
    <t>Snack Eat</t>
  </si>
  <si>
    <t>SWG2067</t>
  </si>
  <si>
    <t>The Sandwich Story</t>
  </si>
  <si>
    <t>Indian, Snacks, Juices, Desserts</t>
  </si>
  <si>
    <t>SWG2068</t>
  </si>
  <si>
    <t>Little Loco Pops</t>
  </si>
  <si>
    <t>SWG2069</t>
  </si>
  <si>
    <t>Moody Foody</t>
  </si>
  <si>
    <t xml:space="preserve">Kandivali east </t>
  </si>
  <si>
    <t>Indian, Maharashtrian, Street Food, Chinese, Pizzas, Fast Food, Burgers, Cafe, Beverages</t>
  </si>
  <si>
    <t>SWG2070</t>
  </si>
  <si>
    <t>BFF- Bombay French Fries</t>
  </si>
  <si>
    <t>Continental, Desserts, Beverages</t>
  </si>
  <si>
    <t>SWG2071</t>
  </si>
  <si>
    <t>The Waffle Room</t>
  </si>
  <si>
    <t>Waffle, Cafe</t>
  </si>
  <si>
    <t>SWG2072</t>
  </si>
  <si>
    <t>Quick Meal</t>
  </si>
  <si>
    <t>SWG2073</t>
  </si>
  <si>
    <t>Eagle Boys Pizza and Cafe</t>
  </si>
  <si>
    <t>Italian, Pizzas, Burgers, Pastas, Beverages</t>
  </si>
  <si>
    <t>SWG2074</t>
  </si>
  <si>
    <t>Chyna</t>
  </si>
  <si>
    <t>SWG2075</t>
  </si>
  <si>
    <t>JK Sweets</t>
  </si>
  <si>
    <t>Malad West Mumbai</t>
  </si>
  <si>
    <t>SWG2076</t>
  </si>
  <si>
    <t>Foods Planet</t>
  </si>
  <si>
    <t>SWG2077</t>
  </si>
  <si>
    <t>Gangaur Thali</t>
  </si>
  <si>
    <t>SWG2078</t>
  </si>
  <si>
    <t>The Sandwich Zone</t>
  </si>
  <si>
    <t>SWG2079</t>
  </si>
  <si>
    <t>Power Smoothies</t>
  </si>
  <si>
    <t>Healthy Food, Beverages</t>
  </si>
  <si>
    <t>SWG2080</t>
  </si>
  <si>
    <t>Triveni Pan Bhandar</t>
  </si>
  <si>
    <t>Paan, Desserts</t>
  </si>
  <si>
    <t>SWG2081</t>
  </si>
  <si>
    <t>Vividham Sweets</t>
  </si>
  <si>
    <t>SWG2082</t>
  </si>
  <si>
    <t>Food Shood</t>
  </si>
  <si>
    <t>Indian, North Indian, Snacks, Mughlai, Tandoor, Kebabs, Punjabi, Biryani, Chinese, Street Food</t>
  </si>
  <si>
    <t>SWG2083</t>
  </si>
  <si>
    <t>Gigil Brasserie</t>
  </si>
  <si>
    <t>Italian, Pizzas, Beverages</t>
  </si>
  <si>
    <t>SWG2084</t>
  </si>
  <si>
    <t>Nirala Gourmet Kitchen</t>
  </si>
  <si>
    <t>Pizzas, Pastas, Burgers, Snacks</t>
  </si>
  <si>
    <t>SWG2085</t>
  </si>
  <si>
    <t>Hotel Sai Prasad Family Restaurant</t>
  </si>
  <si>
    <t>SWG2086</t>
  </si>
  <si>
    <t>Sarova Bar &amp; Restaurant</t>
  </si>
  <si>
    <t>Thalis, Chinese, North Indian</t>
  </si>
  <si>
    <t>SWG2087</t>
  </si>
  <si>
    <t>Pizza In Town</t>
  </si>
  <si>
    <t>SWG2088</t>
  </si>
  <si>
    <t>Jay Bhavani Fast Food Center</t>
  </si>
  <si>
    <t>Fast Food, North Indian, Chinese, Biryani</t>
  </si>
  <si>
    <t>SWG2089</t>
  </si>
  <si>
    <t>Raja Chinese Corner</t>
  </si>
  <si>
    <t>SWG2090</t>
  </si>
  <si>
    <t>Agga Bai</t>
  </si>
  <si>
    <t>SWG2091</t>
  </si>
  <si>
    <t>Golden Delicacy Multicuisine Restaurant</t>
  </si>
  <si>
    <t>Indian, South Indian, Chinese, Tandoor, Biryani, Snacks, Italian-American, Ice Cream, Beverages</t>
  </si>
  <si>
    <t>SWG2092</t>
  </si>
  <si>
    <t>Bombay Boba</t>
  </si>
  <si>
    <t>SWG2093</t>
  </si>
  <si>
    <t>OM R K Fast Food</t>
  </si>
  <si>
    <t>SWG2094</t>
  </si>
  <si>
    <t>PLATESS MULTICUISINE RESTAURANT</t>
  </si>
  <si>
    <t>SWG2095</t>
  </si>
  <si>
    <t>Namak Mirchi</t>
  </si>
  <si>
    <t>North Indian, Biryani, Chinese, Mughlai, Punjabi, Kebabs</t>
  </si>
  <si>
    <t>SWG2096</t>
  </si>
  <si>
    <t>Mozo Pizzaria</t>
  </si>
  <si>
    <t>Behind Annexe Mall</t>
  </si>
  <si>
    <t>Pizzas, Burgers, Chinese, Desserts, Italian</t>
  </si>
  <si>
    <t>SWG2097</t>
  </si>
  <si>
    <t>The Khichdi House</t>
  </si>
  <si>
    <t>Indian, North Indian, Thalis, Desserts</t>
  </si>
  <si>
    <t>SWG2098</t>
  </si>
  <si>
    <t>Tandav Tea Company</t>
  </si>
  <si>
    <t>SWG2099</t>
  </si>
  <si>
    <t>Oven Stories Pizza</t>
  </si>
  <si>
    <t>SWG2100</t>
  </si>
  <si>
    <t>Creamillaa</t>
  </si>
  <si>
    <t>SWG2101</t>
  </si>
  <si>
    <t>Thakkar Lunch Home</t>
  </si>
  <si>
    <t>SWG2102</t>
  </si>
  <si>
    <t>Mama's By Banjara Dhaba Veg</t>
  </si>
  <si>
    <t>North Indian, Chinese, Fast Food, Snacks, Biryani</t>
  </si>
  <si>
    <t>SWG2103</t>
  </si>
  <si>
    <t>Combos &amp; More - The Steal Deal Food Factory</t>
  </si>
  <si>
    <t>Chinese, Pan-Asian, Thai, Beverages</t>
  </si>
  <si>
    <t>SWG2104</t>
  </si>
  <si>
    <t>Hotel Matsyagandha</t>
  </si>
  <si>
    <t>North Indian, Malwani, Chinese, Seafood, Mangalorean, Tandoor</t>
  </si>
  <si>
    <t>SWG2105</t>
  </si>
  <si>
    <t>Love 99</t>
  </si>
  <si>
    <t>Desserts, Waffle, Beverages, Bakery</t>
  </si>
  <si>
    <t>SWG2106</t>
  </si>
  <si>
    <t>House Of Combos</t>
  </si>
  <si>
    <t>Combo, Continental, Asian</t>
  </si>
  <si>
    <t>SWG2107</t>
  </si>
  <si>
    <t>Ice Cap The Cake Shop</t>
  </si>
  <si>
    <t>SWG2108</t>
  </si>
  <si>
    <t>Biryani Lovers</t>
  </si>
  <si>
    <t>Biryani, Arabian, Tandoor</t>
  </si>
  <si>
    <t>SWG2109</t>
  </si>
  <si>
    <t>Glaciers Cakes And More</t>
  </si>
  <si>
    <t>SWG2110</t>
  </si>
  <si>
    <t>Happy Moments The Cake Shop</t>
  </si>
  <si>
    <t>SWG2111</t>
  </si>
  <si>
    <t>The Dutch Waffles</t>
  </si>
  <si>
    <t>SWG2112</t>
  </si>
  <si>
    <t>Chile Ma</t>
  </si>
  <si>
    <t>Bakery, Waffle</t>
  </si>
  <si>
    <t>SWG2113</t>
  </si>
  <si>
    <t>Uncle's Kitchenette</t>
  </si>
  <si>
    <t>Waffle, Bakery</t>
  </si>
  <si>
    <t>SWG2114</t>
  </si>
  <si>
    <t>De Firrrangi cafe</t>
  </si>
  <si>
    <t>SWG2115</t>
  </si>
  <si>
    <t>DK's Kitchen</t>
  </si>
  <si>
    <t>Chinese, Tandoor</t>
  </si>
  <si>
    <t>SWG2116</t>
  </si>
  <si>
    <t>Bbcc - Borivali Barbeque Chinese Co.</t>
  </si>
  <si>
    <t>Italian</t>
  </si>
  <si>
    <t>SWG2117</t>
  </si>
  <si>
    <t>Choco Pack</t>
  </si>
  <si>
    <t>SWG2118</t>
  </si>
  <si>
    <t>Sandwich Co.</t>
  </si>
  <si>
    <t>SWG2119</t>
  </si>
  <si>
    <t>Vivgato The Live Cake Shop</t>
  </si>
  <si>
    <t>SWG2120</t>
  </si>
  <si>
    <t>M M Dum Biriyani Centre</t>
  </si>
  <si>
    <t>Indian, Biryani, Beverages</t>
  </si>
  <si>
    <t>SWG2121</t>
  </si>
  <si>
    <t>Hari Om Snack Bar</t>
  </si>
  <si>
    <t>Fast Food, Snacks, Indian</t>
  </si>
  <si>
    <t>SWG2122</t>
  </si>
  <si>
    <t>Jaggu Anna</t>
  </si>
  <si>
    <t>Fast Food, Kebabs, Snacks</t>
  </si>
  <si>
    <t>SWG2123</t>
  </si>
  <si>
    <t>Signature Premium Cafe &amp; Resto</t>
  </si>
  <si>
    <t>Pizzas, Fast Food, South Indian, Juices, Snacks</t>
  </si>
  <si>
    <t>SWG2124</t>
  </si>
  <si>
    <t>Mangalam</t>
  </si>
  <si>
    <t>SWG2125</t>
  </si>
  <si>
    <t>Chaat Samrat</t>
  </si>
  <si>
    <t>Chaat, Pizzas, Pastas, Fast Food, Snacks, Burgers</t>
  </si>
  <si>
    <t>SWG2126</t>
  </si>
  <si>
    <t>Cafe Town</t>
  </si>
  <si>
    <t>Burgers</t>
  </si>
  <si>
    <t>SWG2127</t>
  </si>
  <si>
    <t>Hotel Aqua Stone RESTO BAR</t>
  </si>
  <si>
    <t>Chinese, Snacks, Beverages, North Indian, Kebabs</t>
  </si>
  <si>
    <t>SWG2128</t>
  </si>
  <si>
    <t>Srijana Momo House</t>
  </si>
  <si>
    <t>SWG2129</t>
  </si>
  <si>
    <t>Cafe To Gather</t>
  </si>
  <si>
    <t>SWG2130</t>
  </si>
  <si>
    <t>Meal In Minutes</t>
  </si>
  <si>
    <t>North Indian, Pizzas, Fast Food, Snacks, Beverages</t>
  </si>
  <si>
    <t>SWG2131</t>
  </si>
  <si>
    <t>Wanton Point Tadka</t>
  </si>
  <si>
    <t>SWG2132</t>
  </si>
  <si>
    <t>Agri Malhari Katta.(Tandoori House)</t>
  </si>
  <si>
    <t>Biryani, Chinese, Tandoor, Kebabs, North Indian, Sweets</t>
  </si>
  <si>
    <t>SWG2133</t>
  </si>
  <si>
    <t>Daily 52</t>
  </si>
  <si>
    <t>SWG2134</t>
  </si>
  <si>
    <t>Culture Kitchen</t>
  </si>
  <si>
    <t>SWG2135</t>
  </si>
  <si>
    <t>Golden Plate</t>
  </si>
  <si>
    <t>Chinese, North Indian, Biryani, Beverages</t>
  </si>
  <si>
    <t>SWG2136</t>
  </si>
  <si>
    <t>Casa Curry</t>
  </si>
  <si>
    <t>SWG2137</t>
  </si>
  <si>
    <t>The Cookie Dough</t>
  </si>
  <si>
    <t>Snacks, Bakery, Fast Food, Beverages</t>
  </si>
  <si>
    <t>SWG2138</t>
  </si>
  <si>
    <t>What The Wok</t>
  </si>
  <si>
    <t>SWG2139</t>
  </si>
  <si>
    <t>Burgerbook</t>
  </si>
  <si>
    <t>American, Fast Food</t>
  </si>
  <si>
    <t>SWG2140</t>
  </si>
  <si>
    <t>Kamath Dakshinswaad</t>
  </si>
  <si>
    <t>SWG2141</t>
  </si>
  <si>
    <t>Shweta's Taatbhar Potbhar</t>
  </si>
  <si>
    <t>SWG2142</t>
  </si>
  <si>
    <t>Momento Pizza</t>
  </si>
  <si>
    <t>SWG2143</t>
  </si>
  <si>
    <t>Brownie Point Malad</t>
  </si>
  <si>
    <t>SWG2144</t>
  </si>
  <si>
    <t>Cafe A1</t>
  </si>
  <si>
    <t>North Indian, Tandoor, Mughlai, Chinese, Fast Food, Desserts, Beverages</t>
  </si>
  <si>
    <t>SWG2145</t>
  </si>
  <si>
    <t>Desi Dawat</t>
  </si>
  <si>
    <t>Charkop</t>
  </si>
  <si>
    <t>SWG2146</t>
  </si>
  <si>
    <t>Slide A Roll</t>
  </si>
  <si>
    <t>SWG2147</t>
  </si>
  <si>
    <t>Mr Singhs Tandoori Hut by RPD</t>
  </si>
  <si>
    <t>North Indian, Tandoor, Biryani</t>
  </si>
  <si>
    <t>SWG2148</t>
  </si>
  <si>
    <t>Shree Siddhivinayak juice and snacks centre</t>
  </si>
  <si>
    <t>SWG2149</t>
  </si>
  <si>
    <t>Kalubai juice center</t>
  </si>
  <si>
    <t>SWG2150</t>
  </si>
  <si>
    <t>Dragon Flame Chinese</t>
  </si>
  <si>
    <t>SWG2151</t>
  </si>
  <si>
    <t>Ashish Chinese Corner</t>
  </si>
  <si>
    <t>kandivalli charkop</t>
  </si>
  <si>
    <t>SWG2152</t>
  </si>
  <si>
    <t>The Tasty Love</t>
  </si>
  <si>
    <t>Chinese, Arabian, Biryani, South Indian</t>
  </si>
  <si>
    <t>SWG2153</t>
  </si>
  <si>
    <t>Noon Roti - Story of Bihar</t>
  </si>
  <si>
    <t>KANDIVALI WEST</t>
  </si>
  <si>
    <t>SWG2154</t>
  </si>
  <si>
    <t>Preeti Sandwich and juice center</t>
  </si>
  <si>
    <t>Snacks, Italian, Pizzas, Pastas, Beverages</t>
  </si>
  <si>
    <t>SWG2155</t>
  </si>
  <si>
    <t>AL-Falah Irani Chai Momos And More</t>
  </si>
  <si>
    <t>SWG2156</t>
  </si>
  <si>
    <t>Baan Khun yay</t>
  </si>
  <si>
    <t>Chinese, Thai, Desserts</t>
  </si>
  <si>
    <t>SWG2157</t>
  </si>
  <si>
    <t>Film City Fast Food</t>
  </si>
  <si>
    <t>SWG2158</t>
  </si>
  <si>
    <t>The Bombay Stories</t>
  </si>
  <si>
    <t>Street Food, Beverages, Fast Food, Pizzas, Pastas</t>
  </si>
  <si>
    <t>SWG2159</t>
  </si>
  <si>
    <t>Boneto Fine Dine</t>
  </si>
  <si>
    <t>SWG2160</t>
  </si>
  <si>
    <t>Chhedas</t>
  </si>
  <si>
    <t>SWG2161</t>
  </si>
  <si>
    <t>Amit Fast Food- Chinese Corner</t>
  </si>
  <si>
    <t>SWG2162</t>
  </si>
  <si>
    <t>Sai Sarovar</t>
  </si>
  <si>
    <t>North Indian, Snacks, Chinese</t>
  </si>
  <si>
    <t>SWG2163</t>
  </si>
  <si>
    <t>Thew Pueblo Gourmet - TPG</t>
  </si>
  <si>
    <t>SWG2164</t>
  </si>
  <si>
    <t>Raza Biryani</t>
  </si>
  <si>
    <t>Biryani, Kebabs, Tandoor</t>
  </si>
  <si>
    <t>SWG2165</t>
  </si>
  <si>
    <t>New Sam's Kitchen</t>
  </si>
  <si>
    <t>SWG2166</t>
  </si>
  <si>
    <t>Flavour &amp; Spice</t>
  </si>
  <si>
    <t>Fast Food, Indian, Tandoor</t>
  </si>
  <si>
    <t>SWG2167</t>
  </si>
  <si>
    <t>Fishermans Hook</t>
  </si>
  <si>
    <t>SWG2168</t>
  </si>
  <si>
    <t>WEST COAST DINER</t>
  </si>
  <si>
    <t>SWG2169</t>
  </si>
  <si>
    <t>Lady The Leaf</t>
  </si>
  <si>
    <t>Continental, Salads, Grill, Juices, Beverages</t>
  </si>
  <si>
    <t>SWG2170</t>
  </si>
  <si>
    <t>DYNAMIC CAKE</t>
  </si>
  <si>
    <t>SWG2171</t>
  </si>
  <si>
    <t>Om Sai Dosa Center</t>
  </si>
  <si>
    <t>SWG2172</t>
  </si>
  <si>
    <t>Gravy and Savy</t>
  </si>
  <si>
    <t>Kandivali W</t>
  </si>
  <si>
    <t>SWG2173</t>
  </si>
  <si>
    <t>Mithilanchal - Xpress Of Food Abode</t>
  </si>
  <si>
    <t>SWG2174</t>
  </si>
  <si>
    <t>Dale's Eden - Gifting</t>
  </si>
  <si>
    <t>SWG2175</t>
  </si>
  <si>
    <t>Subhanallah Chinese</t>
  </si>
  <si>
    <t>SWG2176</t>
  </si>
  <si>
    <t>Jalandharwala</t>
  </si>
  <si>
    <t>Indian, Snacks, Desserts</t>
  </si>
  <si>
    <t>SWG2177</t>
  </si>
  <si>
    <t>Rolls &amp; Many More</t>
  </si>
  <si>
    <t>SWG2178</t>
  </si>
  <si>
    <t>La pizza house</t>
  </si>
  <si>
    <t>Dahisar west</t>
  </si>
  <si>
    <t>Fast Food, Snacks, Pizzas, Maharashtrian</t>
  </si>
  <si>
    <t>SWG2179</t>
  </si>
  <si>
    <t>Trunks &amp; Leaves</t>
  </si>
  <si>
    <t>Chinese, Italian, Mexican, Indian, Kebabs, Tandoor, Biryani</t>
  </si>
  <si>
    <t>SWG2180</t>
  </si>
  <si>
    <t>KOFU - Premium Artisanal Icecreams</t>
  </si>
  <si>
    <t>SWG2181</t>
  </si>
  <si>
    <t>IceCream Cake City</t>
  </si>
  <si>
    <t>Bakery, Beverages</t>
  </si>
  <si>
    <t>SWG2182</t>
  </si>
  <si>
    <t>Oye Lucky Paratha</t>
  </si>
  <si>
    <t>Indian, Punjabi, Beverages</t>
  </si>
  <si>
    <t>SWG2183</t>
  </si>
  <si>
    <t>Adventure Momo House</t>
  </si>
  <si>
    <t>SWG2184</t>
  </si>
  <si>
    <t>Reuben Restrobar</t>
  </si>
  <si>
    <t>North Indian, Chinese, Italian, Snacks, Biryani, Desserts, Continental, Pizzas, Salads, Beverages, Mughlai</t>
  </si>
  <si>
    <t>SWG2185</t>
  </si>
  <si>
    <t>Wu Momos - Malad</t>
  </si>
  <si>
    <t>SWG2186</t>
  </si>
  <si>
    <t>Aradhana Hotel</t>
  </si>
  <si>
    <t>South Indian, Indian</t>
  </si>
  <si>
    <t>SWG2187</t>
  </si>
  <si>
    <t>Trends</t>
  </si>
  <si>
    <t>SWG2188</t>
  </si>
  <si>
    <t>Conscious Baking Project</t>
  </si>
  <si>
    <t>SWG2189</t>
  </si>
  <si>
    <t>Paanjo Taste</t>
  </si>
  <si>
    <t>SWG2190</t>
  </si>
  <si>
    <t>Bhor</t>
  </si>
  <si>
    <t>SWG2191</t>
  </si>
  <si>
    <t>Kung Fu</t>
  </si>
  <si>
    <t>Chinese, Pan-Asian, Continental, Asian</t>
  </si>
  <si>
    <t>SWG2192</t>
  </si>
  <si>
    <t>Crust &amp; Buns</t>
  </si>
  <si>
    <t>Pizzas, Fast Food, Italian, Salads</t>
  </si>
  <si>
    <t>SWG2193</t>
  </si>
  <si>
    <t>Kababi Nation</t>
  </si>
  <si>
    <t>SWG2194</t>
  </si>
  <si>
    <t>Deepak Chinese Corner</t>
  </si>
  <si>
    <t>SWG2195</t>
  </si>
  <si>
    <t>Tight House</t>
  </si>
  <si>
    <t>Pizzas, Chinese, Indian, Beverages, Biryani</t>
  </si>
  <si>
    <t>SWG2196</t>
  </si>
  <si>
    <t>Chulha  Sardari</t>
  </si>
  <si>
    <t>North Indian, Punjabi, Biryani, Chinese, Indian</t>
  </si>
  <si>
    <t>SWG2197</t>
  </si>
  <si>
    <t>Yo Social Cafe</t>
  </si>
  <si>
    <t>Indian, North Indian, Chinese, Biryani, Pastas, Snacks</t>
  </si>
  <si>
    <t>SWG2198</t>
  </si>
  <si>
    <t>Curry N Fry</t>
  </si>
  <si>
    <t>Biryani, Chinese, Tandoor, North Indian</t>
  </si>
  <si>
    <t>SWG2199</t>
  </si>
  <si>
    <t>Hot Grill</t>
  </si>
  <si>
    <t>North Indian, Biryani</t>
  </si>
  <si>
    <t>SWG2200</t>
  </si>
  <si>
    <t>CBC Chinese By Choice</t>
  </si>
  <si>
    <t>Chinese, Thai, Asian, Beverages</t>
  </si>
  <si>
    <t>SWG2201</t>
  </si>
  <si>
    <t>The Little Cakery</t>
  </si>
  <si>
    <t>SWG2202</t>
  </si>
  <si>
    <t>Shree Shankar Vilas Juice Centre</t>
  </si>
  <si>
    <t>SWG2203</t>
  </si>
  <si>
    <t>Salads@169</t>
  </si>
  <si>
    <t>Salads</t>
  </si>
  <si>
    <t>SWG2204</t>
  </si>
  <si>
    <t>Chavdar Thamba</t>
  </si>
  <si>
    <t>SWG2205</t>
  </si>
  <si>
    <t>Joker Joe s pizza</t>
  </si>
  <si>
    <t xml:space="preserve">Jog Gor East </t>
  </si>
  <si>
    <t>SWG2206</t>
  </si>
  <si>
    <t>Sandwich And Frankey House</t>
  </si>
  <si>
    <t>Fast Food, Snacks, Italian-American, Beverages</t>
  </si>
  <si>
    <t>SWG2207</t>
  </si>
  <si>
    <t>Marve Bakery</t>
  </si>
  <si>
    <t>North Indian, Chaat</t>
  </si>
  <si>
    <t>SWG2208</t>
  </si>
  <si>
    <t>Idaily - Idli Daily</t>
  </si>
  <si>
    <t>South Indian, Snacks, Indian, Beverages</t>
  </si>
  <si>
    <t>SWG2209</t>
  </si>
  <si>
    <t>Grow More Snacks(Maitri Amruttulya)</t>
  </si>
  <si>
    <t>SWG2210</t>
  </si>
  <si>
    <t>Mudras</t>
  </si>
  <si>
    <t>Pizzas, Fast Food, Beverages, Indian</t>
  </si>
  <si>
    <t>SWG2211</t>
  </si>
  <si>
    <t>Sunday The Comfort Kitchen</t>
  </si>
  <si>
    <t>Chinese, Continental, Indian, Goan, Italian, Salads</t>
  </si>
  <si>
    <t>SWG2212</t>
  </si>
  <si>
    <t>Shivansh Kitchen</t>
  </si>
  <si>
    <t>South Indian, Beverages, Snacks</t>
  </si>
  <si>
    <t>SWG2213</t>
  </si>
  <si>
    <t>The Live Cake Shop</t>
  </si>
  <si>
    <t>SWG2214</t>
  </si>
  <si>
    <t>Rasoi kamaal</t>
  </si>
  <si>
    <t>Malwani, Chinese, North Indian</t>
  </si>
  <si>
    <t>SWG2215</t>
  </si>
  <si>
    <t>Masterji - Surati Anda Gotala</t>
  </si>
  <si>
    <t>Indian, Gujarati</t>
  </si>
  <si>
    <t>SWG2216</t>
  </si>
  <si>
    <t>Momos &amp; Waffle Cafe</t>
  </si>
  <si>
    <t>Chinese, Kebabs</t>
  </si>
  <si>
    <t>SWG2217</t>
  </si>
  <si>
    <t>AADI GRAND RESTAURANT</t>
  </si>
  <si>
    <t>SWG2218</t>
  </si>
  <si>
    <t>Brahmi-The Veg Bistro</t>
  </si>
  <si>
    <t>Biryani, Indian, Chinese, Beverages</t>
  </si>
  <si>
    <t>SWG2219</t>
  </si>
  <si>
    <t>Namaste Borivali</t>
  </si>
  <si>
    <t>SWG2220</t>
  </si>
  <si>
    <t>Chaska Corner</t>
  </si>
  <si>
    <t>SWG2221</t>
  </si>
  <si>
    <t>Dharma Sandwich</t>
  </si>
  <si>
    <t>SWG2222</t>
  </si>
  <si>
    <t>Manojs Ice Cream</t>
  </si>
  <si>
    <t>SWG2223</t>
  </si>
  <si>
    <t>Food Lover Point</t>
  </si>
  <si>
    <t>SWG2224</t>
  </si>
  <si>
    <t>Shiv Shakti</t>
  </si>
  <si>
    <t>SWG2225</t>
  </si>
  <si>
    <t>Suyog Dining Bar</t>
  </si>
  <si>
    <t>SWG2226</t>
  </si>
  <si>
    <t>81 Olives</t>
  </si>
  <si>
    <t>SWG2227</t>
  </si>
  <si>
    <t>Remi'S Kitchen</t>
  </si>
  <si>
    <t>Jain, Chinese, Tibetan</t>
  </si>
  <si>
    <t>SWG2228</t>
  </si>
  <si>
    <t>Aqua Dhaba</t>
  </si>
  <si>
    <t>Indian, Chinese, Biryani</t>
  </si>
  <si>
    <t>SWG2229</t>
  </si>
  <si>
    <t>Healthy Shawarma</t>
  </si>
  <si>
    <t>SWG2230</t>
  </si>
  <si>
    <t>Oriv Resto - Cafe - Bar</t>
  </si>
  <si>
    <t>Chinese, Pizzas, Snacks, Pastas</t>
  </si>
  <si>
    <t>SWG2231</t>
  </si>
  <si>
    <t>Delights</t>
  </si>
  <si>
    <t>SWG2232</t>
  </si>
  <si>
    <t>Nagori tea and cold drinks shop</t>
  </si>
  <si>
    <t>SWG2233</t>
  </si>
  <si>
    <t>Delhi Sweet &amp; Bhelpuri House</t>
  </si>
  <si>
    <t>Snacks, Sweets, Chaat, Street Food</t>
  </si>
  <si>
    <t>SWG2234</t>
  </si>
  <si>
    <t>Shri Sainath</t>
  </si>
  <si>
    <t>SWG2235</t>
  </si>
  <si>
    <t>Backyard Beer Garden</t>
  </si>
  <si>
    <t>SWG2236</t>
  </si>
  <si>
    <t>Donna's Pizza</t>
  </si>
  <si>
    <t>SWG2237</t>
  </si>
  <si>
    <t>Gourmet Veg Burgers By Spukies</t>
  </si>
  <si>
    <t>SWG2238</t>
  </si>
  <si>
    <t>Kabali</t>
  </si>
  <si>
    <t>Indian, Tandoor, Salads</t>
  </si>
  <si>
    <t>SWG2239</t>
  </si>
  <si>
    <t>Gossip Corner</t>
  </si>
  <si>
    <t>SWG2240</t>
  </si>
  <si>
    <t>Rajdhani Caterers</t>
  </si>
  <si>
    <t>SWG2241</t>
  </si>
  <si>
    <t>Dave's Dal Dhokli</t>
  </si>
  <si>
    <t>Gujarati, Rajasthani, Maharashtrian</t>
  </si>
  <si>
    <t>SWG2242</t>
  </si>
  <si>
    <t>Plate - It</t>
  </si>
  <si>
    <t>Biryani, Italian</t>
  </si>
  <si>
    <t>SWG2243</t>
  </si>
  <si>
    <t>Squares Pizza and Cafe</t>
  </si>
  <si>
    <t>SWG2244</t>
  </si>
  <si>
    <t>Sriya chinese Restaurant</t>
  </si>
  <si>
    <t>Chinese, North Indian, Indian, Beverages</t>
  </si>
  <si>
    <t>SWG2245</t>
  </si>
  <si>
    <t>Shanghai Chinese Pure Veg</t>
  </si>
  <si>
    <t>SWG2246</t>
  </si>
  <si>
    <t>Jumboking Indain Burger</t>
  </si>
  <si>
    <t>SWG2247</t>
  </si>
  <si>
    <t xml:space="preserve">Annalaxmi Snacks </t>
  </si>
  <si>
    <t>Chinese, South Indian, Tandoor, Arabian, Fast Food</t>
  </si>
  <si>
    <t>SWG2248</t>
  </si>
  <si>
    <t>M/S. Aslam Chicken</t>
  </si>
  <si>
    <t>North Indian, Kebabs, Desserts</t>
  </si>
  <si>
    <t>SWG2249</t>
  </si>
  <si>
    <t>Dharmu's Snacks Corner</t>
  </si>
  <si>
    <t>Snacks, Maharashtrian</t>
  </si>
  <si>
    <t>SWG2250</t>
  </si>
  <si>
    <t>Aaradhya Super Restaurant</t>
  </si>
  <si>
    <t>SWG2251</t>
  </si>
  <si>
    <t>New Cake Place</t>
  </si>
  <si>
    <t>SWG2252</t>
  </si>
  <si>
    <t>Bounty The Cake Stop</t>
  </si>
  <si>
    <t>SWG2253</t>
  </si>
  <si>
    <t>SHRINATH SWEETS AND SNACKS</t>
  </si>
  <si>
    <t>SWG2254</t>
  </si>
  <si>
    <t>Bombay Blues Icecream</t>
  </si>
  <si>
    <t>SWG2255</t>
  </si>
  <si>
    <t>SHREE  GANESH SWEET SHOP</t>
  </si>
  <si>
    <t>Beverages, Fast Food</t>
  </si>
  <si>
    <t>SWG2256</t>
  </si>
  <si>
    <t>Shreeji Fast Food And juice Center</t>
  </si>
  <si>
    <t>Beverages, Burgers, South Indian, Fast Food, Pizzas, Chinese, Indian, Snacks</t>
  </si>
  <si>
    <t>SWG2257</t>
  </si>
  <si>
    <t>Munchies's Thakur Complex</t>
  </si>
  <si>
    <t>Beverages, Italian</t>
  </si>
  <si>
    <t>SWG2258</t>
  </si>
  <si>
    <t>Vrindavan Fine Foods</t>
  </si>
  <si>
    <t>SWG2259</t>
  </si>
  <si>
    <t>Food Of Joy</t>
  </si>
  <si>
    <t>Italian-American, Fast Food, Chinese, Beverages</t>
  </si>
  <si>
    <t>SWG2260</t>
  </si>
  <si>
    <t>Bombay Tea</t>
  </si>
  <si>
    <t>Beverages, Desserts, Bakery</t>
  </si>
  <si>
    <t>SWG2261</t>
  </si>
  <si>
    <t>Subday Thakur Complex</t>
  </si>
  <si>
    <t>Indian, Fast Food, Beverages</t>
  </si>
  <si>
    <t>SWG2262</t>
  </si>
  <si>
    <t>King of juices thakur complex</t>
  </si>
  <si>
    <t>SWG2263</t>
  </si>
  <si>
    <t>Tittaas</t>
  </si>
  <si>
    <t>Beverages, Ice Cream, Desserts</t>
  </si>
  <si>
    <t>SWG2264</t>
  </si>
  <si>
    <t>I Am Foodie</t>
  </si>
  <si>
    <t>SWG2265</t>
  </si>
  <si>
    <t>Shree Narayan Fine Dinning</t>
  </si>
  <si>
    <t>South Indian, North Indian, Chinese, Malwani, Tandoor</t>
  </si>
  <si>
    <t>SWG2266</t>
  </si>
  <si>
    <t>Delightful Meals</t>
  </si>
  <si>
    <t>Indian, Snacks, Thalis</t>
  </si>
  <si>
    <t>SWG2267</t>
  </si>
  <si>
    <t>Bhukkad Thali &amp; Combo</t>
  </si>
  <si>
    <t>SWG2268</t>
  </si>
  <si>
    <t>Bhukkad Biryani</t>
  </si>
  <si>
    <t>SWG2269</t>
  </si>
  <si>
    <t>Annapurna Theplahouse &amp; Dry Snacks</t>
  </si>
  <si>
    <t>SWG2270</t>
  </si>
  <si>
    <t>Parathe Wali Gulli</t>
  </si>
  <si>
    <t>SWG2271</t>
  </si>
  <si>
    <t>Eggless Cakes</t>
  </si>
  <si>
    <t>SWG2272</t>
  </si>
  <si>
    <t>Cake Star</t>
  </si>
  <si>
    <t>SWG2273</t>
  </si>
  <si>
    <t>Fast Food Adda</t>
  </si>
  <si>
    <t>SWG2274</t>
  </si>
  <si>
    <t>Waffles By Di Bella</t>
  </si>
  <si>
    <t>Desserts, Waffle, Ice Cream, Bakery, Snacks</t>
  </si>
  <si>
    <t>SWG2275</t>
  </si>
  <si>
    <t>Indie Feast By Purple Foods</t>
  </si>
  <si>
    <t>A K Vaidya Marg</t>
  </si>
  <si>
    <t>Indian, Tandoor, Kebabs, Biryani, Beverages, Desserts</t>
  </si>
  <si>
    <t>SWG2276</t>
  </si>
  <si>
    <t>Cake Story</t>
  </si>
  <si>
    <t>SWG2277</t>
  </si>
  <si>
    <t>Swa Varhadi Misal</t>
  </si>
  <si>
    <t>Street Food, Beverages</t>
  </si>
  <si>
    <t>SWG2278</t>
  </si>
  <si>
    <t>Pav Bhaji Company</t>
  </si>
  <si>
    <t>Street Food, North Indian, Juices</t>
  </si>
  <si>
    <t>SWG2279</t>
  </si>
  <si>
    <t>Soroush Biriyani</t>
  </si>
  <si>
    <t>Biryani, Mughlai</t>
  </si>
  <si>
    <t>SWG2280</t>
  </si>
  <si>
    <t>Diamond Restaurant</t>
  </si>
  <si>
    <t>SWG2281</t>
  </si>
  <si>
    <t>Bowl Up!</t>
  </si>
  <si>
    <t>North Indian, Sweets</t>
  </si>
  <si>
    <t>SWG2282</t>
  </si>
  <si>
    <t>The Hot Chinese</t>
  </si>
  <si>
    <t>SWG2283</t>
  </si>
  <si>
    <t>Maratha Darbar</t>
  </si>
  <si>
    <t>North Indian, Chinese, Biryani, Indian, Tandoor, Mughlai, Thai, Continental</t>
  </si>
  <si>
    <t>SWG2284</t>
  </si>
  <si>
    <t>Foodie Panda</t>
  </si>
  <si>
    <t>Chinese, Burgers, Fast Food, Snacks, Beverages</t>
  </si>
  <si>
    <t>SWG2285</t>
  </si>
  <si>
    <t>Hot and spicy</t>
  </si>
  <si>
    <t>SWG2286</t>
  </si>
  <si>
    <t>Bistro &amp; Brew</t>
  </si>
  <si>
    <t>Italian-American, Fast Food, Snacks, Beverages</t>
  </si>
  <si>
    <t>SWG2287</t>
  </si>
  <si>
    <t>Tude - Premium Ice Creams</t>
  </si>
  <si>
    <t>SWG2288</t>
  </si>
  <si>
    <t>Saarathi Restaurant And Bar</t>
  </si>
  <si>
    <t>Tandoor, Chinese, North Indian, Fast Food</t>
  </si>
  <si>
    <t>SWG2289</t>
  </si>
  <si>
    <t>Ambika Vijay Stores</t>
  </si>
  <si>
    <t>SWG2290</t>
  </si>
  <si>
    <t>Evening Smackers</t>
  </si>
  <si>
    <t>Fast Food, Pizzas, Snacks</t>
  </si>
  <si>
    <t>SWG2291</t>
  </si>
  <si>
    <t>Oh Indian</t>
  </si>
  <si>
    <t>Kebabs, Indian</t>
  </si>
  <si>
    <t>SWG2292</t>
  </si>
  <si>
    <t>Avantika Chennai Cafe</t>
  </si>
  <si>
    <t>SWG2293</t>
  </si>
  <si>
    <t>Deepak Sweets, Farsan &amp; Dry Fruits</t>
  </si>
  <si>
    <t>SWG2294</t>
  </si>
  <si>
    <t>Chatisfied</t>
  </si>
  <si>
    <t>Snacks, Street Food, Beverages</t>
  </si>
  <si>
    <t>SWG2295</t>
  </si>
  <si>
    <t>Bangg On Bakes</t>
  </si>
  <si>
    <t>SWG2296</t>
  </si>
  <si>
    <t>Khaugalli bahuballi</t>
  </si>
  <si>
    <t>SWG2297</t>
  </si>
  <si>
    <t>Mumbai Chinese Point</t>
  </si>
  <si>
    <t>SWG2298</t>
  </si>
  <si>
    <t>The Royal Surprise</t>
  </si>
  <si>
    <t>SWG2299</t>
  </si>
  <si>
    <t>Asha Restaurant  Chaitanya Restaurant</t>
  </si>
  <si>
    <t>Indian, Tandoor, Seafood</t>
  </si>
  <si>
    <t>SWG2300</t>
  </si>
  <si>
    <t>Lal Tadka</t>
  </si>
  <si>
    <t>North Indian, Asian, Italian, Beverages</t>
  </si>
  <si>
    <t>SWG2301</t>
  </si>
  <si>
    <t>Anand dairy farm</t>
  </si>
  <si>
    <t>Snacks, Desserts</t>
  </si>
  <si>
    <t>SWG2302</t>
  </si>
  <si>
    <t>Thaliwaala</t>
  </si>
  <si>
    <t>Indian, Thalis, Snacks</t>
  </si>
  <si>
    <t>SWG2303</t>
  </si>
  <si>
    <t>Geebees Appetites</t>
  </si>
  <si>
    <t>North Indian, Chinese, Tibetan</t>
  </si>
  <si>
    <t>SWG2304</t>
  </si>
  <si>
    <t>Roti and Grill Catering</t>
  </si>
  <si>
    <t>SWG2305</t>
  </si>
  <si>
    <t>Aaurum Family Restaurant And Bar</t>
  </si>
  <si>
    <t>North Indian, Tandoor, Chinese, Snacks</t>
  </si>
  <si>
    <t>SWG2306</t>
  </si>
  <si>
    <t>Shawarma Shark</t>
  </si>
  <si>
    <t>Chinese, Indian, Pizzas, Burgers</t>
  </si>
  <si>
    <t>SWG2307</t>
  </si>
  <si>
    <t>Half Plate Chinese</t>
  </si>
  <si>
    <t>Chinese, Street Food</t>
  </si>
  <si>
    <t>SWG2308</t>
  </si>
  <si>
    <t>Bitchy Burgers</t>
  </si>
  <si>
    <t>American, Snacks</t>
  </si>
  <si>
    <t>SWG2309</t>
  </si>
  <si>
    <t>The Heavens Cake Shop</t>
  </si>
  <si>
    <t>SWG2310</t>
  </si>
  <si>
    <t>Shital's Kitchen</t>
  </si>
  <si>
    <t>Fast Food, Thalis</t>
  </si>
  <si>
    <t>SWG2311</t>
  </si>
  <si>
    <t>B K C Kitchen</t>
  </si>
  <si>
    <t>SWG2312</t>
  </si>
  <si>
    <t>Manoj dosa</t>
  </si>
  <si>
    <t>SWG2313</t>
  </si>
  <si>
    <t>Bytes Momos</t>
  </si>
  <si>
    <t>SWG2314</t>
  </si>
  <si>
    <t>S.V. Kitchen</t>
  </si>
  <si>
    <t>SWG2315</t>
  </si>
  <si>
    <t>JAYASHREE MISAL &amp; SNACKS (JMS)</t>
  </si>
  <si>
    <t>SWG2316</t>
  </si>
  <si>
    <t>Krem Icecreams</t>
  </si>
  <si>
    <t>SWG2317</t>
  </si>
  <si>
    <t>Tummy Time</t>
  </si>
  <si>
    <t>SWG2318</t>
  </si>
  <si>
    <t>Cheese leela</t>
  </si>
  <si>
    <t>Fast Food, Burgers, Pizzas, Snacks, Salads</t>
  </si>
  <si>
    <t>SWG2319</t>
  </si>
  <si>
    <t>Flavour stones</t>
  </si>
  <si>
    <t>SWG2320</t>
  </si>
  <si>
    <t>Best Canteen</t>
  </si>
  <si>
    <t>SWG2321</t>
  </si>
  <si>
    <t>Chow By Mexichino</t>
  </si>
  <si>
    <t>SWG2322</t>
  </si>
  <si>
    <t>Fusion Ice Cream House</t>
  </si>
  <si>
    <t>SWG2323</t>
  </si>
  <si>
    <t>Finom Cake Stop</t>
  </si>
  <si>
    <t>SWG2324</t>
  </si>
  <si>
    <t>Hirral Z Sweet Treats9</t>
  </si>
  <si>
    <t>SWG2325</t>
  </si>
  <si>
    <t>High on Cafe</t>
  </si>
  <si>
    <t>Indian, Juices, Beverages</t>
  </si>
  <si>
    <t>SWG2326</t>
  </si>
  <si>
    <t>Bombay Bytes</t>
  </si>
  <si>
    <t>SWG2327</t>
  </si>
  <si>
    <t>Brishti chinese and lunch home</t>
  </si>
  <si>
    <t>SWG2328</t>
  </si>
  <si>
    <t>Panchayat - The Kulhad Cafe</t>
  </si>
  <si>
    <t>Indian, Italian, Beverages</t>
  </si>
  <si>
    <t>SWG2329</t>
  </si>
  <si>
    <t>Chowrangee Cafe</t>
  </si>
  <si>
    <t>Chinese, Bengali, Fast Food</t>
  </si>
  <si>
    <t>SWG2330</t>
  </si>
  <si>
    <t>Fast Food Carnival</t>
  </si>
  <si>
    <t>Pizzas, Beverages, Burgers, Pastas, Barbecue</t>
  </si>
  <si>
    <t>SWG2331</t>
  </si>
  <si>
    <t>Ignite Pan Shop And General Store</t>
  </si>
  <si>
    <t>SWG2332</t>
  </si>
  <si>
    <t>Jai Ambe Fast Food</t>
  </si>
  <si>
    <t>Fast Food, Pizzas, Waffle, Snacks, Beverages</t>
  </si>
  <si>
    <t>SWG2333</t>
  </si>
  <si>
    <t>MMD Cafe Village</t>
  </si>
  <si>
    <t>Beverages, Pizzas, Fast Food, Chinese, Italian</t>
  </si>
  <si>
    <t>SWG2334</t>
  </si>
  <si>
    <t>Khao piyo junction</t>
  </si>
  <si>
    <t>Chinese, Indian, Malwani, Biryani</t>
  </si>
  <si>
    <t>SWG2335</t>
  </si>
  <si>
    <t>Flavour Fushion</t>
  </si>
  <si>
    <t>SWG2336</t>
  </si>
  <si>
    <t>The Bun Bites</t>
  </si>
  <si>
    <t>SWG2337</t>
  </si>
  <si>
    <t>Mumbai Cake Company</t>
  </si>
  <si>
    <t>SWG2338</t>
  </si>
  <si>
    <t>Mahakal Matka Kulfi</t>
  </si>
  <si>
    <t>SWG2339</t>
  </si>
  <si>
    <t>THALIVERY FOOD</t>
  </si>
  <si>
    <t>Indian, Snacks, Fast Food</t>
  </si>
  <si>
    <t>SWG2340</t>
  </si>
  <si>
    <t>Baithak - Taste of Kulhad</t>
  </si>
  <si>
    <t>Thakur Village, Kandivali (East)</t>
  </si>
  <si>
    <t>Beverages, Italian-American, Fast Food, Chinese, Snacks</t>
  </si>
  <si>
    <t>SWG2341</t>
  </si>
  <si>
    <t>Biryani Daawat</t>
  </si>
  <si>
    <t>Biryani, Beverages, Indian</t>
  </si>
  <si>
    <t>SWG2342</t>
  </si>
  <si>
    <t>Rocky Rolls Cafe</t>
  </si>
  <si>
    <t>SWG2343</t>
  </si>
  <si>
    <t>Starwar Pizza</t>
  </si>
  <si>
    <t>Chinese, Italian, Burgers, Pizzas, Desserts, Pastas</t>
  </si>
  <si>
    <t>SWG2344</t>
  </si>
  <si>
    <t>Reena's Parathas</t>
  </si>
  <si>
    <t>SWG2345</t>
  </si>
  <si>
    <t>Delicious Cake Shop</t>
  </si>
  <si>
    <t>SWG2346</t>
  </si>
  <si>
    <t>Madhurika's Kitchen</t>
  </si>
  <si>
    <t>North Indian, South Indian, Snacks, Beverages</t>
  </si>
  <si>
    <t>SWG2347</t>
  </si>
  <si>
    <t>Veg Pizza-2X Topping</t>
  </si>
  <si>
    <t>SWG2348</t>
  </si>
  <si>
    <t>Tuk Tuk</t>
  </si>
  <si>
    <t>SWG2349</t>
  </si>
  <si>
    <t>Foodys guys</t>
  </si>
  <si>
    <t>Indian, Chinese, Mughlai, Tandoor, Arabian, Biryani</t>
  </si>
  <si>
    <t>SWG2350</t>
  </si>
  <si>
    <t>MOGO Pizza</t>
  </si>
  <si>
    <t>Pizzas, Burgers, Chinese, Desserts, Pastas, Italian</t>
  </si>
  <si>
    <t>SWG2351</t>
  </si>
  <si>
    <t>Oven Bake Pizza</t>
  </si>
  <si>
    <t>SWG2352</t>
  </si>
  <si>
    <t>Hotel Sheetal Picnic</t>
  </si>
  <si>
    <t>North Indian, Thalis, Biryani</t>
  </si>
  <si>
    <t>SWG2353</t>
  </si>
  <si>
    <t>Baskin Robbins Food Court</t>
  </si>
  <si>
    <t>SWG2354</t>
  </si>
  <si>
    <t>Om Sai Sandwich Corner</t>
  </si>
  <si>
    <t>Fast Food, Pizzas</t>
  </si>
  <si>
    <t>SWG2355</t>
  </si>
  <si>
    <t>Quenchers By Uk</t>
  </si>
  <si>
    <t>Bakery, Desserts, Indian</t>
  </si>
  <si>
    <t>SWG2356</t>
  </si>
  <si>
    <t>Maa Sita Rasoi</t>
  </si>
  <si>
    <t>SWG2357</t>
  </si>
  <si>
    <t>All Seasons Kitchen and Bar</t>
  </si>
  <si>
    <t>North Indian, Chinese, Biryani, Tandoor, Thai, Chaat, Indian, Desserts</t>
  </si>
  <si>
    <t>SWG2358</t>
  </si>
  <si>
    <t>Meethi Elaichi</t>
  </si>
  <si>
    <t>Desserts, Sweets, Beverages</t>
  </si>
  <si>
    <t>SWG2359</t>
  </si>
  <si>
    <t>Nityanand Chinese</t>
  </si>
  <si>
    <t>SWG2360</t>
  </si>
  <si>
    <t>Green Dot Momos</t>
  </si>
  <si>
    <t>Asian, Tibetan, Desserts, Beverages</t>
  </si>
  <si>
    <t>SWG2361</t>
  </si>
  <si>
    <t>Happy Da Paratha</t>
  </si>
  <si>
    <t>SWG2362</t>
  </si>
  <si>
    <t>Purple Foods</t>
  </si>
  <si>
    <t>Indian, Tandoor, Biryani, Desserts, Beverages</t>
  </si>
  <si>
    <t>SWG2363</t>
  </si>
  <si>
    <t>Masterchef Kitchen</t>
  </si>
  <si>
    <t>SWG2364</t>
  </si>
  <si>
    <t>Flavours Of Biryani</t>
  </si>
  <si>
    <t>Biryani, Tandoor, Kebabs</t>
  </si>
  <si>
    <t>SWG2365</t>
  </si>
  <si>
    <t>Egg Free Cakes</t>
  </si>
  <si>
    <t>SWG2366</t>
  </si>
  <si>
    <t>Celebration Special by CakeZone</t>
  </si>
  <si>
    <t>SWG2367</t>
  </si>
  <si>
    <t>Spicy Chicken</t>
  </si>
  <si>
    <t>SWG2368</t>
  </si>
  <si>
    <t>The J's Pizza</t>
  </si>
  <si>
    <t>SWG2369</t>
  </si>
  <si>
    <t>Fud Boy</t>
  </si>
  <si>
    <t>Biryani, Indian, Kebabs, Beverages</t>
  </si>
  <si>
    <t>SWG2370</t>
  </si>
  <si>
    <t>Momoya</t>
  </si>
  <si>
    <t>SWG2371</t>
  </si>
  <si>
    <t>Wandercrust</t>
  </si>
  <si>
    <t>SWG2372</t>
  </si>
  <si>
    <t>Swaad Snacks and Namkeen</t>
  </si>
  <si>
    <t>SWG2373</t>
  </si>
  <si>
    <t>Lucky chinese center</t>
  </si>
  <si>
    <t>SWG2374</t>
  </si>
  <si>
    <t>Das Chilly Chinese</t>
  </si>
  <si>
    <t>SWG2375</t>
  </si>
  <si>
    <t>Raja Vada Pav Goregaon Wala</t>
  </si>
  <si>
    <t>SWG2376</t>
  </si>
  <si>
    <t>Sandy's Thick Shake</t>
  </si>
  <si>
    <t>SWG2377</t>
  </si>
  <si>
    <t>hotel shri krishna</t>
  </si>
  <si>
    <t>South Indian, North Indian, Chinese, Beverages, Snacks</t>
  </si>
  <si>
    <t>SWG2378</t>
  </si>
  <si>
    <t>Hem-The Cake Shop</t>
  </si>
  <si>
    <t>SWG2379</t>
  </si>
  <si>
    <t>Zero Gravity ( Boriwali )</t>
  </si>
  <si>
    <t>SWG2380</t>
  </si>
  <si>
    <t>The Pastelworks Co. Malad</t>
  </si>
  <si>
    <t>SWG2381</t>
  </si>
  <si>
    <t>Kulchizza Factory</t>
  </si>
  <si>
    <t>North Indian, Chinese, Fast Food</t>
  </si>
  <si>
    <t>SWG2382</t>
  </si>
  <si>
    <t>GURU KRUPA JUICE CENTER</t>
  </si>
  <si>
    <t>SWG2383</t>
  </si>
  <si>
    <t>Indocafe</t>
  </si>
  <si>
    <t>Continental, Mexican, Italian, Desserts, Beverages</t>
  </si>
  <si>
    <t>SWG2384</t>
  </si>
  <si>
    <t>Cafe Bahar Restaurant</t>
  </si>
  <si>
    <t>Biryani, Arabian, Chinese, North Indian</t>
  </si>
  <si>
    <t>SWG2385</t>
  </si>
  <si>
    <t>The Pavilion Bar And Resturant</t>
  </si>
  <si>
    <t>ajanta shoping center</t>
  </si>
  <si>
    <t>North Indian, Biryani, Seafood, Chinese, Tandoor, Kebabs</t>
  </si>
  <si>
    <t>SWG2386</t>
  </si>
  <si>
    <t>Twist and Taste</t>
  </si>
  <si>
    <t>SWG2387</t>
  </si>
  <si>
    <t>My Choice Franky House</t>
  </si>
  <si>
    <t>SWG2388</t>
  </si>
  <si>
    <t>The Chocolate Chips</t>
  </si>
  <si>
    <t>SWG2389</t>
  </si>
  <si>
    <t>Saucy Pasta Cartel</t>
  </si>
  <si>
    <t>Pastas</t>
  </si>
  <si>
    <t>SWG2390</t>
  </si>
  <si>
    <t>Momos 8849</t>
  </si>
  <si>
    <t>SWG2391</t>
  </si>
  <si>
    <t>Veg Curries Of India</t>
  </si>
  <si>
    <t>North Indian, Chinese, Street Food, Mughlai, Tandoor, Kebabs, Punjabi, Biryani, Snacks</t>
  </si>
  <si>
    <t>SWG2392</t>
  </si>
  <si>
    <t>Chef De Partie</t>
  </si>
  <si>
    <t>Bakery, Beverages, Desserts</t>
  </si>
  <si>
    <t>SWG2393</t>
  </si>
  <si>
    <t>Bolbol Burgers</t>
  </si>
  <si>
    <t>SWG2394</t>
  </si>
  <si>
    <t>Buns &amp; Deluchas</t>
  </si>
  <si>
    <t>SWG2395</t>
  </si>
  <si>
    <t>BHURAJI SANDWICH</t>
  </si>
  <si>
    <t>SWG2396</t>
  </si>
  <si>
    <t>Hidden Spot Cafe &amp; Resto</t>
  </si>
  <si>
    <t>SWG2397</t>
  </si>
  <si>
    <t>Thick Shakes Magic- CAD B</t>
  </si>
  <si>
    <t>SWG2398</t>
  </si>
  <si>
    <t>Ekdum Biryani</t>
  </si>
  <si>
    <t>Biryani, North Indian, Mughlai, Tandoor, Kebabs</t>
  </si>
  <si>
    <t>SWG2399</t>
  </si>
  <si>
    <t>Chaap Central by Punjabi Grill Dhaba</t>
  </si>
  <si>
    <t>SWG2400</t>
  </si>
  <si>
    <t>Vicky Chinese</t>
  </si>
  <si>
    <t>SWG2401</t>
  </si>
  <si>
    <t>Kokan Chinese Corner</t>
  </si>
  <si>
    <t>SWG2402</t>
  </si>
  <si>
    <t>Noor Chinese and tandoor</t>
  </si>
  <si>
    <t>SWG2403</t>
  </si>
  <si>
    <t>Shree Samarth Malvani Food'S</t>
  </si>
  <si>
    <t>SWG2404</t>
  </si>
  <si>
    <t>Chavishtha Ventures Llp</t>
  </si>
  <si>
    <t>Indian, Seafood, Snacks</t>
  </si>
  <si>
    <t>SWG2405</t>
  </si>
  <si>
    <t>D Sandwicha &amp; snakes corner</t>
  </si>
  <si>
    <t>Italian, Pizzas, Snacks</t>
  </si>
  <si>
    <t>SWG2406</t>
  </si>
  <si>
    <t>Kulfi Bite</t>
  </si>
  <si>
    <t>SWG2407</t>
  </si>
  <si>
    <t>Gladmad Pizza</t>
  </si>
  <si>
    <t>Italian-American, Pizzas, Beverages</t>
  </si>
  <si>
    <t>SWG2408</t>
  </si>
  <si>
    <t>The Elegant Spatula-Creative Cakes n Cookies</t>
  </si>
  <si>
    <t>SWG2409</t>
  </si>
  <si>
    <t>Navkar Mart</t>
  </si>
  <si>
    <t>Kandivali west</t>
  </si>
  <si>
    <t>Snacks, Gujarati</t>
  </si>
  <si>
    <t>SWG2410</t>
  </si>
  <si>
    <t>Kings Corner</t>
  </si>
  <si>
    <t>SWG2411</t>
  </si>
  <si>
    <t>Miss U Cake N Bake</t>
  </si>
  <si>
    <t>Bakery, Jain</t>
  </si>
  <si>
    <t>SWG2412</t>
  </si>
  <si>
    <t>Radha Krishna Pav Bhaji</t>
  </si>
  <si>
    <t>SWG2413</t>
  </si>
  <si>
    <t>Shree Mahalaxmi Fast Food &amp; Juice Center</t>
  </si>
  <si>
    <t>Chaat, Fast Food</t>
  </si>
  <si>
    <t>SWG2414</t>
  </si>
  <si>
    <t>Gobble Up</t>
  </si>
  <si>
    <t>Fast Food, Snacks, Chinese</t>
  </si>
  <si>
    <t>SWG2415</t>
  </si>
  <si>
    <t>Shakeoty</t>
  </si>
  <si>
    <t>SWG2416</t>
  </si>
  <si>
    <t>Samarth Krupa Chinese Corner Tifin Service</t>
  </si>
  <si>
    <t>SWG2417</t>
  </si>
  <si>
    <t>The Yellow Tadka</t>
  </si>
  <si>
    <t>Indian, Chinese, Street Food, Thalis, Biryani, Tandoor</t>
  </si>
  <si>
    <t>SWG2418</t>
  </si>
  <si>
    <t>Sainath Hotel</t>
  </si>
  <si>
    <t>SWG2419</t>
  </si>
  <si>
    <t>The Indian Gourmet Kitchen</t>
  </si>
  <si>
    <t>Indian, Mughlai</t>
  </si>
  <si>
    <t>SWG2420</t>
  </si>
  <si>
    <t>Tea Pea Cafe Borivali(W)</t>
  </si>
  <si>
    <t>Indian, Fast Food, Italian-American, Snacks, Waffle</t>
  </si>
  <si>
    <t>SWG2421</t>
  </si>
  <si>
    <t>Aromas Bingee</t>
  </si>
  <si>
    <t>LOKMANYA LIBRARY</t>
  </si>
  <si>
    <t>South Indian, Chinese, Fast Food</t>
  </si>
  <si>
    <t>SWG2422</t>
  </si>
  <si>
    <t>ShreeG</t>
  </si>
  <si>
    <t>SWG2423</t>
  </si>
  <si>
    <t>Delicious Chinese Cuisine</t>
  </si>
  <si>
    <t>SWG2424</t>
  </si>
  <si>
    <t>Gupta Juice And Sandwich</t>
  </si>
  <si>
    <t>Juices, Fast Food, Beverages, Snacks, Pastas</t>
  </si>
  <si>
    <t>SWG2425</t>
  </si>
  <si>
    <t>Ice Cream Cake Factory</t>
  </si>
  <si>
    <t>Ice Cream Cakes</t>
  </si>
  <si>
    <t>SWG2426</t>
  </si>
  <si>
    <t>Italiiano</t>
  </si>
  <si>
    <t>Pizzas, Mexican, Italian, Pastas, Burgers</t>
  </si>
  <si>
    <t>SWG2427</t>
  </si>
  <si>
    <t>Le Quatre</t>
  </si>
  <si>
    <t>anupama anand nagar</t>
  </si>
  <si>
    <t>SWG2428</t>
  </si>
  <si>
    <t>Ami Ice-Cream</t>
  </si>
  <si>
    <t>SWG2429</t>
  </si>
  <si>
    <t>Eat Cake Love</t>
  </si>
  <si>
    <t>SWG2430</t>
  </si>
  <si>
    <t>Sai Rameshwar</t>
  </si>
  <si>
    <t>SWG2431</t>
  </si>
  <si>
    <t>Jodhana Zaika</t>
  </si>
  <si>
    <t>SWG2432</t>
  </si>
  <si>
    <t>Shree Krishna Family Restaurant &amp; Bar</t>
  </si>
  <si>
    <t>SWG2433</t>
  </si>
  <si>
    <t>Hunger's Food</t>
  </si>
  <si>
    <t>SWG2434</t>
  </si>
  <si>
    <t>Billy's Burgers</t>
  </si>
  <si>
    <t>Fast Food, Desserts, Beverages</t>
  </si>
  <si>
    <t>SWG2435</t>
  </si>
  <si>
    <t>Ambrosia Cakes Bakes and Snacks</t>
  </si>
  <si>
    <t>Bakery, Snacks, Desserts, Continental</t>
  </si>
  <si>
    <t>SWG2436</t>
  </si>
  <si>
    <t>Aarti'S Food Magic</t>
  </si>
  <si>
    <t>CSR COMPLEX BUILDING NO 14 FLAT NO 201</t>
  </si>
  <si>
    <t>SWG2437</t>
  </si>
  <si>
    <t>Sv Food Hub</t>
  </si>
  <si>
    <t>Pizzas, Desserts</t>
  </si>
  <si>
    <t>SWG2438</t>
  </si>
  <si>
    <t>Momo Dynasty</t>
  </si>
  <si>
    <t>SWG2439</t>
  </si>
  <si>
    <t>Quest</t>
  </si>
  <si>
    <t>North Indian, Chinese, Continental, Oriental, Desserts</t>
  </si>
  <si>
    <t>SWG2440</t>
  </si>
  <si>
    <t>Nutrii Chef</t>
  </si>
  <si>
    <t>SWG2441</t>
  </si>
  <si>
    <t>Fresh Rasoi</t>
  </si>
  <si>
    <t>Indian, Chinese, Beverages, Desserts, Biryani</t>
  </si>
  <si>
    <t>SWG2442</t>
  </si>
  <si>
    <t>Chinese &amp; Momos Express</t>
  </si>
  <si>
    <t>Chinese, Combo</t>
  </si>
  <si>
    <t>SWG2443</t>
  </si>
  <si>
    <t>Borivali Healthy Juices</t>
  </si>
  <si>
    <t>Juices, Beverages, Fast Food, Snacks, Pastas</t>
  </si>
  <si>
    <t>SWG2444</t>
  </si>
  <si>
    <t>Me Chinese!</t>
  </si>
  <si>
    <t>Chinese, Thai, Arabian</t>
  </si>
  <si>
    <t>SWG2445</t>
  </si>
  <si>
    <t>Ram'S Radhe Krishna Cafe</t>
  </si>
  <si>
    <t>SWG2446</t>
  </si>
  <si>
    <t>Umesh sandwich</t>
  </si>
  <si>
    <t>SWG2447</t>
  </si>
  <si>
    <t>Svvad Kitchen</t>
  </si>
  <si>
    <t>Chinese, Pastas, Snacks</t>
  </si>
  <si>
    <t>SWG2448</t>
  </si>
  <si>
    <t>Chinese Walla</t>
  </si>
  <si>
    <t>SWG2449</t>
  </si>
  <si>
    <t>Mozzarella Pizza Hub</t>
  </si>
  <si>
    <t>Pizzas, Snacks, Italian</t>
  </si>
  <si>
    <t>SWG2450</t>
  </si>
  <si>
    <t>Sai Jee Amruttulya &amp; Snacks</t>
  </si>
  <si>
    <t>SWG2451</t>
  </si>
  <si>
    <t>Festive The Cake Shop</t>
  </si>
  <si>
    <t>SWG2452</t>
  </si>
  <si>
    <t>Sai Darbar Hotel</t>
  </si>
  <si>
    <t>SWG2453</t>
  </si>
  <si>
    <t>Big Bro'S Pizza</t>
  </si>
  <si>
    <t>Pizzas, Burgers, Chinese, Snacks</t>
  </si>
  <si>
    <t>SWG2454</t>
  </si>
  <si>
    <t>The Waffle Box</t>
  </si>
  <si>
    <t>Waffle</t>
  </si>
  <si>
    <t>SWG2455</t>
  </si>
  <si>
    <t>Bakewills Boulangerie And Cafe</t>
  </si>
  <si>
    <t>Borivali east</t>
  </si>
  <si>
    <t>Fast Food, Chinese, Burgers</t>
  </si>
  <si>
    <t>SWG2456</t>
  </si>
  <si>
    <t>Gopi Breakfast Point</t>
  </si>
  <si>
    <t>Chinese, Beverages, Bakery</t>
  </si>
  <si>
    <t>SWG2457</t>
  </si>
  <si>
    <t>Warm Baker s World</t>
  </si>
  <si>
    <t>SWG2458</t>
  </si>
  <si>
    <t>Secret Multicuisine Restaurant</t>
  </si>
  <si>
    <t>North Indian, Chinese, Biryani, Mughlai, Punjabi, Seafood, Beverages</t>
  </si>
  <si>
    <t>SWG2459</t>
  </si>
  <si>
    <t>P Hand Coffee</t>
  </si>
  <si>
    <t>Beverages, Pizzas, South Indian</t>
  </si>
  <si>
    <t>SWG2460</t>
  </si>
  <si>
    <t>Hunger Tea Cafe</t>
  </si>
  <si>
    <t>Beverages, Snacks, Fast Food, Pizzas, Desserts</t>
  </si>
  <si>
    <t>SWG2461</t>
  </si>
  <si>
    <t>Raccoon kitchen</t>
  </si>
  <si>
    <t>SWG2462</t>
  </si>
  <si>
    <t>Red yellow restaurant</t>
  </si>
  <si>
    <t>SWG2463</t>
  </si>
  <si>
    <t>Mahesh Fine Dine</t>
  </si>
  <si>
    <t>SWG2464</t>
  </si>
  <si>
    <t>Fizzy</t>
  </si>
  <si>
    <t>SWG2465</t>
  </si>
  <si>
    <t>Western Burger</t>
  </si>
  <si>
    <t>Chinese, Burgers, Pizzas</t>
  </si>
  <si>
    <t>SWG2466</t>
  </si>
  <si>
    <t>J3Pizzaa</t>
  </si>
  <si>
    <t>SWG2467</t>
  </si>
  <si>
    <t>Miami Waffles &amp; Jawbreakers</t>
  </si>
  <si>
    <t>SWG2468</t>
  </si>
  <si>
    <t>Chaat Pat Snackks</t>
  </si>
  <si>
    <t>Snacks, Fast Food, Chinese, Beverages</t>
  </si>
  <si>
    <t>SWG2469</t>
  </si>
  <si>
    <t>Fast Food And Beverage's</t>
  </si>
  <si>
    <t>Beverages, Snacks, Pizzas, Fast Food</t>
  </si>
  <si>
    <t>SWG2470</t>
  </si>
  <si>
    <t>12th Pass Coffee And Tea</t>
  </si>
  <si>
    <t>Beverages, Chinese, Burgers</t>
  </si>
  <si>
    <t>SWG2471</t>
  </si>
  <si>
    <t>Aranyam Fine Dine &amp; Bar</t>
  </si>
  <si>
    <t>SWG2472</t>
  </si>
  <si>
    <t>Quick Kukkad</t>
  </si>
  <si>
    <t>Snacks, Kebabs, Tandoor</t>
  </si>
  <si>
    <t>SWG2473</t>
  </si>
  <si>
    <t>Veganiza</t>
  </si>
  <si>
    <t>Snacks, Pastas</t>
  </si>
  <si>
    <t>SWG2474</t>
  </si>
  <si>
    <t>Rashmin Patisserie &amp; Savory</t>
  </si>
  <si>
    <t>SWG2475</t>
  </si>
  <si>
    <t>Red Dots</t>
  </si>
  <si>
    <t>SWG2476</t>
  </si>
  <si>
    <t>Tanisha Dry Fruits</t>
  </si>
  <si>
    <t>SWG2477</t>
  </si>
  <si>
    <t>Cooper's Home Kitchen</t>
  </si>
  <si>
    <t>Biryani, South Indian, Continental, Chinese</t>
  </si>
  <si>
    <t>SWG2478</t>
  </si>
  <si>
    <t>Cooper's Bakery</t>
  </si>
  <si>
    <t>Bakery, Fast Food, Snacks</t>
  </si>
  <si>
    <t>SWG2479</t>
  </si>
  <si>
    <t>Steam 99</t>
  </si>
  <si>
    <t>SWG2480</t>
  </si>
  <si>
    <t>2? Cakes</t>
  </si>
  <si>
    <t>SWG2481</t>
  </si>
  <si>
    <t>Frosting the cake shop</t>
  </si>
  <si>
    <t>SWG2482</t>
  </si>
  <si>
    <t>Shree Krishnas Kitchen</t>
  </si>
  <si>
    <t>SWG2483</t>
  </si>
  <si>
    <t>Dim Shi</t>
  </si>
  <si>
    <t>Asian, Chinese</t>
  </si>
  <si>
    <t>SWG2484</t>
  </si>
  <si>
    <t>7 Layers</t>
  </si>
  <si>
    <t>SWG2485</t>
  </si>
  <si>
    <t>Dreams &amp; Beans Coffee</t>
  </si>
  <si>
    <t>SWG2486</t>
  </si>
  <si>
    <t>Jain Dugdhaly</t>
  </si>
  <si>
    <t>Bakery, Sweets</t>
  </si>
  <si>
    <t>SWG2487</t>
  </si>
  <si>
    <t>Chow Mi Adda Chinese And Momos Corner</t>
  </si>
  <si>
    <t>Chinese, Thai, Asian</t>
  </si>
  <si>
    <t>SWG2488</t>
  </si>
  <si>
    <t>D'aromas Coffee</t>
  </si>
  <si>
    <t>SWG2489</t>
  </si>
  <si>
    <t>Forks &amp; Spoons</t>
  </si>
  <si>
    <t>Pizzas, Chinese, Pastas, Beverages, Fast Food, Burgers</t>
  </si>
  <si>
    <t>SWG2490</t>
  </si>
  <si>
    <t>Vishal Chinese Corner</t>
  </si>
  <si>
    <t>SWG2491</t>
  </si>
  <si>
    <t>Dessert 99</t>
  </si>
  <si>
    <t>SWG2492</t>
  </si>
  <si>
    <t>Gosssip Corner - Cafe Resto</t>
  </si>
  <si>
    <t>SWG2493</t>
  </si>
  <si>
    <t>Havmor Ice Cream Parlour</t>
  </si>
  <si>
    <t>SWG2494</t>
  </si>
  <si>
    <t>The Spice Of Mumbai</t>
  </si>
  <si>
    <t>SWG2495</t>
  </si>
  <si>
    <t>Brijwasi Mart</t>
  </si>
  <si>
    <t>Waffle, Desserts, Snacks, Beverages</t>
  </si>
  <si>
    <t>SWG2496</t>
  </si>
  <si>
    <t>Caky Bakey</t>
  </si>
  <si>
    <t>SWG2497</t>
  </si>
  <si>
    <t>Gully Dosa</t>
  </si>
  <si>
    <t>South Indian, Street Food</t>
  </si>
  <si>
    <t>SWG2498</t>
  </si>
  <si>
    <t>Kadam Bandhu</t>
  </si>
  <si>
    <t>SWG2499</t>
  </si>
  <si>
    <t>King Bhujing Biryani Corner</t>
  </si>
  <si>
    <t>SWG2500</t>
  </si>
  <si>
    <t>Pizza Rride</t>
  </si>
  <si>
    <t>Pizzas, Continental</t>
  </si>
  <si>
    <t>SWG2501</t>
  </si>
  <si>
    <t>R.K Food Hub</t>
  </si>
  <si>
    <t>Fast Food, Chinese, Snacks, Beverages</t>
  </si>
  <si>
    <t>SWG2502</t>
  </si>
  <si>
    <t>Biryani And Spice</t>
  </si>
  <si>
    <t>Biryani, Mughlai, North Indian</t>
  </si>
  <si>
    <t>SWG2503</t>
  </si>
  <si>
    <t>Quarter Castle Resto Bar</t>
  </si>
  <si>
    <t>Continental, Chinese, Indian, Beverages</t>
  </si>
  <si>
    <t>SWG2504</t>
  </si>
  <si>
    <t>Tandoor Tribes</t>
  </si>
  <si>
    <t>Snacks, Tandoor</t>
  </si>
  <si>
    <t>SWG2505</t>
  </si>
  <si>
    <t>Sunik Foodland</t>
  </si>
  <si>
    <t>Desserts, Sweets, Snacks, Pizzas</t>
  </si>
  <si>
    <t>SWG2506</t>
  </si>
  <si>
    <t>Biryani Flavours</t>
  </si>
  <si>
    <t>Biryani, Snacks, Kebabs, Sweets</t>
  </si>
  <si>
    <t>SWG2507</t>
  </si>
  <si>
    <t>Vadapav And More</t>
  </si>
  <si>
    <t>Indian, Snacks, Chaat, Juices, Desserts</t>
  </si>
  <si>
    <t>SWG2508</t>
  </si>
  <si>
    <t>Exotic Baristo</t>
  </si>
  <si>
    <t>Beverages, Pizzas, Fast Food, Snacks</t>
  </si>
  <si>
    <t>SWG2509</t>
  </si>
  <si>
    <t>Goregaon Kitchen</t>
  </si>
  <si>
    <t>Chinese, Snacks, Arabian, Combo</t>
  </si>
  <si>
    <t>SWG2510</t>
  </si>
  <si>
    <t>Ashley Kitchen</t>
  </si>
  <si>
    <t>SWG2511</t>
  </si>
  <si>
    <t>Maa Ashapura Food &amp; Snacks</t>
  </si>
  <si>
    <t>SWG2512</t>
  </si>
  <si>
    <t>Aum Fine Dine</t>
  </si>
  <si>
    <t>SWG2513</t>
  </si>
  <si>
    <t>Flavour Junction</t>
  </si>
  <si>
    <t>Chinese, North Indian, Snacks</t>
  </si>
  <si>
    <t>SWG2514</t>
  </si>
  <si>
    <t>Swadisht Desi Food</t>
  </si>
  <si>
    <t>Burgers, Chinese</t>
  </si>
  <si>
    <t>SWG2515</t>
  </si>
  <si>
    <t>BONG MOYRA</t>
  </si>
  <si>
    <t>Sweets, Bengali</t>
  </si>
  <si>
    <t>SWG2516</t>
  </si>
  <si>
    <t>Spice Hut Veg And Non Veg</t>
  </si>
  <si>
    <t>SWG2517</t>
  </si>
  <si>
    <t>Divine Chinese</t>
  </si>
  <si>
    <t>SWG2518</t>
  </si>
  <si>
    <t>Asian Express</t>
  </si>
  <si>
    <t>SWG2519</t>
  </si>
  <si>
    <t>Cheesy Kulhad</t>
  </si>
  <si>
    <t>SWG2520</t>
  </si>
  <si>
    <t>DSF Fast Food</t>
  </si>
  <si>
    <t>Pizzas, Pastas, Burgers, Fast Food, Snacks, Italian, American</t>
  </si>
  <si>
    <t>SWG2521</t>
  </si>
  <si>
    <t>Jai Shree Radhe Krishna Soda Pub</t>
  </si>
  <si>
    <t>SWG2522</t>
  </si>
  <si>
    <t>Tea Pea Cafe</t>
  </si>
  <si>
    <t>Beverages, Italian-American, Fast Food, Snacks, Waffle</t>
  </si>
  <si>
    <t>SWG2523</t>
  </si>
  <si>
    <t>Uncle Chinese Corner</t>
  </si>
  <si>
    <t>SWG2524</t>
  </si>
  <si>
    <t>Flavorish The Gourmet Cake Shop</t>
  </si>
  <si>
    <t>SWG2525</t>
  </si>
  <si>
    <t>Peek and boo</t>
  </si>
  <si>
    <t>SWG2526</t>
  </si>
  <si>
    <t>Delecious The Family Restaurant</t>
  </si>
  <si>
    <t xml:space="preserve"> Malad West</t>
  </si>
  <si>
    <t>SWG2527</t>
  </si>
  <si>
    <t>Jaianti Biryani</t>
  </si>
  <si>
    <t>Biryani, North Indian, Salads, Hyderabadi</t>
  </si>
  <si>
    <t>SWG2528</t>
  </si>
  <si>
    <t>Hunger bell</t>
  </si>
  <si>
    <t>Snacks, Chinese, Tandoor, North Indian</t>
  </si>
  <si>
    <t>SWG2529</t>
  </si>
  <si>
    <t>Damdaar Swaad</t>
  </si>
  <si>
    <t>Italian-American, Fast Food, Snacks, Indian</t>
  </si>
  <si>
    <t>SWG2530</t>
  </si>
  <si>
    <t>Secret Sauce Sandwiches</t>
  </si>
  <si>
    <t>Pizzas, Snacks, Italian, Mexican</t>
  </si>
  <si>
    <t>SWG2531</t>
  </si>
  <si>
    <t>Chef Chini</t>
  </si>
  <si>
    <t>Chinese, Fast Food, Desserts, Beverages</t>
  </si>
  <si>
    <t>SWG2532</t>
  </si>
  <si>
    <t>All About Cheese</t>
  </si>
  <si>
    <t>Fast Food, Snacks, Pizzas</t>
  </si>
  <si>
    <t>SWG2533</t>
  </si>
  <si>
    <t>Size Zero</t>
  </si>
  <si>
    <t>kandivali</t>
  </si>
  <si>
    <t>Chinese, Burgers, Pizzas, Pastas, Fast Food</t>
  </si>
  <si>
    <t>SWG2534</t>
  </si>
  <si>
    <t>Adarsh Refreshment</t>
  </si>
  <si>
    <t>SWG2535</t>
  </si>
  <si>
    <t>Asian Tadka</t>
  </si>
  <si>
    <t>Indian, Tandoor, Thai, Chinese</t>
  </si>
  <si>
    <t>SWG2536</t>
  </si>
  <si>
    <t>JUICE BUDDY</t>
  </si>
  <si>
    <t>SWG2537</t>
  </si>
  <si>
    <t>Oh! Pizzaz</t>
  </si>
  <si>
    <t>SWG2538</t>
  </si>
  <si>
    <t>Dairy Naturals</t>
  </si>
  <si>
    <t>SWG2539</t>
  </si>
  <si>
    <t>High On Waffle</t>
  </si>
  <si>
    <t>North Indian, Bakery</t>
  </si>
  <si>
    <t>SWG2540</t>
  </si>
  <si>
    <t>Faloodah By Purple Foods</t>
  </si>
  <si>
    <t>SWG2541</t>
  </si>
  <si>
    <t>The Noisy Cake</t>
  </si>
  <si>
    <t>SWG2542</t>
  </si>
  <si>
    <t>Bombay Shakers</t>
  </si>
  <si>
    <t>SWG2543</t>
  </si>
  <si>
    <t>Sliders Bell</t>
  </si>
  <si>
    <t>SWG2544</t>
  </si>
  <si>
    <t>Matoshree Chinese &amp; Fast Food</t>
  </si>
  <si>
    <t>SWG2545</t>
  </si>
  <si>
    <t>Navaratna Kitchen &amp; Bar</t>
  </si>
  <si>
    <t>North Indian, Chinese, South Indian, Tandoor, Seafood</t>
  </si>
  <si>
    <t>SWG2546</t>
  </si>
  <si>
    <t>Upperdeck Bistro</t>
  </si>
  <si>
    <t>Beverages, Burgers, Pastas, Snacks</t>
  </si>
  <si>
    <t>SWG2547</t>
  </si>
  <si>
    <t>Sweet Cakes &amp; More</t>
  </si>
  <si>
    <t>SWG2548</t>
  </si>
  <si>
    <t>Meenakshi Bar And Restaurant</t>
  </si>
  <si>
    <t>Chinese, North Indian, Indian, Snacks</t>
  </si>
  <si>
    <t>SWG2549</t>
  </si>
  <si>
    <t>Bombar</t>
  </si>
  <si>
    <t>Italian, Chinese, Tandoor</t>
  </si>
  <si>
    <t>SWG2550</t>
  </si>
  <si>
    <t>Malvani Masala</t>
  </si>
  <si>
    <t>SWG2551</t>
  </si>
  <si>
    <t>Ruchira's Food Hub</t>
  </si>
  <si>
    <t>Chinese, American</t>
  </si>
  <si>
    <t>SWG2552</t>
  </si>
  <si>
    <t>Neelam Garden</t>
  </si>
  <si>
    <t>SWG2553</t>
  </si>
  <si>
    <t>Angel Cake Shop</t>
  </si>
  <si>
    <t>SWG2554</t>
  </si>
  <si>
    <t>Mogazm</t>
  </si>
  <si>
    <t>Snacks, Fast Food, Beverages</t>
  </si>
  <si>
    <t>SWG2555</t>
  </si>
  <si>
    <t>Marvish Home Kitchen</t>
  </si>
  <si>
    <t>SWG2556</t>
  </si>
  <si>
    <t>Munira's</t>
  </si>
  <si>
    <t>SWG2557</t>
  </si>
  <si>
    <t>Shivani Chinese And Pizza Corner</t>
  </si>
  <si>
    <t>Pizzas, Chinese, Fast Food</t>
  </si>
  <si>
    <t>SWG2558</t>
  </si>
  <si>
    <t>Raju Snacks</t>
  </si>
  <si>
    <t>Beverages, Burgers, Ice Cream</t>
  </si>
  <si>
    <t>SWG2559</t>
  </si>
  <si>
    <t>Balaji Express</t>
  </si>
  <si>
    <t>South Indian, Beverages, Fast Food, Juices, Chaat</t>
  </si>
  <si>
    <t>SWG2560</t>
  </si>
  <si>
    <t>Conch Restaurants</t>
  </si>
  <si>
    <t>Asian, Continental, Chinese</t>
  </si>
  <si>
    <t>SWG2561</t>
  </si>
  <si>
    <t>Vishal's fast food hub</t>
  </si>
  <si>
    <t>SWG2562</t>
  </si>
  <si>
    <t>Shree's Frankie Rolls and More</t>
  </si>
  <si>
    <t>Snacks, Pizzas</t>
  </si>
  <si>
    <t>SWG2563</t>
  </si>
  <si>
    <t>BEING BAKERS SHOP</t>
  </si>
  <si>
    <t>SWG2564</t>
  </si>
  <si>
    <t>Zero Gravity</t>
  </si>
  <si>
    <t>Gandhi Nagar</t>
  </si>
  <si>
    <t>Chinese, Continental, Fast Food, Italian</t>
  </si>
  <si>
    <t>SWG2565</t>
  </si>
  <si>
    <t>Naashta sweets and more</t>
  </si>
  <si>
    <t>SWG2566</t>
  </si>
  <si>
    <t>Kandivali 67 Chinese Corner</t>
  </si>
  <si>
    <t>SWG2567</t>
  </si>
  <si>
    <t>3 Barmen</t>
  </si>
  <si>
    <t>SWG2568</t>
  </si>
  <si>
    <t>Avarya</t>
  </si>
  <si>
    <t>Mahim Dadar</t>
  </si>
  <si>
    <t>Snacks, Desserts, Beverages</t>
  </si>
  <si>
    <t>SWG2569</t>
  </si>
  <si>
    <t>Gharchi Athwan</t>
  </si>
  <si>
    <t>Maharashtrian, Snacks, Sweets</t>
  </si>
  <si>
    <t>SWG2570</t>
  </si>
  <si>
    <t>BELLA FOOD CORNER</t>
  </si>
  <si>
    <t>Dahisar (E) Mumbai</t>
  </si>
  <si>
    <t>North Indian, Chinese, Tandoor, Biryani, Snacks</t>
  </si>
  <si>
    <t>SWG2571</t>
  </si>
  <si>
    <t>The Malai Paneer Company</t>
  </si>
  <si>
    <t>SWG2572</t>
  </si>
  <si>
    <t>Phelia Lounge</t>
  </si>
  <si>
    <t>Chinese, Tandoor, Continental, Indian, Italian, Pizzas</t>
  </si>
  <si>
    <t>SWG2573</t>
  </si>
  <si>
    <t>Shreeji Aamras</t>
  </si>
  <si>
    <t>SWG2574</t>
  </si>
  <si>
    <t>Hungry Paji</t>
  </si>
  <si>
    <t>SWG2575</t>
  </si>
  <si>
    <t>The Bagve's cafe</t>
  </si>
  <si>
    <t>SWG2576</t>
  </si>
  <si>
    <t>Beyond - Wine &amp; Dine</t>
  </si>
  <si>
    <t>Continental, Mexican, Salads, Chinese, North Indian</t>
  </si>
  <si>
    <t>SWG2577</t>
  </si>
  <si>
    <t>THE MINISTRY OF CHEFS</t>
  </si>
  <si>
    <t>North Indian, Chinese, Snacks, Fast Food, Desserts, Beverages, Biryani, Seafood, Indian, Tandoor</t>
  </si>
  <si>
    <t>SWG2578</t>
  </si>
  <si>
    <t>Namaste Mumbai</t>
  </si>
  <si>
    <t>Chinese, Fast Food, Indian, Beverages</t>
  </si>
  <si>
    <t>SWG2579</t>
  </si>
  <si>
    <t>Party Time Pizzas</t>
  </si>
  <si>
    <t>Raheja Township</t>
  </si>
  <si>
    <t>Pizzas, Fast Food, Bakery, Desserts</t>
  </si>
  <si>
    <t>SWG2580</t>
  </si>
  <si>
    <t>Crispy Slice Pizza</t>
  </si>
  <si>
    <t>SWG2581</t>
  </si>
  <si>
    <t>DBW De Burger World</t>
  </si>
  <si>
    <t>Burgers, Pizzas, Fast Food, Snacks, Beverages</t>
  </si>
  <si>
    <t>SWG2582</t>
  </si>
  <si>
    <t>Swadam Bhog</t>
  </si>
  <si>
    <t>Indian, North Indian, Chinese, Punjabi, Snacks, Biryani</t>
  </si>
  <si>
    <t>SWG2583</t>
  </si>
  <si>
    <t>Swadisht Desi</t>
  </si>
  <si>
    <t>Burgers, Pizzas, Chinese, Beverages</t>
  </si>
  <si>
    <t>SWG2584</t>
  </si>
  <si>
    <t>Latte on the rocks</t>
  </si>
  <si>
    <t>Beverages, Snacks, Fast Food</t>
  </si>
  <si>
    <t>SWG2585</t>
  </si>
  <si>
    <t>Mondo Fine Dine</t>
  </si>
  <si>
    <t>Italian, Indian</t>
  </si>
  <si>
    <t>SWG2586</t>
  </si>
  <si>
    <t>Lobo Tiffin Service</t>
  </si>
  <si>
    <t>SWG2587</t>
  </si>
  <si>
    <t>Red Chilly Chinese Cuisine</t>
  </si>
  <si>
    <t>SWG2588</t>
  </si>
  <si>
    <t>Tina's Fried Chicken</t>
  </si>
  <si>
    <t>SWG2589</t>
  </si>
  <si>
    <t>Om Namo Fast Food</t>
  </si>
  <si>
    <t>SWG2590</t>
  </si>
  <si>
    <t>Y.T kitchen</t>
  </si>
  <si>
    <t>Italian, Snacks, Mexican</t>
  </si>
  <si>
    <t>SWG2591</t>
  </si>
  <si>
    <t>Potoba Chinese Corner</t>
  </si>
  <si>
    <t>Chinese, Beverages</t>
  </si>
  <si>
    <t>SWG2592</t>
  </si>
  <si>
    <t>Jordan</t>
  </si>
  <si>
    <t>SWG2593</t>
  </si>
  <si>
    <t>Kinara Tadka</t>
  </si>
  <si>
    <t>Chinese, North Indian, Beverages</t>
  </si>
  <si>
    <t>SWG2594</t>
  </si>
  <si>
    <t>Sarthak Restaurant</t>
  </si>
  <si>
    <t>Indian, Chinese, Thalis, Biryani</t>
  </si>
  <si>
    <t>SWG2595</t>
  </si>
  <si>
    <t>Avva'S Food</t>
  </si>
  <si>
    <t>SWG2596</t>
  </si>
  <si>
    <t>FC Cafe</t>
  </si>
  <si>
    <t>Italian, Fast Food, Beverages, Desserts</t>
  </si>
  <si>
    <t>SWG2597</t>
  </si>
  <si>
    <t>The Bombay House</t>
  </si>
  <si>
    <t>North Indian, Snacks, Pizzas, Chinese</t>
  </si>
  <si>
    <t>SWG2598</t>
  </si>
  <si>
    <t>Gopi'S Momos Centre</t>
  </si>
  <si>
    <t>Chinese, Sweets, Beverages</t>
  </si>
  <si>
    <t>SWG2599</t>
  </si>
  <si>
    <t>The Fellas</t>
  </si>
  <si>
    <t>Fast Food, Snacks, Beverages</t>
  </si>
  <si>
    <t>SWG2600</t>
  </si>
  <si>
    <t>Aniruddha ice cream parlour</t>
  </si>
  <si>
    <t>SWG2601</t>
  </si>
  <si>
    <t>Zaika homemade food</t>
  </si>
  <si>
    <t>Biryani, Indian, Sweets</t>
  </si>
  <si>
    <t>SWG2602</t>
  </si>
  <si>
    <t>Pett Pooja Frankie</t>
  </si>
  <si>
    <t>Fast Food, Chinese, South Indian</t>
  </si>
  <si>
    <t>SWG2603</t>
  </si>
  <si>
    <t>9 Star Kitchen</t>
  </si>
  <si>
    <t>Indian, Seafood, Beverages</t>
  </si>
  <si>
    <t>SWG2604</t>
  </si>
  <si>
    <t>The Thickshake Project</t>
  </si>
  <si>
    <t>SWG2605</t>
  </si>
  <si>
    <t>Mumbai's food spot</t>
  </si>
  <si>
    <t>South Indian, Fast Food, Street Food</t>
  </si>
  <si>
    <t>SWG2606</t>
  </si>
  <si>
    <t>Daddu's Biryani</t>
  </si>
  <si>
    <t>Dindoshi</t>
  </si>
  <si>
    <t>Biryani, Kebabs</t>
  </si>
  <si>
    <t>SWG2607</t>
  </si>
  <si>
    <t>Blas Diaga</t>
  </si>
  <si>
    <t>Opp. Chincholi Bunder Road</t>
  </si>
  <si>
    <t>SWG2608</t>
  </si>
  <si>
    <t>Arabian Bistro</t>
  </si>
  <si>
    <t>Arabian, Snacks, Beverages</t>
  </si>
  <si>
    <t>SWG2609</t>
  </si>
  <si>
    <t>The Dessert Clubb</t>
  </si>
  <si>
    <t>SWG2610</t>
  </si>
  <si>
    <t>Cakes Fiesta</t>
  </si>
  <si>
    <t>Bakery, Desserts, Beverages, Ice Cream</t>
  </si>
  <si>
    <t>SWG2611</t>
  </si>
  <si>
    <t>V For Vegan</t>
  </si>
  <si>
    <t>SWG2612</t>
  </si>
  <si>
    <t>Healthy Trays</t>
  </si>
  <si>
    <t>Salads, Fast Food, Indian, Chaat, North Indian</t>
  </si>
  <si>
    <t>SWG2613</t>
  </si>
  <si>
    <t>Bhola Bhelpuri</t>
  </si>
  <si>
    <t>Chaat, Snacks, Beverages</t>
  </si>
  <si>
    <t>SWG2614</t>
  </si>
  <si>
    <t>Jain cafe</t>
  </si>
  <si>
    <t>SWG2615</t>
  </si>
  <si>
    <t>The Desert Lounge</t>
  </si>
  <si>
    <t>North Indian, Italian, Chinese</t>
  </si>
  <si>
    <t>SWG2616</t>
  </si>
  <si>
    <t>Disha Kitchen</t>
  </si>
  <si>
    <t>SWG2617</t>
  </si>
  <si>
    <t>Homely Palate</t>
  </si>
  <si>
    <t>SWG2618</t>
  </si>
  <si>
    <t>Fresh Meals</t>
  </si>
  <si>
    <t>Indian, Snacks, Seafood</t>
  </si>
  <si>
    <t>SWG2619</t>
  </si>
  <si>
    <t>Samrat Family Restaurant</t>
  </si>
  <si>
    <t>Indian, Chinese, North Indian, Tandoor, Snacks, Beverages</t>
  </si>
  <si>
    <t>SWG2620</t>
  </si>
  <si>
    <t>Mozzarella Burst Pizza's</t>
  </si>
  <si>
    <t>SWG2621</t>
  </si>
  <si>
    <t>Fish Koliwada Corner</t>
  </si>
  <si>
    <t>SWG2622</t>
  </si>
  <si>
    <t>Just Frys</t>
  </si>
  <si>
    <t>Estate Link Raod</t>
  </si>
  <si>
    <t>SWG2623</t>
  </si>
  <si>
    <t>Desi Shawarma</t>
  </si>
  <si>
    <t>SWG2624</t>
  </si>
  <si>
    <t>Pahunchar</t>
  </si>
  <si>
    <t>Sweets, Indian</t>
  </si>
  <si>
    <t>SWG2625</t>
  </si>
  <si>
    <t>Chaarvi Chinese Wok Cafe</t>
  </si>
  <si>
    <t>Snacks, Burgers</t>
  </si>
  <si>
    <t>SWG2626</t>
  </si>
  <si>
    <t>Pratham Fast Food</t>
  </si>
  <si>
    <t>SWG2627</t>
  </si>
  <si>
    <t>Punjabi Meal Box</t>
  </si>
  <si>
    <t>SWG2628</t>
  </si>
  <si>
    <t>Doston</t>
  </si>
  <si>
    <t>North Indian, Biryani, Kebabs, Tandoor, Beverages</t>
  </si>
  <si>
    <t>SWG2629</t>
  </si>
  <si>
    <t>ROYAL DAIRY</t>
  </si>
  <si>
    <t>SWG2630</t>
  </si>
  <si>
    <t>Rapid Bites</t>
  </si>
  <si>
    <t>SWG2631</t>
  </si>
  <si>
    <t>China Chopstick</t>
  </si>
  <si>
    <t>SWG2632</t>
  </si>
  <si>
    <t>Creamy Cool</t>
  </si>
  <si>
    <t>SWG2633</t>
  </si>
  <si>
    <t>Parsley- The Lounge</t>
  </si>
  <si>
    <t>Beverages, Chinese, Pastas</t>
  </si>
  <si>
    <t>SWG2634</t>
  </si>
  <si>
    <t>Mamta's Kitchen</t>
  </si>
  <si>
    <t>SWG2635</t>
  </si>
  <si>
    <t>Xotik Cafe</t>
  </si>
  <si>
    <t>SWG2636</t>
  </si>
  <si>
    <t>Momo Marvels</t>
  </si>
  <si>
    <t>Tibetan, Pan-Asian</t>
  </si>
  <si>
    <t>SWG2637</t>
  </si>
  <si>
    <t>The Chinese Cook House</t>
  </si>
  <si>
    <t>Chinese, Thai, Fast Food</t>
  </si>
  <si>
    <t>SWG2638</t>
  </si>
  <si>
    <t>YADAV SWEET MART</t>
  </si>
  <si>
    <t>SWG2639</t>
  </si>
  <si>
    <t>Cafekino</t>
  </si>
  <si>
    <t>Snacks, Salads</t>
  </si>
  <si>
    <t>SWG2640</t>
  </si>
  <si>
    <t>Borivali Falooda Centre &amp; Veg-Non Veg Centre</t>
  </si>
  <si>
    <t>SWG2641</t>
  </si>
  <si>
    <t>Bhakti's Cake Dreams</t>
  </si>
  <si>
    <t>SWG2642</t>
  </si>
  <si>
    <t>The Juice Tree</t>
  </si>
  <si>
    <t>SWG2643</t>
  </si>
  <si>
    <t>Level Up Pizzeria</t>
  </si>
  <si>
    <t>SWG2644</t>
  </si>
  <si>
    <t>Benglore Iyyengers Bakery</t>
  </si>
  <si>
    <t>SWG2645</t>
  </si>
  <si>
    <t>Cake O' City - The Ultimate Cake Stop</t>
  </si>
  <si>
    <t>SWG2646</t>
  </si>
  <si>
    <t>Bombay 62</t>
  </si>
  <si>
    <t>SWG2647</t>
  </si>
  <si>
    <t>Crocodile Resturant</t>
  </si>
  <si>
    <t>SWG2648</t>
  </si>
  <si>
    <t>Kasipuh</t>
  </si>
  <si>
    <t>SWG2649</t>
  </si>
  <si>
    <t>Mastani Pavbhaji Centre</t>
  </si>
  <si>
    <t>SWG2650</t>
  </si>
  <si>
    <t>Konkan Bay</t>
  </si>
  <si>
    <t>Indian, Chinese, Biryani, Seafood, Thalis</t>
  </si>
  <si>
    <t>SWG2651</t>
  </si>
  <si>
    <t>Saras Foods</t>
  </si>
  <si>
    <t>SWG2652</t>
  </si>
  <si>
    <t>Parmanand</t>
  </si>
  <si>
    <t>Street Food, North Indian, Chinese, Beverages, South Indian</t>
  </si>
  <si>
    <t>SWG2653</t>
  </si>
  <si>
    <t>Brioche</t>
  </si>
  <si>
    <t>Bakery, Snacks, Fast Food, Pizzas</t>
  </si>
  <si>
    <t>SWG2654</t>
  </si>
  <si>
    <t>Vijayshree Icecream Amul Parlour</t>
  </si>
  <si>
    <t>SWG2655</t>
  </si>
  <si>
    <t>Joey's Shawarma</t>
  </si>
  <si>
    <t>Arabian, Burgers, Snacks, Desserts</t>
  </si>
  <si>
    <t>SWG2656</t>
  </si>
  <si>
    <t>Wok Of Fame</t>
  </si>
  <si>
    <t>Prabhu Udyog Bhavan</t>
  </si>
  <si>
    <t>SWG2657</t>
  </si>
  <si>
    <t>D'Sandwicha &amp; Snacks Corner</t>
  </si>
  <si>
    <t>Fast Food, Street Food, Chinese, Pizzas</t>
  </si>
  <si>
    <t>SWG2658</t>
  </si>
  <si>
    <t>Celebration The Cake Shop</t>
  </si>
  <si>
    <t>SWG2659</t>
  </si>
  <si>
    <t>Apna SayBeen</t>
  </si>
  <si>
    <t>SWG2660</t>
  </si>
  <si>
    <t>S M Special Falooda and Ice Cream</t>
  </si>
  <si>
    <t>SWG2661</t>
  </si>
  <si>
    <t>Rajeshahi Bhog</t>
  </si>
  <si>
    <t>SWG2662</t>
  </si>
  <si>
    <t>Exotic - The Dining Bar</t>
  </si>
  <si>
    <t>Biryani, North Indian, Arabian, Pizzas, Chinese</t>
  </si>
  <si>
    <t>SWG2663</t>
  </si>
  <si>
    <t>Royal China town</t>
  </si>
  <si>
    <t>SWG2664</t>
  </si>
  <si>
    <t>D Sweet Cloud</t>
  </si>
  <si>
    <t>Bakery, Ice Cream</t>
  </si>
  <si>
    <t>SWG2665</t>
  </si>
  <si>
    <t>Shree Mahalaxmi Restaurant And Garden</t>
  </si>
  <si>
    <t>Chinese, Kebabs, Biryani</t>
  </si>
  <si>
    <t>SWG2666</t>
  </si>
  <si>
    <t>Maratha Biryani Centre</t>
  </si>
  <si>
    <t>Chinese, North Indian, Biryani, Tandoor</t>
  </si>
  <si>
    <t>SWG2667</t>
  </si>
  <si>
    <t>Hotel Sai shradha</t>
  </si>
  <si>
    <t>SWG2668</t>
  </si>
  <si>
    <t>Absolute Biryani</t>
  </si>
  <si>
    <t>SWG2669</t>
  </si>
  <si>
    <t>Esora</t>
  </si>
  <si>
    <t>SWG2670</t>
  </si>
  <si>
    <t>Forks &amp; Spoons 51</t>
  </si>
  <si>
    <t>Burgers, Fast Food, Chinese, Pizzas, Beverages</t>
  </si>
  <si>
    <t>SWG2671</t>
  </si>
  <si>
    <t>Eternal Bliss</t>
  </si>
  <si>
    <t>SWG2672</t>
  </si>
  <si>
    <t>Honeys Delights</t>
  </si>
  <si>
    <t>SWG2673</t>
  </si>
  <si>
    <t>Aniket Chinese</t>
  </si>
  <si>
    <t>SWG2674</t>
  </si>
  <si>
    <t>Sannju's Kitchen</t>
  </si>
  <si>
    <t>Italian, Chinese</t>
  </si>
  <si>
    <t>SWG2675</t>
  </si>
  <si>
    <t>Hooch Restaurant</t>
  </si>
  <si>
    <t>Italian, Chinese, Salads, North Indian, Fast Food</t>
  </si>
  <si>
    <t>SWG2676</t>
  </si>
  <si>
    <t>Pizzarita By The Fusion Kitchen</t>
  </si>
  <si>
    <t>SWG2677</t>
  </si>
  <si>
    <t>Brunchners</t>
  </si>
  <si>
    <t>Snacks, Burgers, Pizzas, Beverages</t>
  </si>
  <si>
    <t>SWG2678</t>
  </si>
  <si>
    <t>Sai Annapurna</t>
  </si>
  <si>
    <t>SWG2679</t>
  </si>
  <si>
    <t>Nasta House</t>
  </si>
  <si>
    <t>SWG2680</t>
  </si>
  <si>
    <t>Masala Mumbai</t>
  </si>
  <si>
    <t>SWG2681</t>
  </si>
  <si>
    <t>Bread Bowl Factory</t>
  </si>
  <si>
    <t>Indian, Continental</t>
  </si>
  <si>
    <t>SWG2682</t>
  </si>
  <si>
    <t>Jizu - Pan Asian Delicacies</t>
  </si>
  <si>
    <t>Chinese, Thai, Oriental</t>
  </si>
  <si>
    <t>SWG2683</t>
  </si>
  <si>
    <t>Bombay Missal Company</t>
  </si>
  <si>
    <t>Snacks, Fast Food, Pizzas, Beverages</t>
  </si>
  <si>
    <t>SWG2684</t>
  </si>
  <si>
    <t>BHANDIWADEKAR'S KITCHEN</t>
  </si>
  <si>
    <t>Maharashtrian, Snacks, Street Food, Desserts</t>
  </si>
  <si>
    <t>SWG2685</t>
  </si>
  <si>
    <t>Tea Home</t>
  </si>
  <si>
    <t>SWG2686</t>
  </si>
  <si>
    <t>Bambbaiya Chinese</t>
  </si>
  <si>
    <t>Chinese, Oriental, Biryani</t>
  </si>
  <si>
    <t>SWG2687</t>
  </si>
  <si>
    <t>Sunny Dosas N Parathas</t>
  </si>
  <si>
    <t>SWG2688</t>
  </si>
  <si>
    <t>Goregaon Sports Club</t>
  </si>
  <si>
    <t>Pizzas, Desserts, Italian</t>
  </si>
  <si>
    <t>SWG2689</t>
  </si>
  <si>
    <t>the dhaba by Geets Rasoi</t>
  </si>
  <si>
    <t>SWG2690</t>
  </si>
  <si>
    <t>The Mocha House</t>
  </si>
  <si>
    <t>Kandivali (West)</t>
  </si>
  <si>
    <t>Beverages, Cafe, Snacks, Desserts</t>
  </si>
  <si>
    <t>SWG2691</t>
  </si>
  <si>
    <t>103 Chinese Corner</t>
  </si>
  <si>
    <t>Chinese, South Indian, Indian</t>
  </si>
  <si>
    <t>SWG2692</t>
  </si>
  <si>
    <t>DAYANAND RESTAURANT AND BAR</t>
  </si>
  <si>
    <t>SWG2693</t>
  </si>
  <si>
    <t>Ammo Ki Rasoi</t>
  </si>
  <si>
    <t>SWG2694</t>
  </si>
  <si>
    <t>Waffle And Waffle</t>
  </si>
  <si>
    <t>SWG2695</t>
  </si>
  <si>
    <t>Jaya's Famous Sandwiches</t>
  </si>
  <si>
    <t>SWG2696</t>
  </si>
  <si>
    <t>Fruitango Juices Shakes &amp; Smoothies</t>
  </si>
  <si>
    <t>Beverages, Chinese, Snacks</t>
  </si>
  <si>
    <t>SWG2697</t>
  </si>
  <si>
    <t>Fat Boy Food</t>
  </si>
  <si>
    <t>Chinese, Burgers, Waffle</t>
  </si>
  <si>
    <t>SWG2698</t>
  </si>
  <si>
    <t>Double Door Lounge</t>
  </si>
  <si>
    <t>Chinese, Italian</t>
  </si>
  <si>
    <t>SWG2699</t>
  </si>
  <si>
    <t>Johny Wokker</t>
  </si>
  <si>
    <t>SWG2700</t>
  </si>
  <si>
    <t>Lettuce-Global Veggies Cuisine</t>
  </si>
  <si>
    <t>SWG2701</t>
  </si>
  <si>
    <t>I M Chinese Food Corner</t>
  </si>
  <si>
    <t>SWG2702</t>
  </si>
  <si>
    <t>Mr.D Misal Pav</t>
  </si>
  <si>
    <t>SWG2703</t>
  </si>
  <si>
    <t>Tossin Pizza</t>
  </si>
  <si>
    <t>Pizzas, Italian, Beverages, Desserts</t>
  </si>
  <si>
    <t>SWG2704</t>
  </si>
  <si>
    <t>Louis Burger</t>
  </si>
  <si>
    <t>BORIVALI WEST</t>
  </si>
  <si>
    <t>SWG2705</t>
  </si>
  <si>
    <t>Goila Butter Chicken</t>
  </si>
  <si>
    <t>Vithal Jadhav House</t>
  </si>
  <si>
    <t>North Indian, Biryani, Kebabs, Desserts</t>
  </si>
  <si>
    <t>SWG2706</t>
  </si>
  <si>
    <t>SLYCE PIZZA</t>
  </si>
  <si>
    <t>SWG2707</t>
  </si>
  <si>
    <t>Hotel Sagar</t>
  </si>
  <si>
    <t>SWG2708</t>
  </si>
  <si>
    <t>Lord Petrick</t>
  </si>
  <si>
    <t>LINK HOUSE</t>
  </si>
  <si>
    <t>Burgers, Snacks, Italian, Desserts, Beverages</t>
  </si>
  <si>
    <t>SWG2709</t>
  </si>
  <si>
    <t>Hotel Konkan Swad</t>
  </si>
  <si>
    <t>North Indian, South Indian, Malwani, Chinese, Seafood</t>
  </si>
  <si>
    <t>SWG2710</t>
  </si>
  <si>
    <t>British Waffle Co.</t>
  </si>
  <si>
    <t>SWG2711</t>
  </si>
  <si>
    <t>Rogan Tadka</t>
  </si>
  <si>
    <t>North Indian, Chinese, Continental, Tandoor</t>
  </si>
  <si>
    <t>SWG2712</t>
  </si>
  <si>
    <t>Udupi Express</t>
  </si>
  <si>
    <t>SWG2713</t>
  </si>
  <si>
    <t>Prem's</t>
  </si>
  <si>
    <t>North Indian, Chinese, Thai, Indian, Mughlai, Biryani</t>
  </si>
  <si>
    <t>SWG2714</t>
  </si>
  <si>
    <t>Fleur : The Fern Hotel</t>
  </si>
  <si>
    <t>North Indian, Thai, Continental</t>
  </si>
  <si>
    <t>SWG2715</t>
  </si>
  <si>
    <t>Simran Biryani Centre</t>
  </si>
  <si>
    <t>SWG2716</t>
  </si>
  <si>
    <t>Majestic Nx</t>
  </si>
  <si>
    <t>SWG2717</t>
  </si>
  <si>
    <t>City Star</t>
  </si>
  <si>
    <t>North Indian, Chinese, Tandoor, Continental</t>
  </si>
  <si>
    <t>SWG2718</t>
  </si>
  <si>
    <t>Bansi Snacks</t>
  </si>
  <si>
    <t>SWG2719</t>
  </si>
  <si>
    <t>Mothers Touch Kathiyawadi</t>
  </si>
  <si>
    <t>Devrokarwadi New Link Road</t>
  </si>
  <si>
    <t>Indian, Sweets, Beverages</t>
  </si>
  <si>
    <t>SWG2720</t>
  </si>
  <si>
    <t>Sai Krupa</t>
  </si>
  <si>
    <t>Tandoor, Chinese</t>
  </si>
  <si>
    <t>SWG2721</t>
  </si>
  <si>
    <t>Bite-Size</t>
  </si>
  <si>
    <t>Salads, Healthy Food, Continental, Indian</t>
  </si>
  <si>
    <t>SWG2722</t>
  </si>
  <si>
    <t>Peppy Parathas &amp; Rolls By Chai Point</t>
  </si>
  <si>
    <t>SWG2723</t>
  </si>
  <si>
    <t>Just Biryani</t>
  </si>
  <si>
    <t>SWG2724</t>
  </si>
  <si>
    <t>Kalinda</t>
  </si>
  <si>
    <t>SWG2725</t>
  </si>
  <si>
    <t>Bohoba</t>
  </si>
  <si>
    <t>MALAD</t>
  </si>
  <si>
    <t>Italian, Pizzas, Mexican, Continental, European, Mediterranean, Desserts</t>
  </si>
  <si>
    <t>SWG2726</t>
  </si>
  <si>
    <t>Chunkys Cake Shops</t>
  </si>
  <si>
    <t>SWG2727</t>
  </si>
  <si>
    <t>LAXMI SWEETS AND FARSAN</t>
  </si>
  <si>
    <t>SWG2728</t>
  </si>
  <si>
    <t>Grilled Chicken Company</t>
  </si>
  <si>
    <t>Continental, Healthy Food, American</t>
  </si>
  <si>
    <t>SWG2729</t>
  </si>
  <si>
    <t>Aande Le Lo Cafe</t>
  </si>
  <si>
    <t>French</t>
  </si>
  <si>
    <t>SWG2730</t>
  </si>
  <si>
    <t>Biryani By Kalinda</t>
  </si>
  <si>
    <t>Biryani, Snacks</t>
  </si>
  <si>
    <t>SWG2731</t>
  </si>
  <si>
    <t>Fill and Chill</t>
  </si>
  <si>
    <t>SWG2732</t>
  </si>
  <si>
    <t>Sai Sannidhi Restaurant &amp; Bar</t>
  </si>
  <si>
    <t>SWG2733</t>
  </si>
  <si>
    <t>Chopstick house</t>
  </si>
  <si>
    <t>Indian, Tandoor, Thalis</t>
  </si>
  <si>
    <t>SWG2734</t>
  </si>
  <si>
    <t>Just Rice</t>
  </si>
  <si>
    <t>SWG2735</t>
  </si>
  <si>
    <t>Flags Ii</t>
  </si>
  <si>
    <t>Chincholi Bunder Signal</t>
  </si>
  <si>
    <t>North Indian, Italian, Continental, Thai</t>
  </si>
  <si>
    <t>SWG2736</t>
  </si>
  <si>
    <t>2 Pai cakes</t>
  </si>
  <si>
    <t>SWG2737</t>
  </si>
  <si>
    <t>Atharva's Cloud Kitchen</t>
  </si>
  <si>
    <t xml:space="preserve">Santosh Nagar market </t>
  </si>
  <si>
    <t>Chinese, South Indian, Fast Food, North Indian, Ice Cream, Beverages, Biryani, Arabian</t>
  </si>
  <si>
    <t>SWG2738</t>
  </si>
  <si>
    <t>Mannrangi</t>
  </si>
  <si>
    <t>North Indian, Punjabi, Mughlai, Biryani, Kebabs, Goan</t>
  </si>
  <si>
    <t>SWG2739</t>
  </si>
  <si>
    <t>CST Delicious Food</t>
  </si>
  <si>
    <t>Chinese, Indian, Mughlai, Tandoor</t>
  </si>
  <si>
    <t>SWG2740</t>
  </si>
  <si>
    <t>Bamboos</t>
  </si>
  <si>
    <t>Chinese, Snacks, North Indian, Desserts</t>
  </si>
  <si>
    <t>SWG2741</t>
  </si>
  <si>
    <t>Dil Se Dalia</t>
  </si>
  <si>
    <t>Fast Food, North Indian</t>
  </si>
  <si>
    <t>SWG2742</t>
  </si>
  <si>
    <t>Warehouse Kitchen</t>
  </si>
  <si>
    <t>North Indian, Continental, Fast Food, Italian, Desserts</t>
  </si>
  <si>
    <t>SWG2743</t>
  </si>
  <si>
    <t>China Castle</t>
  </si>
  <si>
    <t>SWG2744</t>
  </si>
  <si>
    <t>Allspice</t>
  </si>
  <si>
    <t>North Indian, Chinese, Biryani, Tandoor</t>
  </si>
  <si>
    <t>SWG2745</t>
  </si>
  <si>
    <t>Poddar Cuisine</t>
  </si>
  <si>
    <t>Chinese, Biryani, Beverages</t>
  </si>
  <si>
    <t>SWG2746</t>
  </si>
  <si>
    <t>JUG's Kitchen</t>
  </si>
  <si>
    <t>Indian, Lebanese, Mughlai, Chinese</t>
  </si>
  <si>
    <t>SWG2747</t>
  </si>
  <si>
    <t>Choco Magic Patisserie &amp; Confectioners Studio</t>
  </si>
  <si>
    <t>SWG2748</t>
  </si>
  <si>
    <t>Yogita Restaurant</t>
  </si>
  <si>
    <t>Indian, Chinese, Tandoor, Seafood</t>
  </si>
  <si>
    <t>KPI</t>
  </si>
  <si>
    <t>Formula / Meaning</t>
  </si>
  <si>
    <t>Total Sales</t>
  </si>
  <si>
    <t>Total Orders</t>
  </si>
  <si>
    <t>Average Rating</t>
  </si>
  <si>
    <t>Average Order Value</t>
  </si>
  <si>
    <t>Top City</t>
  </si>
  <si>
    <t>Use Pivot Table</t>
  </si>
  <si>
    <t>Top Food Category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</si>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</sst>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6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64" formatCode="yyyy\-mm\-dd\ 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colors>
    <mruColors>
      <color rgb="FFC85A14"/>
      <color rgb="FFFC8019"/>
      <color rgb="FFE76F00"/>
      <color rgb="FFFFF8F2"/>
      <color rgb="FFFFE7D1"/>
      <color rgb="FFF6C177"/>
      <color rgb="FFF4B400"/>
      <color rgb="FFF45B69"/>
      <color rgb="FFFFC38A"/>
      <color rgb="FFFF8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[Swiggy_Dashboard_Project.xlsx]Sheet1!PivotTable1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rgbClr val="FC8019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C8019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rgbClr val="FC801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rgbClr val="FC8019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C8019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Sheet1!$A$4:$A$12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Sheet1!$B$4:$B$12</c:f>
              <c:numCache>
                <c:formatCode>"₹"\ #,##0.00</c:formatCode>
                <c:ptCount val="8"/>
                <c:pt idx="0">
                  <c:v>184910</c:v>
                </c:pt>
                <c:pt idx="1">
                  <c:v>193943</c:v>
                </c:pt>
                <c:pt idx="2">
                  <c:v>178204</c:v>
                </c:pt>
                <c:pt idx="3">
                  <c:v>203136</c:v>
                </c:pt>
                <c:pt idx="4">
                  <c:v>215765</c:v>
                </c:pt>
                <c:pt idx="5">
                  <c:v>189530</c:v>
                </c:pt>
                <c:pt idx="6">
                  <c:v>181690</c:v>
                </c:pt>
                <c:pt idx="7">
                  <c:v>191210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E-4D74-B220-3A856999B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FC8019"/>
              </a:solidFill>
              <a:round/>
            </a:ln>
            <a:effectLst/>
          </c:spPr>
        </c:dropLines>
        <c:marker val="1"/>
        <c:smooth val="0"/>
        <c:axId val="1166563215"/>
        <c:axId val="1166555535"/>
      </c:lineChart>
      <c:catAx>
        <c:axId val="11665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4EC"/>
          </a:solidFill>
          <a:ln w="12700" cap="flat" cmpd="sng" algn="ctr">
            <a:solidFill>
              <a:srgbClr val="FC801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55535"/>
        <c:crosses val="autoZero"/>
        <c:auto val="1"/>
        <c:lblAlgn val="ctr"/>
        <c:lblOffset val="100"/>
        <c:noMultiLvlLbl val="0"/>
      </c:catAx>
      <c:valAx>
        <c:axId val="1166555535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6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4E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[Swiggy_Dashboard_Project.xlsx]Sheet2!PivotTable2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 Food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6C17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B06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C8019"/>
          </a:solidFill>
          <a:ln w="19050">
            <a:solidFill>
              <a:srgbClr val="FFD1A6"/>
            </a:solidFill>
          </a:ln>
          <a:effectLst/>
        </c:spPr>
      </c:pivotFmt>
      <c:pivotFmt>
        <c:idx val="4"/>
        <c:spPr>
          <a:solidFill>
            <a:srgbClr val="E76F00"/>
          </a:solidFill>
          <a:ln w="1905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5"/>
        <c:spPr>
          <a:solidFill>
            <a:srgbClr val="FF8A6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38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6C17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DC3-467F-BF67-D2BB19BB32AF}"/>
              </c:ext>
            </c:extLst>
          </c:dPt>
          <c:dPt>
            <c:idx val="1"/>
            <c:bubble3D val="0"/>
            <c:spPr>
              <a:solidFill>
                <a:srgbClr val="FFC3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C3-467F-BF67-D2BB19BB32AF}"/>
              </c:ext>
            </c:extLst>
          </c:dPt>
          <c:dPt>
            <c:idx val="2"/>
            <c:bubble3D val="0"/>
            <c:spPr>
              <a:solidFill>
                <a:srgbClr val="FF8A6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DC3-467F-BF67-D2BB19BB32AF}"/>
              </c:ext>
            </c:extLst>
          </c:dPt>
          <c:dPt>
            <c:idx val="3"/>
            <c:bubble3D val="0"/>
            <c:spPr>
              <a:solidFill>
                <a:srgbClr val="E76F00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3-467F-BF67-D2BB19BB32AF}"/>
              </c:ext>
            </c:extLst>
          </c:dPt>
          <c:dPt>
            <c:idx val="4"/>
            <c:bubble3D val="0"/>
            <c:spPr>
              <a:solidFill>
                <a:srgbClr val="FC8019"/>
              </a:solidFill>
              <a:ln w="19050">
                <a:solidFill>
                  <a:srgbClr val="FFD1A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DC3-467F-BF67-D2BB19BB32AF}"/>
              </c:ext>
            </c:extLst>
          </c:dPt>
          <c:dPt>
            <c:idx val="5"/>
            <c:bubble3D val="0"/>
            <c:spPr>
              <a:solidFill>
                <a:srgbClr val="FFB0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3-467F-BF67-D2BB19BB32AF}"/>
              </c:ext>
            </c:extLst>
          </c:dPt>
          <c:cat>
            <c:strRef>
              <c:f>Sheet2!$A$4:$A$10</c:f>
              <c:strCache>
                <c:ptCount val="6"/>
                <c:pt idx="0">
                  <c:v>Beverages</c:v>
                </c:pt>
                <c:pt idx="1">
                  <c:v>Biryani</c:v>
                </c:pt>
                <c:pt idx="2">
                  <c:v>Burger</c:v>
                </c:pt>
                <c:pt idx="3">
                  <c:v>Desserts</c:v>
                </c:pt>
                <c:pt idx="4">
                  <c:v>Fast Food</c:v>
                </c:pt>
                <c:pt idx="5">
                  <c:v>Pizza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158550</c:v>
                </c:pt>
                <c:pt idx="1">
                  <c:v>180927</c:v>
                </c:pt>
                <c:pt idx="2">
                  <c:v>44539</c:v>
                </c:pt>
                <c:pt idx="3">
                  <c:v>266150</c:v>
                </c:pt>
                <c:pt idx="4">
                  <c:v>740293</c:v>
                </c:pt>
                <c:pt idx="5">
                  <c:v>147929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3-467F-BF67-D2BB19BB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8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[Swiggy_Dashboard_Project.xlsx]Sheet3!PivotTable3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Cities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C801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C801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C801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801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Borivali</c:v>
                </c:pt>
                <c:pt idx="1">
                  <c:v>Malad Kan West</c:v>
                </c:pt>
                <c:pt idx="2">
                  <c:v>Malad Kan East</c:v>
                </c:pt>
                <c:pt idx="3">
                  <c:v>Malad West</c:v>
                </c:pt>
                <c:pt idx="4">
                  <c:v>Kandivali East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273587</c:v>
                </c:pt>
                <c:pt idx="1">
                  <c:v>179370</c:v>
                </c:pt>
                <c:pt idx="2">
                  <c:v>174072</c:v>
                </c:pt>
                <c:pt idx="3">
                  <c:v>148015</c:v>
                </c:pt>
                <c:pt idx="4">
                  <c:v>127228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6-4F6D-85E6-F8EA92B57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8100111"/>
        <c:axId val="1428101551"/>
      </c:barChart>
      <c:catAx>
        <c:axId val="142810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01551"/>
        <c:crosses val="autoZero"/>
        <c:auto val="1"/>
        <c:lblAlgn val="ctr"/>
        <c:lblOffset val="100"/>
        <c:noMultiLvlLbl val="0"/>
      </c:catAx>
      <c:valAx>
        <c:axId val="1428101551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2810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[Swiggy_Dashboard_Project.xlsx]Sheet1!PivotTable1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rgbClr val="FC8019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C8019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rgbClr val="FC801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 w="31750" cap="rnd">
            <a:solidFill>
              <a:srgbClr val="FC8019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 w="31750" cap="rnd">
            <a:solidFill>
              <a:srgbClr val="FC8019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rgbClr val="FC8019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C8019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Sheet1!$A$4:$A$12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Sheet1!$B$4:$B$12</c:f>
              <c:numCache>
                <c:formatCode>"₹"\ #,##0.00</c:formatCode>
                <c:ptCount val="8"/>
                <c:pt idx="0">
                  <c:v>184910</c:v>
                </c:pt>
                <c:pt idx="1">
                  <c:v>193943</c:v>
                </c:pt>
                <c:pt idx="2">
                  <c:v>178204</c:v>
                </c:pt>
                <c:pt idx="3">
                  <c:v>203136</c:v>
                </c:pt>
                <c:pt idx="4">
                  <c:v>215765</c:v>
                </c:pt>
                <c:pt idx="5">
                  <c:v>189530</c:v>
                </c:pt>
                <c:pt idx="6">
                  <c:v>181690</c:v>
                </c:pt>
                <c:pt idx="7">
                  <c:v>191210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6-4735-B31E-D02BD8F1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FC8019"/>
              </a:solidFill>
              <a:round/>
            </a:ln>
            <a:effectLst/>
          </c:spPr>
        </c:dropLines>
        <c:marker val="1"/>
        <c:smooth val="0"/>
        <c:axId val="1166563215"/>
        <c:axId val="1166555535"/>
      </c:lineChart>
      <c:catAx>
        <c:axId val="11665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4EC"/>
          </a:solidFill>
          <a:ln w="12700" cap="flat" cmpd="sng" algn="ctr">
            <a:solidFill>
              <a:srgbClr val="FC801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55535"/>
        <c:crosses val="autoZero"/>
        <c:auto val="1"/>
        <c:lblAlgn val="ctr"/>
        <c:lblOffset val="100"/>
        <c:noMultiLvlLbl val="0"/>
      </c:catAx>
      <c:valAx>
        <c:axId val="1166555535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6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4E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[Swiggy_Dashboard_Project.xlsx]Sheet3!PivotTable3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Cities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C801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801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Borivali</c:v>
                </c:pt>
                <c:pt idx="1">
                  <c:v>Malad Kan West</c:v>
                </c:pt>
                <c:pt idx="2">
                  <c:v>Malad Kan East</c:v>
                </c:pt>
                <c:pt idx="3">
                  <c:v>Malad West</c:v>
                </c:pt>
                <c:pt idx="4">
                  <c:v>Kandivali East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273587</c:v>
                </c:pt>
                <c:pt idx="1">
                  <c:v>179370</c:v>
                </c:pt>
                <c:pt idx="2">
                  <c:v>174072</c:v>
                </c:pt>
                <c:pt idx="3">
                  <c:v>148015</c:v>
                </c:pt>
                <c:pt idx="4">
                  <c:v>127228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9-4AFE-978E-E6CA2D885D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8100111"/>
        <c:axId val="1428101551"/>
      </c:barChart>
      <c:catAx>
        <c:axId val="142810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01551"/>
        <c:crosses val="autoZero"/>
        <c:auto val="1"/>
        <c:lblAlgn val="ctr"/>
        <c:lblOffset val="100"/>
        <c:noMultiLvlLbl val="0"/>
      </c:catAx>
      <c:valAx>
        <c:axId val="1428101551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2810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5</xdr:row>
      <xdr:rowOff>179070</xdr:rowOff>
    </xdr:from>
    <xdr:to>
      <xdr:col>11</xdr:col>
      <xdr:colOff>472440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62FCB-D8B3-96C9-4534-E3B1894A0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133350</xdr:rowOff>
    </xdr:from>
    <xdr:to>
      <xdr:col>11</xdr:col>
      <xdr:colOff>381000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C32D6-F118-ACE9-C5AF-57D94B02E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25</xdr:row>
      <xdr:rowOff>7620</xdr:rowOff>
    </xdr:from>
    <xdr:to>
      <xdr:col>13</xdr:col>
      <xdr:colOff>586740</xdr:colOff>
      <xdr:row>40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0DC82D-8069-43B0-8AA8-96CBCA614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23</xdr:col>
      <xdr:colOff>304800</xdr:colOff>
      <xdr:row>46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12FDD7-E259-4310-860F-C7D59AAA5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0E00BA32-5661-778F-78A3-89AA2D76CD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993120" cy="576342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5</xdr:row>
      <xdr:rowOff>133350</xdr:rowOff>
    </xdr:from>
    <xdr:to>
      <xdr:col>11</xdr:col>
      <xdr:colOff>449580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B800C-8DA7-D4B4-1753-B0A2070DD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4</xdr:row>
      <xdr:rowOff>106680</xdr:rowOff>
    </xdr:from>
    <xdr:to>
      <xdr:col>4</xdr:col>
      <xdr:colOff>129540</xdr:colOff>
      <xdr:row>10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42DBA6-5D3B-D8C8-BA40-A622BFCACFD6}"/>
            </a:ext>
          </a:extLst>
        </xdr:cNvPr>
        <xdr:cNvSpPr/>
      </xdr:nvSpPr>
      <xdr:spPr>
        <a:xfrm>
          <a:off x="525780" y="832394"/>
          <a:ext cx="2042160" cy="101999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E76F00"/>
              </a:solidFill>
            </a:rPr>
            <a:t>💰</a:t>
          </a:r>
          <a:r>
            <a:rPr lang="en-IN" sz="12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Sales</a:t>
          </a:r>
          <a:endParaRPr lang="en-IN" sz="1100">
            <a:solidFill>
              <a:srgbClr val="E76F00"/>
            </a:solidFill>
          </a:endParaRPr>
        </a:p>
        <a:p>
          <a:pPr algn="ctr"/>
          <a:r>
            <a:rPr lang="en-IN" sz="2400" b="1">
              <a:solidFill>
                <a:srgbClr val="E76F00"/>
              </a:solidFill>
            </a:rPr>
            <a:t>₹ 4,50,000</a:t>
          </a:r>
        </a:p>
      </xdr:txBody>
    </xdr:sp>
    <xdr:clientData/>
  </xdr:twoCellAnchor>
  <xdr:twoCellAnchor>
    <xdr:from>
      <xdr:col>4</xdr:col>
      <xdr:colOff>285024</xdr:colOff>
      <xdr:row>4</xdr:row>
      <xdr:rowOff>106680</xdr:rowOff>
    </xdr:from>
    <xdr:to>
      <xdr:col>7</xdr:col>
      <xdr:colOff>506004</xdr:colOff>
      <xdr:row>10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4D1C71F-F075-9329-3E89-F600527AC5E3}"/>
            </a:ext>
          </a:extLst>
        </xdr:cNvPr>
        <xdr:cNvSpPr/>
      </xdr:nvSpPr>
      <xdr:spPr>
        <a:xfrm>
          <a:off x="2723424" y="832394"/>
          <a:ext cx="2049780" cy="10047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200" b="1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ctr"/>
          <a:r>
            <a:rPr lang="en-IN" sz="1200" b="1">
              <a:solidFill>
                <a:schemeClr val="tx1">
                  <a:lumMod val="50000"/>
                  <a:lumOff val="50000"/>
                </a:schemeClr>
              </a:solidFill>
            </a:rPr>
            <a:t>📦 </a:t>
          </a:r>
          <a:r>
            <a:rPr lang="en-IN" sz="12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Orders</a:t>
          </a:r>
        </a:p>
        <a:p>
          <a:pPr algn="ctr"/>
          <a:r>
            <a:rPr lang="en-IN" sz="2400" b="1">
              <a:solidFill>
                <a:srgbClr val="FC8019"/>
              </a:solidFill>
            </a:rPr>
            <a:t>2,450</a:t>
          </a:r>
          <a:endParaRPr lang="en-IN" sz="2400" b="1">
            <a:solidFill>
              <a:srgbClr val="FC8019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N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11</xdr:col>
      <xdr:colOff>405493</xdr:colOff>
      <xdr:row>4</xdr:row>
      <xdr:rowOff>106680</xdr:rowOff>
    </xdr:from>
    <xdr:to>
      <xdr:col>15</xdr:col>
      <xdr:colOff>1633</xdr:colOff>
      <xdr:row>10</xdr:row>
      <xdr:rowOff>22860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E6EA602-4031-C992-1CE8-6D9081DECD64}"/>
            </a:ext>
          </a:extLst>
        </xdr:cNvPr>
        <xdr:cNvSpPr/>
      </xdr:nvSpPr>
      <xdr:spPr>
        <a:xfrm>
          <a:off x="7111093" y="832394"/>
          <a:ext cx="2034540" cy="10047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🛵 Avg Delivery Time</a:t>
          </a:r>
          <a:endParaRPr lang="en-IN" sz="1200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rgbClr val="FC8019"/>
              </a:solidFill>
              <a:latin typeface="+mn-lt"/>
              <a:ea typeface="+mn-ea"/>
              <a:cs typeface="+mn-cs"/>
            </a:rPr>
            <a:t>32 mins</a:t>
          </a: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51888</xdr:colOff>
      <xdr:row>4</xdr:row>
      <xdr:rowOff>106680</xdr:rowOff>
    </xdr:from>
    <xdr:to>
      <xdr:col>11</xdr:col>
      <xdr:colOff>250008</xdr:colOff>
      <xdr:row>10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DF3F1F1-87CD-417F-8890-40DDA7C4DEB4}"/>
            </a:ext>
          </a:extLst>
        </xdr:cNvPr>
        <xdr:cNvSpPr/>
      </xdr:nvSpPr>
      <xdr:spPr>
        <a:xfrm>
          <a:off x="4928688" y="832394"/>
          <a:ext cx="2026920" cy="10047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⭐ </a:t>
          </a:r>
          <a:r>
            <a:rPr lang="en-IN" sz="12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Avg Rating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rgbClr val="FC8019"/>
              </a:solidFill>
              <a:latin typeface="+mn-lt"/>
              <a:ea typeface="+mn-ea"/>
              <a:cs typeface="+mn-cs"/>
            </a:rPr>
            <a:t>4.3</a:t>
          </a:r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319314</xdr:colOff>
      <xdr:row>0</xdr:row>
      <xdr:rowOff>167640</xdr:rowOff>
    </xdr:from>
    <xdr:to>
      <xdr:col>12</xdr:col>
      <xdr:colOff>166914</xdr:colOff>
      <xdr:row>3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00485E-D027-F191-1254-EFF4F8A240A2}"/>
            </a:ext>
          </a:extLst>
        </xdr:cNvPr>
        <xdr:cNvSpPr txBox="1"/>
      </xdr:nvSpPr>
      <xdr:spPr>
        <a:xfrm>
          <a:off x="2148114" y="167640"/>
          <a:ext cx="5334000" cy="399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rgbClr val="C85A14"/>
              </a:solidFill>
            </a:rPr>
            <a:t>SWIGGY 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M" refreshedDate="46164.536268402779" createdVersion="8" refreshedVersion="8" minRefreshableVersion="3" recordCount="1749" xr:uid="{5ECEFE54-E766-45A5-AB6B-75D9E39B5741}">
  <cacheSource type="worksheet">
    <worksheetSource name="Swiggy_Data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08-28T00:00:00"/>
    </cacheField>
    <cacheField name="month" numFmtId="0">
      <sharedItems count="8">
        <s v="Apr"/>
        <s v="Jun"/>
        <s v="Jan"/>
        <s v="Mar"/>
        <s v="Jul"/>
        <s v="May"/>
        <s v="Aug"/>
        <s v="Feb"/>
      </sharedItems>
    </cacheField>
    <cacheField name="day_name" numFmtId="0">
      <sharedItems/>
    </cacheField>
    <cacheField name="restaurant_name" numFmtId="0">
      <sharedItems/>
    </cacheField>
    <cacheField name="city" numFmtId="0">
      <sharedItems count="112">
        <s v="Kandivali East"/>
        <s v="Thakur Village"/>
        <s v="Malad Kan East"/>
        <s v="Borivali West"/>
        <s v="Malad West"/>
        <s v="Kandivali West"/>
        <s v="Dahisar East"/>
        <s v="Borivali"/>
        <s v="Borivali East"/>
        <s v="Mumbai"/>
        <s v="Thakur village Kandivali east"/>
        <s v="Malad Kan West"/>
        <s v=" SARAAF CHOUDHARY NAGAR"/>
        <s v="Pizza Story"/>
        <s v="Vishnu Shivam Mall"/>
        <s v="Thakur Village, Kandivali (E)"/>
        <s v="Kandivali"/>
        <s v="Thakur Complex"/>
        <s v="Dheeraj Regancy"/>
        <s v="Jog Gor East"/>
        <s v="Avenue Hotel"/>
        <s v="L T Road Junction"/>
        <s v="Malad East"/>
        <s v="Gorai Road"/>
        <s v="Goregaon East"/>
        <s v="GROWELS MALL"/>
        <s v="Akruli Road"/>
        <s v="Mahavir Nagar"/>
        <s v="Malad Borivali Area"/>
        <s v="Dahisar"/>
        <s v="PG Road"/>
        <s v="Chikoowadi"/>
        <s v="Chincholi Bunder Road"/>
        <s v="Mira Road"/>
        <s v="I C Colony"/>
        <s v="Road Ramachandra Lbe"/>
        <s v="Goregaon"/>
        <s v=" Ratna bhai chawk saibaba Nagar, borivali west"/>
        <s v="Goregaon West"/>
        <s v="Evershine Millenium Paradise"/>
        <s v="Express Highway"/>
        <s v="Dahisar West"/>
        <s v="Rawal Pada"/>
        <s v="Andheri Link Road "/>
        <s v="90 FT Road"/>
        <s v="Imperial Heights"/>
        <s v="Akurli Road"/>
        <s v="Mahavir Nagar Kandivali West"/>
        <s v="Railway Station"/>
        <s v="Dattani Centre"/>
        <s v="Kandivali (East), Thakur Village"/>
        <s v="Kandivali East, Thakur Village"/>
        <s v="Malad"/>
        <s v="Mum_Jog Gor East"/>
        <s v="Jogeshwari West"/>
        <s v="Ashok Enclave"/>
        <s v="Chincholi Bunder"/>
        <s v="Evershine nagar"/>
        <s v="Goregaon West_x0009_"/>
        <s v="Raja Dalvi Marg"/>
        <s v="VIthbhati, Goregoan (East) 3)"/>
        <s v="trikamdas road "/>
        <s v="PIMPRIPADA"/>
        <s v="Chincholi Cross Road"/>
        <s v="Aarey Road"/>
        <s v="malad west "/>
        <s v="Matunga Wadala"/>
        <s v="Jog Gor West"/>
        <s v="Gor East"/>
        <s v="Bmc Colony"/>
        <s v="Rajan Pada"/>
        <s v="Kandivali East Lokhandwala"/>
        <s v="Kandivali borivali East"/>
        <s v="EVERSHINE MILLANIUM PARADISE"/>
        <s v="Dahisar East "/>
        <s v="Kandivali, Malad East"/>
        <s v="G2 GARNET PALLADIUM"/>
        <s v="Daftary Road"/>
        <s v="Ganesh Chowk"/>
        <s v="Bandra West"/>
        <s v="Gandhare Road"/>
        <s v="Kandivali - West"/>
        <s v="Dhanukarwadi"/>
        <s v="Gorai"/>
        <s v="Kandivali east "/>
        <s v="Malad West Mumbai"/>
        <s v="Behind Annexe Mall"/>
        <s v="Charkop"/>
        <s v="kandivalli charkop"/>
        <s v="Kandivali W"/>
        <s v="Jog Gor East "/>
        <s v="A K Vaidya Marg"/>
        <s v="Thakur Village, Kandivali (East)"/>
        <s v="ajanta shoping center"/>
        <s v="LOKMANYA LIBRARY"/>
        <s v="anupama anand nagar"/>
        <s v="CSR COMPLEX BUILDING NO 14 FLAT NO 201"/>
        <s v=" Malad West"/>
        <s v="Gandhi Nagar"/>
        <s v="Mahim Dadar"/>
        <s v="Dahisar (E) Mumbai"/>
        <s v="Raheja Township"/>
        <s v="Dindoshi"/>
        <s v="Opp. Chincholi Bunder Road"/>
        <s v="Estate Link Raod"/>
        <s v="Prabhu Udyog Bhavan"/>
        <s v="Kandivali (West)"/>
        <s v="Vithal Jadhav House"/>
        <s v="LINK HOUSE"/>
        <s v="Devrokarwadi New Link Road"/>
        <s v="Chincholi Bunder Signal"/>
        <s v="Santosh Nagar market "/>
      </sharedItems>
    </cacheField>
    <cacheField name="food_type" numFmtId="0">
      <sharedItems/>
    </cacheField>
    <cacheField name="food_category" numFmtId="0">
      <sharedItems count="6">
        <s v="Burger"/>
        <s v="Pizza"/>
        <s v="Biryani"/>
        <s v="Beverages"/>
        <s v="Desserts"/>
        <s v="Fast Food"/>
      </sharedItems>
    </cacheField>
    <cacheField name="veg_nonveg" numFmtId="0">
      <sharedItems/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120" maxValue="599"/>
    </cacheField>
    <cacheField name="sales" numFmtId="0">
      <sharedItems containsSemiMixedTypes="0" containsString="0" containsNumber="1" containsInteger="1" minValue="120" maxValue="2392"/>
    </cacheField>
    <cacheField name="rating" numFmtId="0">
      <sharedItems containsString="0" containsBlank="1" containsNumber="1" minValue="1.5" maxValue="5"/>
    </cacheField>
    <cacheField name="time_minutes" numFmtId="0">
      <sharedItems containsString="0" containsBlank="1" containsNumber="1" containsInteger="1" minValue="12" maxValue="81"/>
    </cacheField>
    <cacheField name="offer_above" numFmtId="0">
      <sharedItems containsString="0" containsBlank="1" containsNumber="1" containsInteger="1" minValue="40" maxValue="1999"/>
    </cacheField>
    <cacheField name="offer_percentage" numFmtId="0">
      <sharedItems containsSemiMixedTypes="0" containsString="0" containsNumber="1" containsInteger="1" minValue="0" maxValue="60"/>
    </cacheField>
    <cacheField name="payment_mode" numFmtId="0">
      <sharedItems count="4">
        <s v="Cash"/>
        <s v="UPI"/>
        <s v="Card"/>
        <s v="Wallet"/>
      </sharedItems>
    </cacheField>
    <cacheField name="customer_age" numFmtId="0">
      <sharedItems containsSemiMixedTypes="0" containsString="0" containsNumber="1" containsInteger="1" minValue="18" maxValue="49"/>
    </cacheField>
    <cacheField name="customer_gender" numFmtId="0">
      <sharedItems/>
    </cacheField>
  </cacheFields>
  <extLst>
    <ext xmlns:x14="http://schemas.microsoft.com/office/spreadsheetml/2009/9/main" uri="{725AE2AE-9491-48be-B2B4-4EB974FC3084}">
      <x14:pivotCacheDefinition pivotCacheId="436693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9">
  <r>
    <s v="SWG1000"/>
    <d v="2024-04-12T00:00:00"/>
    <x v="0"/>
    <s v="Fri"/>
    <s v="McDonald's"/>
    <x v="0"/>
    <s v="Burgers, Beverages, Cafe, Desserts"/>
    <x v="0"/>
    <s v="Veg"/>
    <n v="2"/>
    <n v="157"/>
    <n v="314"/>
    <n v="4.5"/>
    <n v="27"/>
    <n v="75"/>
    <n v="30"/>
    <x v="0"/>
    <n v="22"/>
    <s v="Male"/>
  </r>
  <r>
    <s v="SWG1001"/>
    <d v="2024-06-28T00:00:00"/>
    <x v="1"/>
    <s v="Fri"/>
    <s v="KFC"/>
    <x v="0"/>
    <s v="Burgers, Biryani, American, Snacks, Fast Food"/>
    <x v="0"/>
    <s v="Non-Veg"/>
    <n v="4"/>
    <n v="230"/>
    <n v="920"/>
    <n v="4.2"/>
    <n v="30"/>
    <n v="80"/>
    <n v="40"/>
    <x v="1"/>
    <n v="47"/>
    <s v="Male"/>
  </r>
  <r>
    <s v="SWG1002"/>
    <d v="2024-04-02T00:00:00"/>
    <x v="0"/>
    <s v="Tue"/>
    <s v="Domino's Pizza"/>
    <x v="1"/>
    <s v="Pizzas, Italian, Pastas, Desserts"/>
    <x v="1"/>
    <s v="Veg"/>
    <n v="1"/>
    <n v="599"/>
    <n v="599"/>
    <n v="4.3"/>
    <n v="25"/>
    <n v="299"/>
    <n v="0"/>
    <x v="0"/>
    <n v="37"/>
    <s v="Female"/>
  </r>
  <r>
    <s v="SWG1003"/>
    <d v="2024-01-15T00:00:00"/>
    <x v="2"/>
    <s v="Mon"/>
    <s v="Charcoal Eats - Biryani &amp; Beyond"/>
    <x v="2"/>
    <s v="Biryani, Kebabs, Hyderabadi, North Indian"/>
    <x v="2"/>
    <s v="Non-Veg"/>
    <n v="2"/>
    <n v="487"/>
    <n v="974"/>
    <n v="4.3"/>
    <n v="24"/>
    <n v="100"/>
    <n v="50"/>
    <x v="2"/>
    <n v="42"/>
    <s v="Female"/>
  </r>
  <r>
    <s v="SWG1004"/>
    <d v="2024-04-16T00:00:00"/>
    <x v="0"/>
    <s v="Tue"/>
    <s v="Sandwizzaa"/>
    <x v="0"/>
    <s v="Snacks, Fast Food, Beverages, Jain"/>
    <x v="3"/>
    <s v="Veg"/>
    <n v="2"/>
    <n v="339"/>
    <n v="678"/>
    <n v="4.5999999999999996"/>
    <n v="22"/>
    <n v="120"/>
    <n v="60"/>
    <x v="1"/>
    <n v="48"/>
    <s v="Female"/>
  </r>
  <r>
    <s v="SWG1005"/>
    <d v="2024-03-12T00:00:00"/>
    <x v="3"/>
    <s v="Tue"/>
    <s v="1441 Pizzeria"/>
    <x v="0"/>
    <s v="Italian, Pizzas, Pastas"/>
    <x v="1"/>
    <s v="Veg"/>
    <n v="1"/>
    <n v="456"/>
    <n v="456"/>
    <n v="3.8"/>
    <n v="32"/>
    <n v="120"/>
    <n v="60"/>
    <x v="2"/>
    <n v="26"/>
    <s v="Male"/>
  </r>
  <r>
    <s v="SWG1006"/>
    <d v="2024-07-07T00:00:00"/>
    <x v="4"/>
    <s v="Sun"/>
    <s v="Hangout Cakes &amp; More"/>
    <x v="3"/>
    <s v="Desserts, Bakery"/>
    <x v="4"/>
    <s v="Veg"/>
    <n v="1"/>
    <n v="342"/>
    <n v="342"/>
    <n v="4.4000000000000004"/>
    <n v="24"/>
    <n v="150"/>
    <n v="60"/>
    <x v="2"/>
    <n v="48"/>
    <s v="Male"/>
  </r>
  <r>
    <s v="SWG1007"/>
    <d v="2024-01-21T00:00:00"/>
    <x v="2"/>
    <s v="Sun"/>
    <s v="Love &amp; Cheesecake "/>
    <x v="0"/>
    <s v="Desserts"/>
    <x v="4"/>
    <s v="Veg"/>
    <n v="1"/>
    <n v="255"/>
    <n v="255"/>
    <n v="4.5"/>
    <n v="14"/>
    <m/>
    <n v="0"/>
    <x v="1"/>
    <n v="47"/>
    <s v="Male"/>
  </r>
  <r>
    <s v="SWG1008"/>
    <d v="2024-04-12T00:00:00"/>
    <x v="0"/>
    <s v="Fri"/>
    <s v="Nothing But Chicken"/>
    <x v="0"/>
    <s v="Salads, Biryani, Kebabs, Fast Food, Healthy Food"/>
    <x v="2"/>
    <s v="Non-Veg"/>
    <n v="2"/>
    <n v="375"/>
    <n v="750"/>
    <n v="4.5"/>
    <n v="22"/>
    <n v="50"/>
    <n v="20"/>
    <x v="1"/>
    <n v="38"/>
    <s v="Male"/>
  </r>
  <r>
    <s v="SWG1009"/>
    <d v="2024-05-01T00:00:00"/>
    <x v="5"/>
    <s v="Wed"/>
    <s v="Sweet Bengal"/>
    <x v="0"/>
    <s v="Sweets, Indian, Snacks, Desserts"/>
    <x v="4"/>
    <s v="Veg"/>
    <n v="2"/>
    <n v="479"/>
    <n v="958"/>
    <n v="4.5999999999999996"/>
    <n v="13"/>
    <n v="50"/>
    <n v="20"/>
    <x v="3"/>
    <n v="43"/>
    <s v="Female"/>
  </r>
  <r>
    <s v="SWG1010"/>
    <d v="2024-07-29T00:00:00"/>
    <x v="4"/>
    <s v="Mon"/>
    <s v="Atta Girl"/>
    <x v="4"/>
    <s v="South Indian"/>
    <x v="5"/>
    <s v="Veg"/>
    <n v="4"/>
    <n v="528"/>
    <n v="2112"/>
    <n v="4.7"/>
    <n v="27"/>
    <m/>
    <n v="0"/>
    <x v="3"/>
    <n v="37"/>
    <s v="Male"/>
  </r>
  <r>
    <s v="SWG1011"/>
    <d v="2024-08-02T00:00:00"/>
    <x v="6"/>
    <s v="Fri"/>
    <s v="NIC Ice Creams"/>
    <x v="0"/>
    <s v="Ice Cream, Desserts"/>
    <x v="4"/>
    <s v="Veg"/>
    <n v="3"/>
    <n v="448"/>
    <n v="1344"/>
    <n v="4.7"/>
    <n v="17"/>
    <n v="149"/>
    <n v="0"/>
    <x v="3"/>
    <n v="24"/>
    <s v="Female"/>
  </r>
  <r>
    <s v="SWG1012"/>
    <d v="2024-03-15T00:00:00"/>
    <x v="3"/>
    <s v="Fri"/>
    <s v="Poetry By Love &amp; Cheesecake"/>
    <x v="5"/>
    <s v="Desserts"/>
    <x v="4"/>
    <s v="Veg"/>
    <n v="1"/>
    <n v="569"/>
    <n v="569"/>
    <n v="4.4000000000000004"/>
    <n v="34"/>
    <m/>
    <n v="0"/>
    <x v="2"/>
    <n v="48"/>
    <s v="Male"/>
  </r>
  <r>
    <s v="SWG1013"/>
    <d v="2024-07-21T00:00:00"/>
    <x v="4"/>
    <s v="Sun"/>
    <s v="Havmor Havfunn Ice Cream"/>
    <x v="2"/>
    <s v="Ice Cream, Ice Cream Cakes, Desserts, Beverages"/>
    <x v="4"/>
    <s v="Veg"/>
    <n v="2"/>
    <n v="582"/>
    <n v="1164"/>
    <n v="4.5999999999999996"/>
    <n v="18"/>
    <m/>
    <n v="0"/>
    <x v="2"/>
    <n v="39"/>
    <s v="Female"/>
  </r>
  <r>
    <s v="SWG1014"/>
    <d v="2024-03-28T00:00:00"/>
    <x v="3"/>
    <s v="Thu"/>
    <s v="NOTO - Ice Creams &amp; Desserts"/>
    <x v="0"/>
    <s v="Ice Cream"/>
    <x v="5"/>
    <s v="Veg"/>
    <n v="2"/>
    <n v="553"/>
    <n v="1106"/>
    <n v="4.5999999999999996"/>
    <n v="15"/>
    <n v="799"/>
    <n v="0"/>
    <x v="3"/>
    <n v="21"/>
    <s v="Male"/>
  </r>
  <r>
    <s v="SWG1015"/>
    <d v="2024-04-26T00:00:00"/>
    <x v="0"/>
    <s v="Fri"/>
    <s v="McDonald's Gourmet Burger Collection"/>
    <x v="2"/>
    <s v="Burgers, Beverages, Cafe, Desserts"/>
    <x v="0"/>
    <s v="Veg"/>
    <n v="1"/>
    <n v="570"/>
    <n v="570"/>
    <n v="4.3"/>
    <n v="26"/>
    <m/>
    <n v="0"/>
    <x v="2"/>
    <n v="30"/>
    <s v="Female"/>
  </r>
  <r>
    <s v="SWG1016"/>
    <d v="2024-04-09T00:00:00"/>
    <x v="0"/>
    <s v="Tue"/>
    <s v="Grameen Kulfi"/>
    <x v="0"/>
    <s v="Ice Cream, Desserts"/>
    <x v="4"/>
    <s v="Veg"/>
    <n v="3"/>
    <n v="168"/>
    <n v="504"/>
    <n v="4.7"/>
    <n v="16"/>
    <n v="99"/>
    <n v="0"/>
    <x v="2"/>
    <n v="30"/>
    <s v="Male"/>
  </r>
  <r>
    <s v="SWG1017"/>
    <d v="2024-04-13T00:00:00"/>
    <x v="0"/>
    <s v="Sat"/>
    <s v="Surbhi Sweets And Snacks"/>
    <x v="6"/>
    <s v="Sweets, Chaat, Snacks, Desserts, Beverages, Indian"/>
    <x v="4"/>
    <s v="Veg"/>
    <n v="1"/>
    <n v="411"/>
    <n v="411"/>
    <n v="4.2"/>
    <n v="24"/>
    <n v="599"/>
    <n v="0"/>
    <x v="1"/>
    <n v="48"/>
    <s v="Female"/>
  </r>
  <r>
    <s v="SWG1018"/>
    <d v="2024-05-31T00:00:00"/>
    <x v="5"/>
    <s v="Fri"/>
    <s v="Jumboking Indian Burger"/>
    <x v="6"/>
    <s v="American, Mexican, Fast Food, Snacks, Beverages"/>
    <x v="3"/>
    <s v="Veg"/>
    <n v="3"/>
    <n v="501"/>
    <n v="1503"/>
    <n v="4.5"/>
    <n v="25"/>
    <n v="449"/>
    <n v="0"/>
    <x v="1"/>
    <n v="27"/>
    <s v="Male"/>
  </r>
  <r>
    <s v="SWG1019"/>
    <d v="2024-05-10T00:00:00"/>
    <x v="5"/>
    <s v="Fri"/>
    <s v="Theobroma"/>
    <x v="3"/>
    <s v="Bakery, Desserts"/>
    <x v="4"/>
    <s v="Veg"/>
    <n v="2"/>
    <n v="443"/>
    <n v="886"/>
    <n v="4.5"/>
    <n v="23"/>
    <n v="999"/>
    <n v="0"/>
    <x v="2"/>
    <n v="35"/>
    <s v="Female"/>
  </r>
  <r>
    <s v="SWG1020"/>
    <d v="2024-05-29T00:00:00"/>
    <x v="5"/>
    <s v="Wed"/>
    <s v="Amul Real Milk Real Ice Cream"/>
    <x v="3"/>
    <s v="Ice Cream"/>
    <x v="5"/>
    <s v="Veg"/>
    <n v="3"/>
    <n v="197"/>
    <n v="591"/>
    <n v="4.3"/>
    <n v="29"/>
    <n v="749"/>
    <n v="0"/>
    <x v="3"/>
    <n v="34"/>
    <s v="Female"/>
  </r>
  <r>
    <s v="SWG1021"/>
    <d v="2024-02-22T00:00:00"/>
    <x v="7"/>
    <s v="Thu"/>
    <s v="Dabba Garam (Homestyle,Combo, Thali &amp; More)"/>
    <x v="7"/>
    <s v="Home Food, North Indian, Thai"/>
    <x v="5"/>
    <s v="Veg"/>
    <n v="4"/>
    <n v="224"/>
    <n v="896"/>
    <n v="4.5"/>
    <n v="35"/>
    <n v="45"/>
    <n v="15"/>
    <x v="0"/>
    <n v="37"/>
    <s v="Male"/>
  </r>
  <r>
    <s v="SWG1022"/>
    <d v="2024-01-02T00:00:00"/>
    <x v="2"/>
    <s v="Tue"/>
    <s v="KFC"/>
    <x v="0"/>
    <s v="Burgers, Biryani, American, Snacks, Fast Food"/>
    <x v="0"/>
    <s v="Non-Veg"/>
    <n v="2"/>
    <n v="288"/>
    <n v="576"/>
    <n v="4.2"/>
    <n v="30"/>
    <n v="80"/>
    <n v="40"/>
    <x v="3"/>
    <n v="37"/>
    <s v="Female"/>
  </r>
  <r>
    <s v="SWG1023"/>
    <d v="2024-03-28T00:00:00"/>
    <x v="3"/>
    <s v="Thu"/>
    <s v="McDonald's"/>
    <x v="0"/>
    <s v="Burgers, Beverages, Cafe, Desserts"/>
    <x v="0"/>
    <s v="Veg"/>
    <n v="4"/>
    <n v="336"/>
    <n v="1344"/>
    <n v="4.5"/>
    <n v="27"/>
    <n v="75"/>
    <n v="30"/>
    <x v="0"/>
    <n v="30"/>
    <s v="Male"/>
  </r>
  <r>
    <s v="SWG1024"/>
    <d v="2024-08-23T00:00:00"/>
    <x v="6"/>
    <s v="Fri"/>
    <s v="Bakingo-Cakes &amp; Desserts"/>
    <x v="5"/>
    <s v="Bakery, Desserts, Beverages, Snacks"/>
    <x v="4"/>
    <s v="Veg"/>
    <n v="1"/>
    <n v="497"/>
    <n v="497"/>
    <n v="4.4000000000000004"/>
    <n v="33"/>
    <n v="999"/>
    <n v="0"/>
    <x v="3"/>
    <n v="34"/>
    <s v="Male"/>
  </r>
  <r>
    <s v="SWG1025"/>
    <d v="2024-06-06T00:00:00"/>
    <x v="1"/>
    <s v="Thu"/>
    <s v="Domino's Pizza"/>
    <x v="1"/>
    <s v="Pizzas, Italian, Pastas, Desserts"/>
    <x v="1"/>
    <s v="Veg"/>
    <n v="1"/>
    <n v="238"/>
    <n v="238"/>
    <n v="4.3"/>
    <n v="25"/>
    <n v="299"/>
    <n v="0"/>
    <x v="1"/>
    <n v="39"/>
    <s v="Male"/>
  </r>
  <r>
    <s v="SWG1026"/>
    <d v="2024-02-07T00:00:00"/>
    <x v="7"/>
    <s v="Wed"/>
    <s v="NH1 Bowls - Highway To North"/>
    <x v="0"/>
    <s v="North Indian, Punjabi, Home Food"/>
    <x v="5"/>
    <s v="Veg"/>
    <n v="1"/>
    <n v="309"/>
    <n v="309"/>
    <n v="4.7"/>
    <m/>
    <n v="100"/>
    <n v="50"/>
    <x v="2"/>
    <n v="21"/>
    <s v="Female"/>
  </r>
  <r>
    <s v="SWG1027"/>
    <d v="2024-05-09T00:00:00"/>
    <x v="5"/>
    <s v="Thu"/>
    <s v="63 By-Lane"/>
    <x v="2"/>
    <s v="Pizzas, Pastas, Salads"/>
    <x v="1"/>
    <s v="Veg"/>
    <n v="3"/>
    <n v="374"/>
    <n v="1122"/>
    <n v="4.3"/>
    <n v="36"/>
    <n v="699"/>
    <n v="0"/>
    <x v="2"/>
    <n v="18"/>
    <s v="Female"/>
  </r>
  <r>
    <s v="SWG1028"/>
    <d v="2024-07-10T00:00:00"/>
    <x v="4"/>
    <s v="Wed"/>
    <s v="Nishi Home Delites"/>
    <x v="0"/>
    <s v="Indian, Punjabi"/>
    <x v="5"/>
    <s v="Veg"/>
    <n v="2"/>
    <n v="489"/>
    <n v="978"/>
    <n v="4.5999999999999996"/>
    <n v="27"/>
    <m/>
    <n v="0"/>
    <x v="1"/>
    <n v="18"/>
    <s v="Male"/>
  </r>
  <r>
    <s v="SWG1029"/>
    <d v="2024-07-06T00:00:00"/>
    <x v="4"/>
    <s v="Sat"/>
    <s v="Rasobongo"/>
    <x v="0"/>
    <s v="Bengali, Sweets, Desserts, Snacks"/>
    <x v="4"/>
    <s v="Veg"/>
    <n v="1"/>
    <n v="385"/>
    <n v="385"/>
    <n v="4.4000000000000004"/>
    <n v="13"/>
    <n v="40"/>
    <n v="10"/>
    <x v="0"/>
    <n v="32"/>
    <s v="Male"/>
  </r>
  <r>
    <s v="SWG1030"/>
    <d v="2024-01-21T00:00:00"/>
    <x v="2"/>
    <s v="Sun"/>
    <s v="Central Prabhu"/>
    <x v="8"/>
    <s v="Mughlai, North Indian, Chinese, Konkan, Malwani"/>
    <x v="5"/>
    <s v="Veg"/>
    <n v="1"/>
    <n v="268"/>
    <n v="268"/>
    <n v="4.4000000000000004"/>
    <n v="35"/>
    <n v="299"/>
    <n v="0"/>
    <x v="0"/>
    <n v="30"/>
    <s v="Female"/>
  </r>
  <r>
    <s v="SWG1031"/>
    <d v="2024-06-09T00:00:00"/>
    <x v="1"/>
    <s v="Sun"/>
    <s v="Peetuk"/>
    <x v="0"/>
    <s v="Biryani, Bengali"/>
    <x v="2"/>
    <s v="Non-Veg"/>
    <n v="2"/>
    <n v="283"/>
    <n v="566"/>
    <n v="4.2"/>
    <n v="22"/>
    <n v="249"/>
    <n v="0"/>
    <x v="0"/>
    <n v="34"/>
    <s v="Female"/>
  </r>
  <r>
    <s v="SWG1032"/>
    <d v="2024-07-22T00:00:00"/>
    <x v="4"/>
    <s v="Mon"/>
    <s v="The Joy Pizzateria"/>
    <x v="0"/>
    <s v="Pizzas, Beverages"/>
    <x v="1"/>
    <s v="Veg"/>
    <n v="1"/>
    <n v="259"/>
    <n v="259"/>
    <n v="4.0999999999999996"/>
    <n v="24"/>
    <n v="120"/>
    <n v="60"/>
    <x v="1"/>
    <n v="41"/>
    <s v="Female"/>
  </r>
  <r>
    <s v="SWG1033"/>
    <d v="2024-02-27T00:00:00"/>
    <x v="7"/>
    <s v="Tue"/>
    <s v="Theobroma"/>
    <x v="0"/>
    <s v="Bakery, Desserts"/>
    <x v="4"/>
    <s v="Veg"/>
    <n v="4"/>
    <n v="466"/>
    <n v="1864"/>
    <n v="4.5"/>
    <n v="15"/>
    <n v="999"/>
    <n v="0"/>
    <x v="0"/>
    <n v="43"/>
    <s v="Male"/>
  </r>
  <r>
    <s v="SWG1034"/>
    <d v="2024-01-22T00:00:00"/>
    <x v="2"/>
    <s v="Mon"/>
    <s v="Third Wave Coffee"/>
    <x v="2"/>
    <s v="Cafe, Beverages, Desserts"/>
    <x v="4"/>
    <s v="Veg"/>
    <n v="2"/>
    <n v="377"/>
    <n v="754"/>
    <n v="4.3"/>
    <n v="18"/>
    <n v="50"/>
    <n v="20"/>
    <x v="1"/>
    <n v="25"/>
    <s v="Male"/>
  </r>
  <r>
    <s v="SWG1035"/>
    <d v="2024-08-23T00:00:00"/>
    <x v="6"/>
    <s v="Fri"/>
    <s v="Big Bowl"/>
    <x v="0"/>
    <s v="North Indian, Chinese, Tibetan, Desserts"/>
    <x v="4"/>
    <s v="Veg"/>
    <n v="2"/>
    <n v="493"/>
    <n v="986"/>
    <n v="4"/>
    <n v="24"/>
    <n v="169"/>
    <n v="0"/>
    <x v="3"/>
    <n v="35"/>
    <s v="Male"/>
  </r>
  <r>
    <s v="SWG1036"/>
    <d v="2024-03-29T00:00:00"/>
    <x v="3"/>
    <s v="Fri"/>
    <s v="Shree mithai"/>
    <x v="7"/>
    <s v="Indian"/>
    <x v="5"/>
    <s v="Veg"/>
    <n v="2"/>
    <n v="388"/>
    <n v="776"/>
    <n v="4.7"/>
    <n v="24"/>
    <m/>
    <n v="0"/>
    <x v="3"/>
    <n v="44"/>
    <s v="Male"/>
  </r>
  <r>
    <s v="SWG1037"/>
    <d v="2024-02-18T00:00:00"/>
    <x v="7"/>
    <s v="Sun"/>
    <s v="Breadkraft"/>
    <x v="9"/>
    <s v="Pizzas"/>
    <x v="1"/>
    <s v="Veg"/>
    <n v="4"/>
    <n v="300"/>
    <n v="1200"/>
    <n v="4.3"/>
    <n v="21"/>
    <n v="75"/>
    <n v="30"/>
    <x v="1"/>
    <n v="30"/>
    <s v="Male"/>
  </r>
  <r>
    <s v="SWG1038"/>
    <d v="2024-08-06T00:00:00"/>
    <x v="6"/>
    <s v="Tue"/>
    <s v="The Bengal Club"/>
    <x v="2"/>
    <s v="Bengali"/>
    <x v="5"/>
    <s v="Veg"/>
    <n v="2"/>
    <n v="279"/>
    <n v="558"/>
    <n v="4.0999999999999996"/>
    <n v="18"/>
    <n v="249"/>
    <n v="0"/>
    <x v="2"/>
    <n v="40"/>
    <s v="Female"/>
  </r>
  <r>
    <s v="SWG1039"/>
    <d v="2024-02-28T00:00:00"/>
    <x v="7"/>
    <s v="Wed"/>
    <s v="Shawarmaji"/>
    <x v="10"/>
    <s v="Lebanese"/>
    <x v="5"/>
    <s v="Veg"/>
    <n v="4"/>
    <n v="470"/>
    <n v="1880"/>
    <n v="4.4000000000000004"/>
    <n v="16"/>
    <m/>
    <n v="0"/>
    <x v="3"/>
    <n v="31"/>
    <s v="Male"/>
  </r>
  <r>
    <s v="SWG1040"/>
    <d v="2024-06-18T00:00:00"/>
    <x v="1"/>
    <s v="Tue"/>
    <s v="Charcoal Eats - Biryani &amp; Beyond"/>
    <x v="2"/>
    <s v="Biryani, Kebabs, Hyderabadi, North Indian"/>
    <x v="2"/>
    <s v="Non-Veg"/>
    <n v="2"/>
    <n v="519"/>
    <n v="1038"/>
    <n v="4.3"/>
    <n v="24"/>
    <n v="100"/>
    <n v="50"/>
    <x v="0"/>
    <n v="25"/>
    <s v="Female"/>
  </r>
  <r>
    <s v="SWG1041"/>
    <d v="2024-08-07T00:00:00"/>
    <x v="6"/>
    <s v="Wed"/>
    <s v="Good Flippin' Burgers"/>
    <x v="0"/>
    <s v="American, Fast Food, Burgers"/>
    <x v="0"/>
    <s v="Veg"/>
    <n v="3"/>
    <n v="407"/>
    <n v="1221"/>
    <n v="4.5999999999999996"/>
    <n v="18"/>
    <n v="50"/>
    <n v="20"/>
    <x v="1"/>
    <n v="25"/>
    <s v="Female"/>
  </r>
  <r>
    <s v="SWG1042"/>
    <d v="2024-07-06T00:00:00"/>
    <x v="4"/>
    <s v="Sat"/>
    <s v="Achija"/>
    <x v="0"/>
    <s v="North Indian, South Indian, Chinese, Beverages, Indian, Burgers, Chaat"/>
    <x v="0"/>
    <s v="Veg"/>
    <n v="1"/>
    <n v="407"/>
    <n v="407"/>
    <n v="4.2"/>
    <n v="22"/>
    <m/>
    <n v="0"/>
    <x v="0"/>
    <n v="44"/>
    <s v="Male"/>
  </r>
  <r>
    <s v="SWG1043"/>
    <d v="2024-07-26T00:00:00"/>
    <x v="4"/>
    <s v="Fri"/>
    <s v="Granville Greens"/>
    <x v="7"/>
    <s v="North Indian, South Indian, Chinese, Beverages, Italian, Mexican, Lebanese, Thai"/>
    <x v="3"/>
    <s v="Veg"/>
    <n v="3"/>
    <n v="499"/>
    <n v="1497"/>
    <n v="4.4000000000000004"/>
    <n v="36"/>
    <n v="500"/>
    <n v="10"/>
    <x v="0"/>
    <n v="43"/>
    <s v="Female"/>
  </r>
  <r>
    <s v="SWG1044"/>
    <d v="2024-01-15T00:00:00"/>
    <x v="2"/>
    <s v="Mon"/>
    <s v="New kathiyawadi dhaba"/>
    <x v="7"/>
    <s v="Indian, South Indian, Punjabi, Rajasthani"/>
    <x v="5"/>
    <s v="Veg"/>
    <n v="1"/>
    <n v="345"/>
    <n v="345"/>
    <n v="4.3"/>
    <n v="34"/>
    <n v="700"/>
    <n v="10"/>
    <x v="2"/>
    <n v="32"/>
    <s v="Male"/>
  </r>
  <r>
    <s v="SWG1045"/>
    <d v="2024-07-08T00:00:00"/>
    <x v="4"/>
    <s v="Mon"/>
    <s v="Granville IDC Kitchen (Borivali)"/>
    <x v="3"/>
    <s v="South Indian"/>
    <x v="5"/>
    <s v="Veg"/>
    <n v="4"/>
    <n v="130"/>
    <n v="520"/>
    <n v="4.5"/>
    <n v="34"/>
    <m/>
    <n v="0"/>
    <x v="0"/>
    <n v="44"/>
    <s v="Female"/>
  </r>
  <r>
    <s v="SWG1046"/>
    <d v="2024-07-08T00:00:00"/>
    <x v="4"/>
    <s v="Mon"/>
    <s v="Nirvana"/>
    <x v="2"/>
    <s v="North Indian, Jain, Kebabs, Biryani, Chinese"/>
    <x v="2"/>
    <s v="Non-Veg"/>
    <n v="3"/>
    <n v="129"/>
    <n v="387"/>
    <n v="4.4000000000000004"/>
    <n v="32"/>
    <m/>
    <n v="0"/>
    <x v="2"/>
    <n v="30"/>
    <s v="Male"/>
  </r>
  <r>
    <s v="SWG1047"/>
    <d v="2024-06-23T00:00:00"/>
    <x v="1"/>
    <s v="Sun"/>
    <s v="Banglore Iyanger Bakery"/>
    <x v="2"/>
    <s v="Bakery"/>
    <x v="5"/>
    <s v="Veg"/>
    <n v="2"/>
    <n v="390"/>
    <n v="780"/>
    <n v="4.5"/>
    <n v="13"/>
    <n v="40"/>
    <n v="10"/>
    <x v="3"/>
    <n v="24"/>
    <s v="Male"/>
  </r>
  <r>
    <s v="SWG1048"/>
    <d v="2024-07-08T00:00:00"/>
    <x v="4"/>
    <s v="Mon"/>
    <s v="Sweet County Cake Shop"/>
    <x v="0"/>
    <s v="Desserts, Bakery, Snacks"/>
    <x v="4"/>
    <s v="Veg"/>
    <n v="1"/>
    <n v="392"/>
    <n v="392"/>
    <n v="4.5999999999999996"/>
    <n v="25"/>
    <m/>
    <n v="0"/>
    <x v="1"/>
    <n v="22"/>
    <s v="Female"/>
  </r>
  <r>
    <s v="SWG1049"/>
    <d v="2024-02-20T00:00:00"/>
    <x v="7"/>
    <s v="Tue"/>
    <s v="The Netrik's Joint"/>
    <x v="11"/>
    <s v="Fast Food, Pizzas, Snacks, Chinese, Beverages"/>
    <x v="1"/>
    <s v="Veg"/>
    <n v="1"/>
    <n v="543"/>
    <n v="543"/>
    <n v="4.0999999999999996"/>
    <n v="18"/>
    <n v="75"/>
    <n v="30"/>
    <x v="0"/>
    <n v="34"/>
    <s v="Male"/>
  </r>
  <r>
    <s v="SWG1050"/>
    <d v="2024-04-17T00:00:00"/>
    <x v="0"/>
    <s v="Wed"/>
    <s v="Sandwizzaa"/>
    <x v="0"/>
    <s v="Snacks, Fast Food, Beverages, Jain"/>
    <x v="3"/>
    <s v="Veg"/>
    <n v="3"/>
    <n v="521"/>
    <n v="1563"/>
    <n v="4.5999999999999996"/>
    <n v="22"/>
    <n v="120"/>
    <n v="60"/>
    <x v="1"/>
    <n v="45"/>
    <s v="Female"/>
  </r>
  <r>
    <s v="SWG1051"/>
    <d v="2024-02-24T00:00:00"/>
    <x v="7"/>
    <s v="Sat"/>
    <s v="Gaurav Sweets And Namkeen"/>
    <x v="2"/>
    <s v="Sweets, Snacks, Chaat"/>
    <x v="5"/>
    <s v="Veg"/>
    <n v="4"/>
    <n v="302"/>
    <n v="1208"/>
    <n v="4.3"/>
    <n v="20"/>
    <m/>
    <n v="0"/>
    <x v="0"/>
    <n v="42"/>
    <s v="Male"/>
  </r>
  <r>
    <s v="SWG1052"/>
    <d v="2024-03-04T00:00:00"/>
    <x v="3"/>
    <s v="Mon"/>
    <s v="Raju's Kitchen"/>
    <x v="12"/>
    <s v="Chinese, Indian"/>
    <x v="5"/>
    <s v="Veg"/>
    <n v="3"/>
    <n v="576"/>
    <n v="1728"/>
    <n v="4.2"/>
    <n v="32"/>
    <n v="40"/>
    <n v="10"/>
    <x v="1"/>
    <n v="46"/>
    <s v="Male"/>
  </r>
  <r>
    <s v="SWG1053"/>
    <d v="2024-05-10T00:00:00"/>
    <x v="5"/>
    <s v="Fri"/>
    <s v="Bayleaf"/>
    <x v="0"/>
    <s v="Indian, Snacks"/>
    <x v="5"/>
    <s v="Veg"/>
    <n v="4"/>
    <n v="272"/>
    <n v="1088"/>
    <n v="4.3"/>
    <n v="32"/>
    <n v="1500"/>
    <n v="10"/>
    <x v="0"/>
    <n v="33"/>
    <s v="Male"/>
  </r>
  <r>
    <s v="SWG1054"/>
    <d v="2024-08-16T00:00:00"/>
    <x v="6"/>
    <s v="Fri"/>
    <s v="South Tiffin House"/>
    <x v="2"/>
    <s v="South Indian, Fast Food, Snacks"/>
    <x v="5"/>
    <s v="Veg"/>
    <n v="4"/>
    <n v="434"/>
    <n v="1736"/>
    <n v="4.4000000000000004"/>
    <n v="28"/>
    <n v="75"/>
    <n v="30"/>
    <x v="0"/>
    <n v="40"/>
    <s v="Female"/>
  </r>
  <r>
    <s v="SWG1055"/>
    <d v="2024-02-20T00:00:00"/>
    <x v="7"/>
    <s v="Tue"/>
    <s v="Brijwasi Sweets"/>
    <x v="0"/>
    <s v="Sweets, Snacks"/>
    <x v="5"/>
    <s v="Veg"/>
    <n v="1"/>
    <n v="453"/>
    <n v="453"/>
    <n v="4.3"/>
    <n v="14"/>
    <n v="100"/>
    <n v="10"/>
    <x v="0"/>
    <n v="19"/>
    <s v="Female"/>
  </r>
  <r>
    <s v="SWG1056"/>
    <d v="2024-05-14T00:00:00"/>
    <x v="5"/>
    <s v="Tue"/>
    <s v="1441 Pizzeria"/>
    <x v="0"/>
    <s v="Italian, Pizzas, Pastas"/>
    <x v="1"/>
    <s v="Veg"/>
    <n v="3"/>
    <n v="243"/>
    <n v="729"/>
    <n v="3.8"/>
    <n v="32"/>
    <n v="120"/>
    <n v="60"/>
    <x v="0"/>
    <n v="39"/>
    <s v="Male"/>
  </r>
  <r>
    <s v="SWG1057"/>
    <d v="2024-01-21T00:00:00"/>
    <x v="2"/>
    <s v="Sun"/>
    <s v="Dominic Pizza"/>
    <x v="13"/>
    <s v="Fast Food, Pizzas, Chinese, Italian, Pastas, Desserts, Burgers, Mexican, American, Street Food"/>
    <x v="1"/>
    <s v="Veg"/>
    <n v="3"/>
    <n v="592"/>
    <n v="1776"/>
    <m/>
    <m/>
    <n v="100"/>
    <n v="50"/>
    <x v="0"/>
    <n v="35"/>
    <s v="Female"/>
  </r>
  <r>
    <s v="SWG1058"/>
    <d v="2024-03-13T00:00:00"/>
    <x v="3"/>
    <s v="Wed"/>
    <s v="abCoffee"/>
    <x v="2"/>
    <s v="Cafe, Beverages, Bakery, Desserts"/>
    <x v="4"/>
    <s v="Veg"/>
    <n v="4"/>
    <n v="233"/>
    <n v="932"/>
    <n v="4.7"/>
    <n v="15"/>
    <n v="50"/>
    <n v="20"/>
    <x v="0"/>
    <n v="48"/>
    <s v="Male"/>
  </r>
  <r>
    <s v="SWG1059"/>
    <d v="2024-06-15T00:00:00"/>
    <x v="1"/>
    <s v="Sat"/>
    <s v="K Bhagat Tarachand"/>
    <x v="2"/>
    <s v="North Indian"/>
    <x v="5"/>
    <s v="Veg"/>
    <n v="3"/>
    <n v="397"/>
    <n v="1191"/>
    <n v="3.8"/>
    <n v="25"/>
    <m/>
    <n v="0"/>
    <x v="0"/>
    <n v="34"/>
    <s v="Female"/>
  </r>
  <r>
    <s v="SWG1060"/>
    <d v="2024-01-18T00:00:00"/>
    <x v="2"/>
    <s v="Thu"/>
    <s v="Saffron Restaurant"/>
    <x v="0"/>
    <s v="North Indian, Chinese, Beverages, Tandoor, Kebabs"/>
    <x v="3"/>
    <s v="Non-Veg"/>
    <n v="2"/>
    <n v="533"/>
    <n v="1066"/>
    <n v="4.0999999999999996"/>
    <n v="31"/>
    <m/>
    <n v="0"/>
    <x v="0"/>
    <n v="47"/>
    <s v="Female"/>
  </r>
  <r>
    <s v="SWG1061"/>
    <d v="2024-05-11T00:00:00"/>
    <x v="5"/>
    <s v="Sat"/>
    <s v="Flavours Of China"/>
    <x v="8"/>
    <s v="Chinese"/>
    <x v="5"/>
    <s v="Veg"/>
    <n v="2"/>
    <n v="587"/>
    <n v="1174"/>
    <n v="4.4000000000000004"/>
    <n v="33"/>
    <m/>
    <n v="0"/>
    <x v="0"/>
    <n v="24"/>
    <s v="Male"/>
  </r>
  <r>
    <s v="SWG1062"/>
    <d v="2024-03-29T00:00:00"/>
    <x v="3"/>
    <s v="Fri"/>
    <s v="The Veg Treat"/>
    <x v="3"/>
    <s v="North Indian, South Indian, Chinese"/>
    <x v="5"/>
    <s v="Veg"/>
    <n v="3"/>
    <n v="332"/>
    <n v="996"/>
    <n v="4.4000000000000004"/>
    <n v="33"/>
    <m/>
    <n v="0"/>
    <x v="1"/>
    <n v="30"/>
    <s v="Male"/>
  </r>
  <r>
    <s v="SWG1063"/>
    <d v="2024-02-29T00:00:00"/>
    <x v="7"/>
    <s v="Thu"/>
    <s v="The House Of Pasta"/>
    <x v="7"/>
    <s v="Pastas, Snacks"/>
    <x v="5"/>
    <s v="Veg"/>
    <n v="3"/>
    <n v="291"/>
    <n v="873"/>
    <n v="4.4000000000000004"/>
    <n v="34"/>
    <n v="999"/>
    <n v="0"/>
    <x v="2"/>
    <n v="49"/>
    <s v="Male"/>
  </r>
  <r>
    <s v="SWG1064"/>
    <d v="2024-01-14T00:00:00"/>
    <x v="2"/>
    <s v="Sun"/>
    <s v="Hangout Cakes &amp; More"/>
    <x v="3"/>
    <s v="Desserts, Bakery"/>
    <x v="4"/>
    <s v="Veg"/>
    <n v="4"/>
    <n v="407"/>
    <n v="1628"/>
    <n v="4.4000000000000004"/>
    <n v="24"/>
    <n v="150"/>
    <n v="60"/>
    <x v="0"/>
    <n v="35"/>
    <s v="Male"/>
  </r>
  <r>
    <s v="SWG1065"/>
    <d v="2024-01-09T00:00:00"/>
    <x v="2"/>
    <s v="Tue"/>
    <s v="Radhe Dhokla"/>
    <x v="5"/>
    <s v="North Indian, Gujarati, Punjabi, Fast Food, Chinese, Snacks"/>
    <x v="5"/>
    <s v="Veg"/>
    <n v="2"/>
    <n v="554"/>
    <n v="1108"/>
    <n v="4.3"/>
    <n v="33"/>
    <n v="449"/>
    <n v="0"/>
    <x v="2"/>
    <n v="46"/>
    <s v="Male"/>
  </r>
  <r>
    <s v="SWG1066"/>
    <d v="2024-03-30T00:00:00"/>
    <x v="3"/>
    <s v="Sat"/>
    <s v="Love &amp; Cheesecake "/>
    <x v="0"/>
    <s v="Desserts"/>
    <x v="4"/>
    <s v="Veg"/>
    <n v="2"/>
    <n v="293"/>
    <n v="586"/>
    <n v="4.5"/>
    <n v="14"/>
    <m/>
    <n v="0"/>
    <x v="0"/>
    <n v="31"/>
    <s v="Female"/>
  </r>
  <r>
    <s v="SWG1067"/>
    <d v="2024-02-22T00:00:00"/>
    <x v="7"/>
    <s v="Thu"/>
    <s v="Northern Tadka"/>
    <x v="0"/>
    <s v="North Indian, Mughlai"/>
    <x v="5"/>
    <s v="Veg"/>
    <n v="1"/>
    <n v="232"/>
    <n v="232"/>
    <n v="4.5"/>
    <n v="31"/>
    <n v="40"/>
    <n v="10"/>
    <x v="0"/>
    <n v="47"/>
    <s v="Female"/>
  </r>
  <r>
    <s v="SWG1068"/>
    <d v="2024-05-09T00:00:00"/>
    <x v="5"/>
    <s v="Thu"/>
    <s v="The Ice Cream Bakery - TIB"/>
    <x v="0"/>
    <s v="Ice Cream, Bakery, Desserts, Sweets, Beverages"/>
    <x v="4"/>
    <s v="Veg"/>
    <n v="4"/>
    <n v="495"/>
    <n v="1980"/>
    <n v="4.5"/>
    <n v="25"/>
    <n v="50"/>
    <n v="20"/>
    <x v="1"/>
    <n v="35"/>
    <s v="Male"/>
  </r>
  <r>
    <s v="SWG1069"/>
    <d v="2024-03-24T00:00:00"/>
    <x v="3"/>
    <s v="Sun"/>
    <s v="Chai Sutta Bar"/>
    <x v="0"/>
    <s v="Indian, Snacks"/>
    <x v="5"/>
    <s v="Veg"/>
    <n v="1"/>
    <n v="524"/>
    <n v="524"/>
    <n v="4.4000000000000004"/>
    <n v="26"/>
    <n v="40"/>
    <n v="10"/>
    <x v="3"/>
    <n v="30"/>
    <s v="Male"/>
  </r>
  <r>
    <s v="SWG1070"/>
    <d v="2024-04-01T00:00:00"/>
    <x v="0"/>
    <s v="Mon"/>
    <s v="Sweet Bengal"/>
    <x v="0"/>
    <s v="Sweets, Indian, Snacks, Desserts"/>
    <x v="4"/>
    <s v="Veg"/>
    <n v="2"/>
    <n v="241"/>
    <n v="482"/>
    <n v="4.5999999999999996"/>
    <n v="13"/>
    <n v="50"/>
    <n v="20"/>
    <x v="3"/>
    <n v="28"/>
    <s v="Male"/>
  </r>
  <r>
    <s v="SWG1071"/>
    <d v="2024-04-20T00:00:00"/>
    <x v="0"/>
    <s v="Sat"/>
    <s v="Merwans Cake Stop"/>
    <x v="2"/>
    <s v="Indian, Desserts"/>
    <x v="4"/>
    <s v="Veg"/>
    <n v="4"/>
    <n v="151"/>
    <n v="604"/>
    <n v="4.7"/>
    <n v="13"/>
    <m/>
    <n v="0"/>
    <x v="1"/>
    <n v="38"/>
    <s v="Female"/>
  </r>
  <r>
    <s v="SWG1072"/>
    <d v="2024-07-06T00:00:00"/>
    <x v="4"/>
    <s v="Sat"/>
    <s v="Nothing But Chicken"/>
    <x v="0"/>
    <s v="Salads, Biryani, Kebabs, Fast Food, Healthy Food"/>
    <x v="2"/>
    <s v="Non-Veg"/>
    <n v="3"/>
    <n v="341"/>
    <n v="1023"/>
    <n v="4.5"/>
    <n v="22"/>
    <n v="50"/>
    <n v="20"/>
    <x v="2"/>
    <n v="47"/>
    <s v="Male"/>
  </r>
  <r>
    <s v="SWG1073"/>
    <d v="2024-07-17T00:00:00"/>
    <x v="4"/>
    <s v="Wed"/>
    <s v="MOJO Pizza - 2X Toppings"/>
    <x v="0"/>
    <s v="Pizzas, Italian, Fast Food, Desserts"/>
    <x v="1"/>
    <s v="Veg"/>
    <n v="4"/>
    <n v="238"/>
    <n v="952"/>
    <n v="4.3"/>
    <m/>
    <n v="100"/>
    <n v="50"/>
    <x v="3"/>
    <n v="38"/>
    <s v="Male"/>
  </r>
  <r>
    <s v="SWG1074"/>
    <d v="2024-06-20T00:00:00"/>
    <x v="1"/>
    <s v="Thu"/>
    <s v="WeFit-Bowls, Salads &amp; Sandwiches"/>
    <x v="14"/>
    <s v="Healthy Food, Salads, Keto, Snacks"/>
    <x v="5"/>
    <s v="Veg"/>
    <n v="3"/>
    <n v="158"/>
    <n v="474"/>
    <n v="4.5"/>
    <m/>
    <n v="100"/>
    <n v="50"/>
    <x v="1"/>
    <n v="33"/>
    <s v="Female"/>
  </r>
  <r>
    <s v="SWG1075"/>
    <d v="2024-01-08T00:00:00"/>
    <x v="2"/>
    <s v="Mon"/>
    <s v="Blue Tokai Coffee Roasters"/>
    <x v="11"/>
    <s v="Healthy Food, Pastas, American, Cafe, Beverages, Bakery"/>
    <x v="3"/>
    <s v="Veg"/>
    <n v="3"/>
    <n v="387"/>
    <n v="1161"/>
    <n v="4.5"/>
    <n v="19"/>
    <n v="50"/>
    <n v="20"/>
    <x v="1"/>
    <n v="40"/>
    <s v="Female"/>
  </r>
  <r>
    <s v="SWG1076"/>
    <d v="2024-06-23T00:00:00"/>
    <x v="1"/>
    <s v="Sun"/>
    <s v="Daily Kitchen - Homestyle Meals"/>
    <x v="15"/>
    <s v="Home Food, Indian, North Indian, Thalis"/>
    <x v="5"/>
    <s v="Veg"/>
    <n v="4"/>
    <n v="352"/>
    <n v="1408"/>
    <n v="4.3"/>
    <m/>
    <n v="100"/>
    <n v="50"/>
    <x v="3"/>
    <n v="34"/>
    <s v="Female"/>
  </r>
  <r>
    <s v="SWG1077"/>
    <d v="2024-02-04T00:00:00"/>
    <x v="7"/>
    <s v="Sun"/>
    <s v="ZAZA Mughal Biryani"/>
    <x v="16"/>
    <s v="Biryani, North Indian, Awadhi"/>
    <x v="2"/>
    <s v="Non-Veg"/>
    <n v="3"/>
    <n v="550"/>
    <n v="1650"/>
    <n v="4.2"/>
    <m/>
    <n v="100"/>
    <n v="50"/>
    <x v="2"/>
    <n v="25"/>
    <s v="Female"/>
  </r>
  <r>
    <s v="SWG1078"/>
    <d v="2024-07-24T00:00:00"/>
    <x v="4"/>
    <s v="Wed"/>
    <s v="Dessertino"/>
    <x v="7"/>
    <s v="Desserts"/>
    <x v="4"/>
    <s v="Veg"/>
    <n v="1"/>
    <n v="137"/>
    <n v="137"/>
    <n v="4.0999999999999996"/>
    <n v="29"/>
    <m/>
    <n v="0"/>
    <x v="1"/>
    <n v="36"/>
    <s v="Male"/>
  </r>
  <r>
    <s v="SWG1079"/>
    <d v="2024-03-21T00:00:00"/>
    <x v="3"/>
    <s v="Thu"/>
    <s v="Cafe Delight"/>
    <x v="8"/>
    <s v="Indian, Tandoor"/>
    <x v="5"/>
    <s v="Veg"/>
    <n v="2"/>
    <n v="268"/>
    <n v="536"/>
    <n v="4.4000000000000004"/>
    <n v="29"/>
    <m/>
    <n v="0"/>
    <x v="0"/>
    <n v="37"/>
    <s v="Female"/>
  </r>
  <r>
    <s v="SWG1080"/>
    <d v="2024-06-12T00:00:00"/>
    <x v="1"/>
    <s v="Wed"/>
    <s v="Atta Girl"/>
    <x v="4"/>
    <s v="South Indian"/>
    <x v="5"/>
    <s v="Veg"/>
    <n v="3"/>
    <n v="516"/>
    <n v="1548"/>
    <n v="4.7"/>
    <n v="27"/>
    <m/>
    <n v="0"/>
    <x v="2"/>
    <n v="32"/>
    <s v="Female"/>
  </r>
  <r>
    <s v="SWG1081"/>
    <d v="2024-02-19T00:00:00"/>
    <x v="7"/>
    <s v="Mon"/>
    <s v="La Pino'z Pizza"/>
    <x v="17"/>
    <s v="Pizzas, Pastas, Italian, Desserts, Beverages"/>
    <x v="1"/>
    <s v="Veg"/>
    <n v="1"/>
    <n v="268"/>
    <n v="268"/>
    <n v="4.2"/>
    <n v="25"/>
    <n v="100"/>
    <n v="50"/>
    <x v="2"/>
    <n v="26"/>
    <s v="Male"/>
  </r>
  <r>
    <s v="SWG1082"/>
    <d v="2024-04-13T00:00:00"/>
    <x v="0"/>
    <s v="Sat"/>
    <s v="Murlidhar Sweets And Farsan"/>
    <x v="3"/>
    <s v="Sweets, Street Food, Bengali, Gujarati, Desserts, Fast Food"/>
    <x v="4"/>
    <s v="Veg"/>
    <n v="3"/>
    <n v="245"/>
    <n v="735"/>
    <n v="4.7"/>
    <n v="30"/>
    <m/>
    <n v="0"/>
    <x v="3"/>
    <n v="37"/>
    <s v="Male"/>
  </r>
  <r>
    <s v="SWG1083"/>
    <d v="2024-05-11T00:00:00"/>
    <x v="5"/>
    <s v="Sat"/>
    <s v="Starbucks Coffee"/>
    <x v="2"/>
    <s v="Beverages, Cafe, Snacks, Desserts, Bakery, Ice Cream"/>
    <x v="4"/>
    <s v="Veg"/>
    <n v="2"/>
    <n v="511"/>
    <n v="1022"/>
    <n v="4.4000000000000004"/>
    <n v="17"/>
    <n v="900"/>
    <n v="10"/>
    <x v="3"/>
    <n v="27"/>
    <s v="Male"/>
  </r>
  <r>
    <s v="SWG1084"/>
    <d v="2024-01-02T00:00:00"/>
    <x v="2"/>
    <s v="Tue"/>
    <s v="NIC Ice Creams"/>
    <x v="0"/>
    <s v="Ice Cream, Desserts"/>
    <x v="4"/>
    <s v="Veg"/>
    <n v="1"/>
    <n v="421"/>
    <n v="421"/>
    <n v="4.7"/>
    <n v="17"/>
    <n v="149"/>
    <n v="0"/>
    <x v="0"/>
    <n v="29"/>
    <s v="Female"/>
  </r>
  <r>
    <s v="SWG1085"/>
    <d v="2024-05-13T00:00:00"/>
    <x v="5"/>
    <s v="Mon"/>
    <s v="Borivali Biryani Centre (BBC)"/>
    <x v="3"/>
    <s v="Biryani, Chinese, North Indian, Punjabi, Kebabs, Afghani"/>
    <x v="2"/>
    <s v="Non-Veg"/>
    <n v="2"/>
    <n v="479"/>
    <n v="958"/>
    <n v="4.5"/>
    <n v="26"/>
    <m/>
    <n v="0"/>
    <x v="1"/>
    <n v="48"/>
    <s v="Male"/>
  </r>
  <r>
    <s v="SWG1086"/>
    <d v="2024-02-23T00:00:00"/>
    <x v="7"/>
    <s v="Fri"/>
    <s v="Meemee's"/>
    <x v="7"/>
    <s v="Ice Cream, Desserts"/>
    <x v="4"/>
    <s v="Veg"/>
    <n v="2"/>
    <n v="357"/>
    <n v="714"/>
    <n v="4.5"/>
    <n v="26"/>
    <n v="100"/>
    <n v="50"/>
    <x v="3"/>
    <n v="38"/>
    <s v="Female"/>
  </r>
  <r>
    <s v="SWG1087"/>
    <d v="2024-04-15T00:00:00"/>
    <x v="0"/>
    <s v="Mon"/>
    <s v="Uncle's Chinese"/>
    <x v="16"/>
    <s v="Chinese, Fast Food, Biryani, North Indian, Beverages"/>
    <x v="2"/>
    <s v="Non-Veg"/>
    <n v="1"/>
    <n v="254"/>
    <n v="254"/>
    <n v="3.6"/>
    <n v="36"/>
    <m/>
    <n v="0"/>
    <x v="3"/>
    <n v="40"/>
    <s v="Female"/>
  </r>
  <r>
    <s v="SWG1088"/>
    <d v="2024-01-04T00:00:00"/>
    <x v="2"/>
    <s v="Thu"/>
    <s v="Bangalore Iyengar Bakery"/>
    <x v="7"/>
    <s v="Bakery, Desserts"/>
    <x v="4"/>
    <s v="Veg"/>
    <n v="1"/>
    <n v="270"/>
    <n v="270"/>
    <n v="4.3"/>
    <n v="29"/>
    <m/>
    <n v="0"/>
    <x v="2"/>
    <n v="49"/>
    <s v="Female"/>
  </r>
  <r>
    <s v="SWG1089"/>
    <d v="2024-02-23T00:00:00"/>
    <x v="7"/>
    <s v="Fri"/>
    <s v="Kunafa World"/>
    <x v="11"/>
    <s v="Middle Eastern, Desserts"/>
    <x v="4"/>
    <s v="Veg"/>
    <n v="1"/>
    <n v="355"/>
    <n v="355"/>
    <n v="4.2"/>
    <n v="36"/>
    <m/>
    <n v="0"/>
    <x v="3"/>
    <n v="37"/>
    <s v="Male"/>
  </r>
  <r>
    <s v="SWG1090"/>
    <d v="2024-08-08T00:00:00"/>
    <x v="6"/>
    <s v="Thu"/>
    <s v="Poetry By Love &amp; Cheesecake"/>
    <x v="5"/>
    <s v="Desserts"/>
    <x v="4"/>
    <s v="Veg"/>
    <n v="4"/>
    <n v="343"/>
    <n v="1372"/>
    <n v="4.4000000000000004"/>
    <n v="34"/>
    <m/>
    <n v="0"/>
    <x v="3"/>
    <n v="47"/>
    <s v="Female"/>
  </r>
  <r>
    <s v="SWG1091"/>
    <d v="2024-07-09T00:00:00"/>
    <x v="4"/>
    <s v="Tue"/>
    <s v="The Cake Factory"/>
    <x v="0"/>
    <s v="Desserts"/>
    <x v="4"/>
    <s v="Veg"/>
    <n v="1"/>
    <n v="322"/>
    <n v="322"/>
    <n v="4.2"/>
    <n v="22"/>
    <n v="120"/>
    <n v="60"/>
    <x v="3"/>
    <n v="18"/>
    <s v="Male"/>
  </r>
  <r>
    <s v="SWG1092"/>
    <d v="2024-05-25T00:00:00"/>
    <x v="5"/>
    <s v="Sat"/>
    <s v="Kusum Rolls"/>
    <x v="0"/>
    <s v="Indian, Fast Food, Lebanese, Arabian, Kebabs"/>
    <x v="5"/>
    <s v="Non-Veg"/>
    <n v="1"/>
    <n v="375"/>
    <n v="375"/>
    <n v="3.5"/>
    <n v="32"/>
    <m/>
    <n v="0"/>
    <x v="3"/>
    <n v="42"/>
    <s v="Male"/>
  </r>
  <r>
    <s v="SWG1093"/>
    <d v="2024-08-05T00:00:00"/>
    <x v="6"/>
    <s v="Mon"/>
    <s v="Patanwala"/>
    <x v="2"/>
    <s v="Sweets, Desserts"/>
    <x v="4"/>
    <s v="Veg"/>
    <n v="1"/>
    <n v="205"/>
    <n v="205"/>
    <n v="4.8"/>
    <n v="15"/>
    <m/>
    <n v="0"/>
    <x v="2"/>
    <n v="37"/>
    <s v="Male"/>
  </r>
  <r>
    <s v="SWG1094"/>
    <d v="2024-02-13T00:00:00"/>
    <x v="7"/>
    <s v="Tue"/>
    <s v="Monginis"/>
    <x v="0"/>
    <s v="Bakery, Desserts, Snacks"/>
    <x v="4"/>
    <s v="Veg"/>
    <n v="1"/>
    <n v="269"/>
    <n v="269"/>
    <n v="4.2"/>
    <n v="14"/>
    <n v="50"/>
    <n v="20"/>
    <x v="0"/>
    <n v="26"/>
    <s v="Female"/>
  </r>
  <r>
    <s v="SWG1095"/>
    <d v="2024-06-10T00:00:00"/>
    <x v="1"/>
    <s v="Mon"/>
    <s v="GetAWay-Ice Creams &amp; Desserts"/>
    <x v="16"/>
    <s v="Ice Cream, Desserts, Healthy Food, Sweets"/>
    <x v="4"/>
    <s v="Veg"/>
    <n v="3"/>
    <n v="354"/>
    <n v="1062"/>
    <n v="4.7"/>
    <n v="24"/>
    <n v="599"/>
    <n v="0"/>
    <x v="0"/>
    <n v="39"/>
    <s v="Female"/>
  </r>
  <r>
    <s v="SWG1096"/>
    <d v="2024-07-20T00:00:00"/>
    <x v="4"/>
    <s v="Sat"/>
    <s v="Mealful Rolls - India's Biggest Rolls"/>
    <x v="0"/>
    <s v="Fast Food, Snacks, North Indian, Desserts"/>
    <x v="4"/>
    <s v="Veg"/>
    <n v="4"/>
    <n v="464"/>
    <n v="1856"/>
    <n v="4.4000000000000004"/>
    <m/>
    <n v="100"/>
    <n v="50"/>
    <x v="1"/>
    <n v="32"/>
    <s v="Female"/>
  </r>
  <r>
    <s v="SWG1097"/>
    <d v="2024-07-08T00:00:00"/>
    <x v="4"/>
    <s v="Mon"/>
    <s v="The Momo Co."/>
    <x v="0"/>
    <s v="Chinese, Asian, Tibetan, Desserts"/>
    <x v="4"/>
    <s v="Veg"/>
    <n v="2"/>
    <n v="141"/>
    <n v="282"/>
    <n v="4.0999999999999996"/>
    <n v="20"/>
    <n v="100"/>
    <n v="50"/>
    <x v="3"/>
    <n v="18"/>
    <s v="Male"/>
  </r>
  <r>
    <s v="SWG1098"/>
    <d v="2024-08-15T00:00:00"/>
    <x v="6"/>
    <s v="Thu"/>
    <s v="Faasos' Signature Wraps &amp; Rolls"/>
    <x v="0"/>
    <s v="Fast Food, Snacks, North Indian, Desserts, Beverages"/>
    <x v="4"/>
    <s v="Veg"/>
    <n v="1"/>
    <n v="467"/>
    <n v="467"/>
    <n v="4"/>
    <n v="25"/>
    <n v="100"/>
    <n v="50"/>
    <x v="2"/>
    <n v="29"/>
    <s v="Female"/>
  </r>
  <r>
    <s v="SWG1099"/>
    <d v="2024-01-14T00:00:00"/>
    <x v="2"/>
    <s v="Sun"/>
    <s v="Havmor Havfunn Ice Cream"/>
    <x v="2"/>
    <s v="Ice Cream, Ice Cream Cakes, Desserts, Beverages"/>
    <x v="4"/>
    <s v="Veg"/>
    <n v="3"/>
    <n v="404"/>
    <n v="1212"/>
    <n v="4.5999999999999996"/>
    <n v="18"/>
    <m/>
    <n v="0"/>
    <x v="1"/>
    <n v="20"/>
    <s v="Female"/>
  </r>
  <r>
    <s v="SWG1100"/>
    <d v="2024-04-04T00:00:00"/>
    <x v="0"/>
    <s v="Thu"/>
    <s v="Grameen Kulfi"/>
    <x v="0"/>
    <s v="Ice Cream, Desserts"/>
    <x v="4"/>
    <s v="Veg"/>
    <n v="3"/>
    <n v="388"/>
    <n v="1164"/>
    <n v="4.7"/>
    <n v="16"/>
    <n v="99"/>
    <n v="0"/>
    <x v="1"/>
    <n v="28"/>
    <s v="Female"/>
  </r>
  <r>
    <s v="SWG1101"/>
    <d v="2024-02-17T00:00:00"/>
    <x v="7"/>
    <s v="Sat"/>
    <s v="Kareem's"/>
    <x v="0"/>
    <s v="North Indian, Biryani, Chinese, Indian, Desserts, Mughlai, Tandoor, Lucknowi"/>
    <x v="2"/>
    <s v="Non-Veg"/>
    <n v="3"/>
    <n v="585"/>
    <n v="1755"/>
    <n v="4.0999999999999996"/>
    <n v="32"/>
    <n v="100"/>
    <n v="50"/>
    <x v="0"/>
    <n v="19"/>
    <s v="Female"/>
  </r>
  <r>
    <s v="SWG1102"/>
    <d v="2024-01-15T00:00:00"/>
    <x v="2"/>
    <s v="Mon"/>
    <s v="McDonald's Gourmet Burger Collection"/>
    <x v="2"/>
    <s v="Burgers, Beverages, Cafe, Desserts"/>
    <x v="0"/>
    <s v="Veg"/>
    <n v="2"/>
    <n v="377"/>
    <n v="754"/>
    <n v="4.3"/>
    <n v="26"/>
    <m/>
    <n v="0"/>
    <x v="2"/>
    <n v="33"/>
    <s v="Female"/>
  </r>
  <r>
    <s v="SWG1103"/>
    <d v="2024-07-18T00:00:00"/>
    <x v="4"/>
    <s v="Thu"/>
    <s v="Suchali's Artisan Bakehouse"/>
    <x v="2"/>
    <s v="Beverages, Bakery"/>
    <x v="3"/>
    <s v="Veg"/>
    <n v="1"/>
    <n v="148"/>
    <n v="148"/>
    <n v="4.5999999999999996"/>
    <n v="18"/>
    <n v="50"/>
    <n v="20"/>
    <x v="2"/>
    <n v="26"/>
    <s v="Male"/>
  </r>
  <r>
    <s v="SWG1104"/>
    <d v="2024-07-24T00:00:00"/>
    <x v="4"/>
    <s v="Wed"/>
    <s v="LeanCrust Pizza- ThinCrust Experts"/>
    <x v="0"/>
    <s v="Pizzas, Italian, Desserts"/>
    <x v="1"/>
    <s v="Veg"/>
    <n v="4"/>
    <n v="332"/>
    <n v="1328"/>
    <n v="4.4000000000000004"/>
    <m/>
    <n v="100"/>
    <n v="50"/>
    <x v="2"/>
    <n v="49"/>
    <s v="Male"/>
  </r>
  <r>
    <s v="SWG1105"/>
    <d v="2024-08-02T00:00:00"/>
    <x v="6"/>
    <s v="Fri"/>
    <s v="Pure Veg Meals by Lunchbox"/>
    <x v="0"/>
    <s v="Biryani, North Indian, Desserts, Beverages"/>
    <x v="2"/>
    <s v="Non-Veg"/>
    <n v="4"/>
    <n v="582"/>
    <n v="2328"/>
    <n v="4.2"/>
    <n v="24"/>
    <n v="80"/>
    <n v="40"/>
    <x v="0"/>
    <n v="32"/>
    <s v="Male"/>
  </r>
  <r>
    <s v="SWG1106"/>
    <d v="2024-07-08T00:00:00"/>
    <x v="4"/>
    <s v="Mon"/>
    <s v="The J"/>
    <x v="2"/>
    <s v="American, Snacks, Desserts"/>
    <x v="4"/>
    <s v="Veg"/>
    <n v="3"/>
    <n v="555"/>
    <n v="1665"/>
    <n v="4.5"/>
    <n v="18"/>
    <m/>
    <n v="0"/>
    <x v="0"/>
    <n v="29"/>
    <s v="Male"/>
  </r>
  <r>
    <s v="SWG1107"/>
    <d v="2024-02-09T00:00:00"/>
    <x v="7"/>
    <s v="Fri"/>
    <s v="Smokin' Joe's"/>
    <x v="0"/>
    <s v="Italian, Pizzas"/>
    <x v="1"/>
    <s v="Veg"/>
    <n v="2"/>
    <n v="402"/>
    <n v="804"/>
    <n v="3.9"/>
    <n v="34"/>
    <n v="50"/>
    <n v="20"/>
    <x v="0"/>
    <n v="18"/>
    <s v="Female"/>
  </r>
  <r>
    <s v="SWG1108"/>
    <d v="2024-07-31T00:00:00"/>
    <x v="4"/>
    <s v="Wed"/>
    <s v="BOOM Sandwich - Sub of India"/>
    <x v="0"/>
    <s v="Snacks, Indian, Desserts"/>
    <x v="4"/>
    <s v="Veg"/>
    <n v="2"/>
    <n v="169"/>
    <n v="338"/>
    <n v="4.3"/>
    <m/>
    <n v="100"/>
    <n v="50"/>
    <x v="0"/>
    <n v="30"/>
    <s v="Male"/>
  </r>
  <r>
    <s v="SWG1109"/>
    <d v="2024-07-26T00:00:00"/>
    <x v="4"/>
    <s v="Fri"/>
    <s v="7th Heaven"/>
    <x v="2"/>
    <s v="Bakery, Desserts"/>
    <x v="4"/>
    <s v="Veg"/>
    <n v="2"/>
    <n v="214"/>
    <n v="428"/>
    <n v="3.8"/>
    <n v="16"/>
    <n v="100"/>
    <n v="50"/>
    <x v="0"/>
    <n v="31"/>
    <s v="Female"/>
  </r>
  <r>
    <s v="SWG1110"/>
    <d v="2024-08-24T00:00:00"/>
    <x v="6"/>
    <s v="Sat"/>
    <s v="Itminaan Matka Biryani - Slow Cooked"/>
    <x v="0"/>
    <s v="Biryani, North Indian, Mughlai"/>
    <x v="2"/>
    <s v="Non-Veg"/>
    <n v="4"/>
    <n v="582"/>
    <n v="2328"/>
    <n v="4"/>
    <m/>
    <n v="120"/>
    <n v="60"/>
    <x v="3"/>
    <n v="42"/>
    <s v="Male"/>
  </r>
  <r>
    <s v="SWG1111"/>
    <d v="2024-03-22T00:00:00"/>
    <x v="3"/>
    <s v="Fri"/>
    <s v="NOTO - Ice Creams &amp; Desserts"/>
    <x v="0"/>
    <s v="Ice Cream"/>
    <x v="5"/>
    <s v="Veg"/>
    <n v="3"/>
    <n v="526"/>
    <n v="1578"/>
    <n v="4.5999999999999996"/>
    <n v="15"/>
    <n v="799"/>
    <n v="0"/>
    <x v="3"/>
    <n v="42"/>
    <s v="Male"/>
  </r>
  <r>
    <s v="SWG1112"/>
    <d v="2024-04-20T00:00:00"/>
    <x v="0"/>
    <s v="Sat"/>
    <s v="Moussestruck"/>
    <x v="5"/>
    <s v="Ice Cream, Desserts, Sweets"/>
    <x v="4"/>
    <s v="Veg"/>
    <n v="1"/>
    <n v="207"/>
    <n v="207"/>
    <n v="4.7"/>
    <n v="25"/>
    <n v="499"/>
    <n v="0"/>
    <x v="2"/>
    <n v="25"/>
    <s v="Male"/>
  </r>
  <r>
    <s v="SWG1113"/>
    <d v="2024-02-22T00:00:00"/>
    <x v="7"/>
    <s v="Thu"/>
    <s v="Surbhi Sweets And Snacks"/>
    <x v="6"/>
    <s v="Sweets, Chaat, Snacks, Desserts, Beverages, Indian"/>
    <x v="4"/>
    <s v="Veg"/>
    <n v="4"/>
    <n v="163"/>
    <n v="652"/>
    <n v="4.2"/>
    <n v="24"/>
    <n v="599"/>
    <n v="0"/>
    <x v="1"/>
    <n v="25"/>
    <s v="Female"/>
  </r>
  <r>
    <s v="SWG1114"/>
    <d v="2024-01-24T00:00:00"/>
    <x v="2"/>
    <s v="Wed"/>
    <s v="Tiffin Box"/>
    <x v="2"/>
    <s v="Biryani, Beverages, North Eastern"/>
    <x v="2"/>
    <s v="Non-Veg"/>
    <n v="3"/>
    <n v="580"/>
    <n v="1740"/>
    <m/>
    <m/>
    <n v="75"/>
    <n v="30"/>
    <x v="2"/>
    <n v="44"/>
    <s v="Female"/>
  </r>
  <r>
    <s v="SWG1115"/>
    <d v="2024-06-02T00:00:00"/>
    <x v="1"/>
    <s v="Sun"/>
    <s v="Waffle Cart"/>
    <x v="7"/>
    <s v="Desserts, Snacks, Thalis"/>
    <x v="4"/>
    <s v="Veg"/>
    <n v="3"/>
    <n v="397"/>
    <n v="1191"/>
    <n v="3.8"/>
    <n v="30"/>
    <m/>
    <n v="0"/>
    <x v="1"/>
    <n v="47"/>
    <s v="Male"/>
  </r>
  <r>
    <s v="SWG1116"/>
    <d v="2024-08-04T00:00:00"/>
    <x v="6"/>
    <s v="Sun"/>
    <s v="Madno - House of Sundaes"/>
    <x v="1"/>
    <s v="Ice Cream, Beverages"/>
    <x v="3"/>
    <s v="Veg"/>
    <n v="1"/>
    <n v="290"/>
    <n v="290"/>
    <n v="4.0999999999999996"/>
    <n v="26"/>
    <n v="80"/>
    <n v="40"/>
    <x v="0"/>
    <n v="29"/>
    <s v="Female"/>
  </r>
  <r>
    <s v="SWG1117"/>
    <d v="2024-07-06T00:00:00"/>
    <x v="4"/>
    <s v="Sat"/>
    <s v="Gourmet Ice Cream Cakes by Baskin Robbins"/>
    <x v="2"/>
    <s v="Ice Cream Cakes, Desserts, Ice Cream, Bakery"/>
    <x v="4"/>
    <s v="Veg"/>
    <n v="1"/>
    <n v="540"/>
    <n v="540"/>
    <n v="4.3"/>
    <n v="20"/>
    <n v="50"/>
    <n v="20"/>
    <x v="1"/>
    <n v="18"/>
    <s v="Male"/>
  </r>
  <r>
    <s v="SWG1118"/>
    <d v="2024-05-03T00:00:00"/>
    <x v="5"/>
    <s v="Fri"/>
    <s v="Jumboking Indian Burger"/>
    <x v="6"/>
    <s v="American, Mexican, Fast Food, Snacks, Beverages"/>
    <x v="3"/>
    <s v="Veg"/>
    <n v="1"/>
    <n v="308"/>
    <n v="308"/>
    <n v="4.5"/>
    <n v="25"/>
    <n v="449"/>
    <n v="0"/>
    <x v="2"/>
    <n v="28"/>
    <s v="Male"/>
  </r>
  <r>
    <s v="SWG1119"/>
    <d v="2024-08-24T00:00:00"/>
    <x v="6"/>
    <s v="Sat"/>
    <s v="Khana Khazana"/>
    <x v="7"/>
    <s v="Indian, Chinese"/>
    <x v="5"/>
    <s v="Veg"/>
    <n v="2"/>
    <n v="472"/>
    <n v="944"/>
    <n v="4.5999999999999996"/>
    <n v="32"/>
    <m/>
    <n v="0"/>
    <x v="2"/>
    <n v="25"/>
    <s v="Male"/>
  </r>
  <r>
    <s v="SWG1120"/>
    <d v="2024-02-10T00:00:00"/>
    <x v="7"/>
    <s v="Sat"/>
    <s v="Tea Post"/>
    <x v="3"/>
    <s v="Beverages"/>
    <x v="3"/>
    <s v="Veg"/>
    <n v="1"/>
    <n v="303"/>
    <n v="303"/>
    <n v="4.0999999999999996"/>
    <n v="36"/>
    <n v="449"/>
    <n v="0"/>
    <x v="1"/>
    <n v="27"/>
    <s v="Female"/>
  </r>
  <r>
    <s v="SWG1121"/>
    <d v="2024-06-05T00:00:00"/>
    <x v="1"/>
    <s v="Wed"/>
    <s v="Pizza Hut"/>
    <x v="0"/>
    <s v="Pizzas"/>
    <x v="1"/>
    <s v="Veg"/>
    <n v="3"/>
    <n v="122"/>
    <n v="366"/>
    <n v="4.2"/>
    <n v="28"/>
    <n v="179"/>
    <n v="0"/>
    <x v="3"/>
    <n v="47"/>
    <s v="Male"/>
  </r>
  <r>
    <s v="SWG1122"/>
    <d v="2024-01-15T00:00:00"/>
    <x v="2"/>
    <s v="Mon"/>
    <s v="Momo Mia"/>
    <x v="18"/>
    <s v="Chinese, Desserts, Pizzas, Burgers, Pastas, Italian"/>
    <x v="1"/>
    <s v="Veg"/>
    <n v="1"/>
    <n v="310"/>
    <n v="310"/>
    <n v="2.2999999999999998"/>
    <n v="26"/>
    <n v="100"/>
    <n v="50"/>
    <x v="0"/>
    <n v="36"/>
    <s v="Male"/>
  </r>
  <r>
    <s v="SWG1123"/>
    <d v="2024-02-14T00:00:00"/>
    <x v="7"/>
    <s v="Wed"/>
    <s v="Hola Pasta - Fresh Gourmet Pasta"/>
    <x v="0"/>
    <s v="Pastas, Italian, Desserts, Beverages"/>
    <x v="4"/>
    <s v="Veg"/>
    <n v="3"/>
    <n v="237"/>
    <n v="711"/>
    <n v="3.4"/>
    <m/>
    <n v="149"/>
    <n v="0"/>
    <x v="0"/>
    <n v="28"/>
    <s v="Male"/>
  </r>
  <r>
    <s v="SWG1124"/>
    <d v="2024-03-05T00:00:00"/>
    <x v="3"/>
    <s v="Tue"/>
    <s v="Libon The Cake Expert"/>
    <x v="7"/>
    <s v="Desserts"/>
    <x v="4"/>
    <s v="Veg"/>
    <n v="4"/>
    <n v="138"/>
    <n v="552"/>
    <n v="4.2"/>
    <n v="28"/>
    <n v="449"/>
    <n v="0"/>
    <x v="2"/>
    <n v="24"/>
    <s v="Female"/>
  </r>
  <r>
    <s v="SWG1125"/>
    <d v="2024-03-29T00:00:00"/>
    <x v="3"/>
    <s v="Fri"/>
    <s v="New York Burrito Company"/>
    <x v="5"/>
    <s v="Mexican, American, Continental, Snacks, Beverages, Desserts"/>
    <x v="4"/>
    <s v="Veg"/>
    <n v="2"/>
    <n v="142"/>
    <n v="284"/>
    <n v="4.2"/>
    <n v="32"/>
    <m/>
    <n v="0"/>
    <x v="3"/>
    <n v="28"/>
    <s v="Male"/>
  </r>
  <r>
    <s v="SWG1126"/>
    <d v="2024-03-11T00:00:00"/>
    <x v="3"/>
    <s v="Mon"/>
    <s v="The Fresh Press"/>
    <x v="2"/>
    <s v="Beverages, Juices"/>
    <x v="3"/>
    <s v="Veg"/>
    <n v="4"/>
    <n v="532"/>
    <n v="2128"/>
    <n v="4.2"/>
    <n v="39"/>
    <n v="120"/>
    <n v="60"/>
    <x v="1"/>
    <n v="48"/>
    <s v="Female"/>
  </r>
  <r>
    <s v="SWG1127"/>
    <d v="2024-01-09T00:00:00"/>
    <x v="2"/>
    <s v="Tue"/>
    <s v="Dairy Don"/>
    <x v="7"/>
    <s v="Beverages, Desserts"/>
    <x v="4"/>
    <s v="Veg"/>
    <n v="4"/>
    <n v="149"/>
    <n v="596"/>
    <n v="3.9"/>
    <n v="26"/>
    <n v="600"/>
    <n v="10"/>
    <x v="0"/>
    <n v="34"/>
    <s v="Male"/>
  </r>
  <r>
    <s v="SWG1128"/>
    <d v="2024-03-28T00:00:00"/>
    <x v="3"/>
    <s v="Thu"/>
    <s v="McCafe by McDonald's"/>
    <x v="0"/>
    <s v="American, Beverages, Desserts"/>
    <x v="4"/>
    <s v="Veg"/>
    <n v="3"/>
    <n v="414"/>
    <n v="1242"/>
    <n v="3"/>
    <n v="30"/>
    <m/>
    <n v="0"/>
    <x v="3"/>
    <n v="18"/>
    <s v="Female"/>
  </r>
  <r>
    <s v="SWG1129"/>
    <d v="2024-05-08T00:00:00"/>
    <x v="5"/>
    <s v="Wed"/>
    <s v="Bhagwati Pav Bhaji"/>
    <x v="5"/>
    <s v="Street Food, Chinese, South Indian, North Indian"/>
    <x v="5"/>
    <s v="Veg"/>
    <n v="4"/>
    <n v="227"/>
    <n v="908"/>
    <n v="4.0999999999999996"/>
    <n v="36"/>
    <n v="499"/>
    <n v="0"/>
    <x v="0"/>
    <n v="49"/>
    <s v="Male"/>
  </r>
  <r>
    <s v="SWG1130"/>
    <d v="2024-08-23T00:00:00"/>
    <x v="6"/>
    <s v="Fri"/>
    <s v="Goragandhi Juice Corner &amp; Veg World"/>
    <x v="3"/>
    <s v="North Indian, South Indian, Chinese, Indian, Chaat, Fast Food, Maharashtrian, Pizzas, Juices, Mexican, Pastas"/>
    <x v="1"/>
    <s v="Veg"/>
    <n v="3"/>
    <n v="486"/>
    <n v="1458"/>
    <n v="4.5999999999999996"/>
    <n v="34"/>
    <m/>
    <n v="0"/>
    <x v="3"/>
    <n v="43"/>
    <s v="Male"/>
  </r>
  <r>
    <s v="SWG1131"/>
    <d v="2024-05-15T00:00:00"/>
    <x v="5"/>
    <s v="Wed"/>
    <s v="The Waffle Co."/>
    <x v="5"/>
    <s v="Desserts, Waffle"/>
    <x v="4"/>
    <s v="Veg"/>
    <n v="1"/>
    <n v="400"/>
    <n v="400"/>
    <n v="4.4000000000000004"/>
    <n v="34"/>
    <m/>
    <n v="0"/>
    <x v="3"/>
    <n v="46"/>
    <s v="Female"/>
  </r>
  <r>
    <s v="SWG1132"/>
    <d v="2024-08-03T00:00:00"/>
    <x v="6"/>
    <s v="Sat"/>
    <s v="99 Pancakes"/>
    <x v="5"/>
    <s v="Desserts, Beverages"/>
    <x v="4"/>
    <s v="Veg"/>
    <n v="1"/>
    <n v="247"/>
    <n v="247"/>
    <n v="4.5999999999999996"/>
    <n v="32"/>
    <n v="449"/>
    <n v="0"/>
    <x v="2"/>
    <n v="38"/>
    <s v="Female"/>
  </r>
  <r>
    <s v="SWG1133"/>
    <d v="2024-03-03T00:00:00"/>
    <x v="3"/>
    <s v="Sun"/>
    <s v="IDC Kitchen"/>
    <x v="2"/>
    <s v="South Indian"/>
    <x v="5"/>
    <s v="Veg"/>
    <n v="3"/>
    <n v="348"/>
    <n v="1044"/>
    <n v="4.3"/>
    <n v="36"/>
    <n v="999"/>
    <n v="0"/>
    <x v="0"/>
    <n v="38"/>
    <s v="Male"/>
  </r>
  <r>
    <s v="SWG1134"/>
    <d v="2024-05-18T00:00:00"/>
    <x v="5"/>
    <s v="Sat"/>
    <s v="Burger Hub"/>
    <x v="7"/>
    <s v="Burgers, Snacks, Chinese"/>
    <x v="0"/>
    <s v="Veg"/>
    <n v="1"/>
    <n v="230"/>
    <n v="230"/>
    <m/>
    <m/>
    <m/>
    <n v="0"/>
    <x v="1"/>
    <n v="25"/>
    <s v="Female"/>
  </r>
  <r>
    <s v="SWG1135"/>
    <d v="2024-03-21T00:00:00"/>
    <x v="3"/>
    <s v="Thu"/>
    <s v="Delights by INOX"/>
    <x v="0"/>
    <s v="Snacks"/>
    <x v="5"/>
    <s v="Veg"/>
    <n v="2"/>
    <n v="255"/>
    <n v="510"/>
    <n v="4.5999999999999996"/>
    <n v="18"/>
    <n v="120"/>
    <n v="60"/>
    <x v="2"/>
    <n v="40"/>
    <s v="Male"/>
  </r>
  <r>
    <s v="SWG1136"/>
    <d v="2024-05-15T00:00:00"/>
    <x v="5"/>
    <s v="Wed"/>
    <s v="GLOBO Ice Creams Of The World"/>
    <x v="0"/>
    <s v="Ice Cream, Desserts, Bakery"/>
    <x v="4"/>
    <s v="Veg"/>
    <n v="4"/>
    <n v="481"/>
    <n v="1924"/>
    <n v="4.4000000000000004"/>
    <m/>
    <n v="100"/>
    <n v="50"/>
    <x v="2"/>
    <n v="41"/>
    <s v="Male"/>
  </r>
  <r>
    <s v="SWG1137"/>
    <d v="2024-06-11T00:00:00"/>
    <x v="1"/>
    <s v="Tue"/>
    <s v="Go Zero - Guilt Free Ice Creams"/>
    <x v="0"/>
    <s v="Ice Cream, Desserts"/>
    <x v="4"/>
    <s v="Veg"/>
    <n v="2"/>
    <n v="305"/>
    <n v="610"/>
    <n v="4.2"/>
    <n v="14"/>
    <n v="100"/>
    <n v="50"/>
    <x v="1"/>
    <n v="23"/>
    <s v="Male"/>
  </r>
  <r>
    <s v="SWG1138"/>
    <d v="2024-06-11T00:00:00"/>
    <x v="1"/>
    <s v="Tue"/>
    <s v="The Momo Factory"/>
    <x v="0"/>
    <s v="Tibetan, Chinese, Asian"/>
    <x v="5"/>
    <s v="Veg"/>
    <n v="4"/>
    <n v="263"/>
    <n v="1052"/>
    <n v="4.0999999999999996"/>
    <n v="27"/>
    <n v="449"/>
    <n v="0"/>
    <x v="2"/>
    <n v="39"/>
    <s v="Female"/>
  </r>
  <r>
    <s v="SWG1139"/>
    <d v="2024-02-02T00:00:00"/>
    <x v="7"/>
    <s v="Fri"/>
    <s v="Food Adda"/>
    <x v="8"/>
    <s v="Burgers, Pizzas, Fast Food, Beverages"/>
    <x v="1"/>
    <s v="Veg"/>
    <n v="1"/>
    <n v="191"/>
    <n v="191"/>
    <n v="4"/>
    <n v="28"/>
    <n v="100"/>
    <n v="50"/>
    <x v="3"/>
    <n v="35"/>
    <s v="Male"/>
  </r>
  <r>
    <s v="SWG1140"/>
    <d v="2024-05-02T00:00:00"/>
    <x v="5"/>
    <s v="Thu"/>
    <s v="Bhatti Chicken - Grilled, NOT Fried!"/>
    <x v="0"/>
    <s v="North Indian, Snacks, Fast Food, Tandoor"/>
    <x v="5"/>
    <s v="Veg"/>
    <n v="2"/>
    <n v="248"/>
    <n v="496"/>
    <n v="4.2"/>
    <m/>
    <n v="100"/>
    <n v="50"/>
    <x v="3"/>
    <n v="23"/>
    <s v="Female"/>
  </r>
  <r>
    <s v="SWG1141"/>
    <d v="2024-01-05T00:00:00"/>
    <x v="2"/>
    <s v="Fri"/>
    <s v="Mehfil by Behrouz"/>
    <x v="0"/>
    <s v="Biryani, North Indian, Kebabs, Mughlai, Lucknowi, Hyderabadi, Desserts, Beverages"/>
    <x v="2"/>
    <s v="Non-Veg"/>
    <n v="1"/>
    <n v="483"/>
    <n v="483"/>
    <n v="4.4000000000000004"/>
    <n v="29"/>
    <n v="80"/>
    <n v="40"/>
    <x v="0"/>
    <n v="22"/>
    <s v="Male"/>
  </r>
  <r>
    <s v="SWG1142"/>
    <d v="2024-08-21T00:00:00"/>
    <x v="6"/>
    <s v="Wed"/>
    <s v="Tewari Brothers"/>
    <x v="7"/>
    <s v="Snacks, Sweets, North Indian, Beverages, Desserts"/>
    <x v="4"/>
    <s v="Veg"/>
    <n v="4"/>
    <n v="380"/>
    <n v="1520"/>
    <n v="4.5999999999999996"/>
    <n v="33"/>
    <m/>
    <n v="0"/>
    <x v="0"/>
    <n v="30"/>
    <s v="Female"/>
  </r>
  <r>
    <s v="SWG1143"/>
    <d v="2024-08-18T00:00:00"/>
    <x v="6"/>
    <s v="Sun"/>
    <s v="World Of Paratha"/>
    <x v="7"/>
    <s v="North Indian, Beverages"/>
    <x v="3"/>
    <s v="Veg"/>
    <n v="3"/>
    <n v="122"/>
    <n v="366"/>
    <n v="4.4000000000000004"/>
    <n v="33"/>
    <m/>
    <n v="0"/>
    <x v="1"/>
    <n v="49"/>
    <s v="Female"/>
  </r>
  <r>
    <s v="SWG1144"/>
    <d v="2024-02-10T00:00:00"/>
    <x v="7"/>
    <s v="Sat"/>
    <s v="Bhagwati Veg Restaurant"/>
    <x v="3"/>
    <s v="North Indian, Chinese, Biryani, South Indian"/>
    <x v="2"/>
    <s v="Non-Veg"/>
    <n v="3"/>
    <n v="568"/>
    <n v="1704"/>
    <n v="4.3"/>
    <n v="35"/>
    <n v="499"/>
    <n v="0"/>
    <x v="0"/>
    <n v="36"/>
    <s v="Male"/>
  </r>
  <r>
    <s v="SWG1145"/>
    <d v="2024-01-28T00:00:00"/>
    <x v="2"/>
    <s v="Sun"/>
    <s v="Kwality Walls Frozen Dessert and Ice Cream Shop"/>
    <x v="1"/>
    <s v="Desserts, Ice Cream, Ice Cream Cakes"/>
    <x v="4"/>
    <s v="Veg"/>
    <n v="2"/>
    <n v="507"/>
    <n v="1014"/>
    <n v="4.8"/>
    <n v="15"/>
    <n v="100"/>
    <n v="50"/>
    <x v="3"/>
    <n v="39"/>
    <s v="Female"/>
  </r>
  <r>
    <s v="SWG1146"/>
    <d v="2024-05-14T00:00:00"/>
    <x v="5"/>
    <s v="Tue"/>
    <s v="Anand Sweets &amp; Savouries"/>
    <x v="19"/>
    <s v="Sweets, Desserts"/>
    <x v="4"/>
    <s v="Veg"/>
    <n v="1"/>
    <n v="223"/>
    <n v="223"/>
    <n v="4.7"/>
    <n v="40"/>
    <n v="499"/>
    <n v="0"/>
    <x v="1"/>
    <n v="25"/>
    <s v="Male"/>
  </r>
  <r>
    <s v="SWG1147"/>
    <d v="2024-07-19T00:00:00"/>
    <x v="4"/>
    <s v="Fri"/>
    <s v="Myfroyoland - Premium Frozen Yogurt"/>
    <x v="3"/>
    <s v="Desserts, Ice Cream, Healthy Food"/>
    <x v="4"/>
    <s v="Veg"/>
    <n v="1"/>
    <n v="343"/>
    <n v="343"/>
    <n v="4.4000000000000004"/>
    <n v="28"/>
    <n v="1500"/>
    <n v="10"/>
    <x v="1"/>
    <n v="26"/>
    <s v="Male"/>
  </r>
  <r>
    <s v="SWG1148"/>
    <d v="2024-03-12T00:00:00"/>
    <x v="3"/>
    <s v="Tue"/>
    <s v="Sweetish House Mafia"/>
    <x v="5"/>
    <s v="Desserts"/>
    <x v="4"/>
    <s v="Veg"/>
    <n v="2"/>
    <n v="439"/>
    <n v="878"/>
    <n v="4.2"/>
    <n v="30"/>
    <n v="150"/>
    <n v="30"/>
    <x v="0"/>
    <n v="34"/>
    <s v="Male"/>
  </r>
  <r>
    <s v="SWG1149"/>
    <d v="2024-01-12T00:00:00"/>
    <x v="2"/>
    <s v="Fri"/>
    <s v="Natural Ice Cream"/>
    <x v="20"/>
    <s v="Ice Cream, Desserts"/>
    <x v="4"/>
    <s v="Veg"/>
    <n v="3"/>
    <n v="481"/>
    <n v="1443"/>
    <n v="4.7"/>
    <n v="21"/>
    <m/>
    <n v="20"/>
    <x v="3"/>
    <n v="20"/>
    <s v="Male"/>
  </r>
  <r>
    <s v="SWG1150"/>
    <d v="2024-06-10T00:00:00"/>
    <x v="1"/>
    <s v="Mon"/>
    <s v="Chinese Wok"/>
    <x v="0"/>
    <s v="Chinese, Asian, Tibetan, Desserts"/>
    <x v="4"/>
    <s v="Veg"/>
    <n v="4"/>
    <n v="473"/>
    <n v="1892"/>
    <n v="4.2"/>
    <n v="21"/>
    <n v="100"/>
    <n v="50"/>
    <x v="1"/>
    <n v="36"/>
    <s v="Male"/>
  </r>
  <r>
    <s v="SWG1151"/>
    <d v="2024-02-02T00:00:00"/>
    <x v="7"/>
    <s v="Fri"/>
    <s v="The Belgian Waffle Co."/>
    <x v="0"/>
    <s v="Waffle, Desserts, Ice Cream"/>
    <x v="4"/>
    <s v="Veg"/>
    <n v="2"/>
    <n v="592"/>
    <n v="1184"/>
    <n v="4.5"/>
    <n v="27"/>
    <n v="50"/>
    <n v="20"/>
    <x v="3"/>
    <n v="28"/>
    <s v="Female"/>
  </r>
  <r>
    <s v="SWG1152"/>
    <d v="2024-02-17T00:00:00"/>
    <x v="7"/>
    <s v="Sat"/>
    <s v="Ghar Ki Rasoi"/>
    <x v="2"/>
    <s v="North Indian"/>
    <x v="5"/>
    <s v="Veg"/>
    <n v="4"/>
    <n v="129"/>
    <n v="516"/>
    <m/>
    <m/>
    <m/>
    <n v="0"/>
    <x v="3"/>
    <n v="41"/>
    <s v="Male"/>
  </r>
  <r>
    <s v="SWG1153"/>
    <d v="2024-05-30T00:00:00"/>
    <x v="5"/>
    <s v="Thu"/>
    <s v="Mamledar Misal"/>
    <x v="3"/>
    <s v="Maharashtrian, Street Food"/>
    <x v="5"/>
    <s v="Veg"/>
    <n v="3"/>
    <n v="524"/>
    <n v="1572"/>
    <n v="4"/>
    <n v="27"/>
    <n v="749"/>
    <n v="0"/>
    <x v="3"/>
    <n v="34"/>
    <s v="Female"/>
  </r>
  <r>
    <s v="SWG1154"/>
    <d v="2024-03-02T00:00:00"/>
    <x v="3"/>
    <s v="Sat"/>
    <s v="Chaayos Chai+Snacks=Relax"/>
    <x v="0"/>
    <s v="Bakery, Beverages, Chaat, Desserts, Home Food, Italian, Maharashtrian, Snacks, Street Food, Sweets"/>
    <x v="4"/>
    <s v="Veg"/>
    <n v="1"/>
    <n v="503"/>
    <n v="503"/>
    <n v="4.5"/>
    <n v="18"/>
    <n v="120"/>
    <n v="60"/>
    <x v="0"/>
    <n v="38"/>
    <s v="Female"/>
  </r>
  <r>
    <s v="SWG1155"/>
    <d v="2024-08-03T00:00:00"/>
    <x v="6"/>
    <s v="Sat"/>
    <s v="The Good Bowl"/>
    <x v="0"/>
    <s v="Biryani, North Indian, Pastas, Punjabi, Desserts, Beverages"/>
    <x v="2"/>
    <s v="Non-Veg"/>
    <n v="3"/>
    <n v="421"/>
    <n v="1263"/>
    <n v="4.3"/>
    <n v="24"/>
    <n v="799"/>
    <n v="0"/>
    <x v="2"/>
    <n v="36"/>
    <s v="Male"/>
  </r>
  <r>
    <s v="SWG1156"/>
    <d v="2024-02-06T00:00:00"/>
    <x v="7"/>
    <s v="Tue"/>
    <s v="BOX8 - Desi Meals"/>
    <x v="0"/>
    <s v="North Indian, Biryani, Thalis, Home Food"/>
    <x v="2"/>
    <s v="Non-Veg"/>
    <n v="2"/>
    <n v="350"/>
    <n v="700"/>
    <n v="4.4000000000000004"/>
    <m/>
    <n v="100"/>
    <n v="50"/>
    <x v="2"/>
    <n v="19"/>
    <s v="Female"/>
  </r>
  <r>
    <s v="SWG1157"/>
    <d v="2024-04-08T00:00:00"/>
    <x v="0"/>
    <s v="Mon"/>
    <s v="Behrouz Biryani"/>
    <x v="0"/>
    <s v="Biryani, North Indian, Kebabs, Mughlai, Lucknowi, Hyderabadi, Desserts, Beverages"/>
    <x v="2"/>
    <s v="Non-Veg"/>
    <n v="1"/>
    <n v="338"/>
    <n v="338"/>
    <n v="4.2"/>
    <n v="22"/>
    <n v="110"/>
    <n v="60"/>
    <x v="1"/>
    <n v="48"/>
    <s v="Male"/>
  </r>
  <r>
    <s v="SWG1158"/>
    <d v="2024-06-20T00:00:00"/>
    <x v="1"/>
    <s v="Thu"/>
    <s v="Faasos - Wraps, Rolls &amp; Shawarma"/>
    <x v="0"/>
    <s v="Kebabs, Fast Food, Snacks, North Indian, American, Healthy Food, Desserts, Beverages"/>
    <x v="4"/>
    <s v="Non-Veg"/>
    <n v="2"/>
    <n v="530"/>
    <n v="1060"/>
    <n v="4.0999999999999996"/>
    <n v="26"/>
    <n v="110"/>
    <n v="60"/>
    <x v="3"/>
    <n v="25"/>
    <s v="Female"/>
  </r>
  <r>
    <s v="SWG1159"/>
    <d v="2024-04-13T00:00:00"/>
    <x v="0"/>
    <s v="Sat"/>
    <s v="LunchBox - Meals and Thalis"/>
    <x v="0"/>
    <s v="Biryani, North Indian, Punjabi, Healthy Food, Desserts, Beverages"/>
    <x v="2"/>
    <s v="Non-Veg"/>
    <n v="2"/>
    <n v="185"/>
    <n v="370"/>
    <n v="4.3"/>
    <n v="26"/>
    <n v="159"/>
    <n v="0"/>
    <x v="0"/>
    <n v="36"/>
    <s v="Female"/>
  </r>
  <r>
    <s v="SWG1160"/>
    <d v="2024-08-01T00:00:00"/>
    <x v="6"/>
    <s v="Thu"/>
    <s v="Subway"/>
    <x v="0"/>
    <s v="Salads, Snacks, Desserts, Beverages"/>
    <x v="4"/>
    <s v="Veg"/>
    <n v="3"/>
    <n v="544"/>
    <n v="1632"/>
    <n v="4"/>
    <n v="26"/>
    <n v="80"/>
    <n v="40"/>
    <x v="3"/>
    <n v="24"/>
    <s v="Female"/>
  </r>
  <r>
    <s v="SWG1161"/>
    <d v="2024-08-06T00:00:00"/>
    <x v="6"/>
    <s v="Tue"/>
    <s v="Mohanlal S Mithaiwala"/>
    <x v="7"/>
    <s v="Sweets, Desserts, Snacks"/>
    <x v="4"/>
    <s v="Veg"/>
    <n v="2"/>
    <n v="231"/>
    <n v="462"/>
    <n v="4.9000000000000004"/>
    <n v="33"/>
    <m/>
    <n v="0"/>
    <x v="3"/>
    <n v="45"/>
    <s v="Male"/>
  </r>
  <r>
    <s v="SWG1162"/>
    <d v="2024-02-04T00:00:00"/>
    <x v="7"/>
    <s v="Sun"/>
    <s v="Parsi Dairy Farm"/>
    <x v="7"/>
    <s v="Indian"/>
    <x v="5"/>
    <s v="Veg"/>
    <n v="3"/>
    <n v="132"/>
    <n v="396"/>
    <n v="4.5999999999999996"/>
    <n v="31"/>
    <m/>
    <n v="0"/>
    <x v="0"/>
    <n v="44"/>
    <s v="Female"/>
  </r>
  <r>
    <s v="SWG1163"/>
    <d v="2024-07-11T00:00:00"/>
    <x v="4"/>
    <s v="Thu"/>
    <s v="Adarsh"/>
    <x v="7"/>
    <s v="Snacks, Sweets, Bakery"/>
    <x v="5"/>
    <s v="Veg"/>
    <n v="1"/>
    <n v="512"/>
    <n v="512"/>
    <n v="4.5"/>
    <n v="31"/>
    <n v="1900"/>
    <n v="10"/>
    <x v="2"/>
    <n v="34"/>
    <s v="Male"/>
  </r>
  <r>
    <s v="SWG1164"/>
    <d v="2024-08-14T00:00:00"/>
    <x v="6"/>
    <s v="Wed"/>
    <s v="Mama Mia! - Italian Ice Creams &amp; Cakes"/>
    <x v="7"/>
    <s v="Bakery, Desserts, Ice Cream"/>
    <x v="4"/>
    <s v="Veg"/>
    <n v="3"/>
    <n v="539"/>
    <n v="1617"/>
    <n v="4.4000000000000004"/>
    <n v="27"/>
    <n v="599"/>
    <n v="0"/>
    <x v="3"/>
    <n v="23"/>
    <s v="Female"/>
  </r>
  <r>
    <s v="SWG1165"/>
    <d v="2024-04-10T00:00:00"/>
    <x v="0"/>
    <s v="Wed"/>
    <s v="Trishiv Chinese Corner"/>
    <x v="7"/>
    <s v="Chinese, Fast Food, Street Food, North Indian"/>
    <x v="5"/>
    <s v="Veg"/>
    <n v="1"/>
    <n v="205"/>
    <n v="205"/>
    <n v="4.0999999999999996"/>
    <n v="34"/>
    <n v="1000"/>
    <n v="10"/>
    <x v="3"/>
    <n v="36"/>
    <s v="Female"/>
  </r>
  <r>
    <s v="SWG1166"/>
    <d v="2024-06-23T00:00:00"/>
    <x v="1"/>
    <s v="Sun"/>
    <s v="Baskin Robbins - Ice Cream Desserts"/>
    <x v="0"/>
    <s v="Desserts"/>
    <x v="4"/>
    <s v="Veg"/>
    <n v="3"/>
    <n v="353"/>
    <n v="1059"/>
    <n v="4.5999999999999996"/>
    <n v="13"/>
    <n v="75"/>
    <n v="30"/>
    <x v="2"/>
    <n v="41"/>
    <s v="Female"/>
  </r>
  <r>
    <s v="SWG1167"/>
    <d v="2024-07-24T00:00:00"/>
    <x v="4"/>
    <s v="Wed"/>
    <s v="Wagh Bakri Tea Lounge"/>
    <x v="7"/>
    <s v="Beverages, Snacks, Fast Food, Street Food, Desserts"/>
    <x v="4"/>
    <s v="Veg"/>
    <n v="4"/>
    <n v="209"/>
    <n v="836"/>
    <n v="3.5"/>
    <n v="39"/>
    <n v="700"/>
    <n v="20"/>
    <x v="0"/>
    <n v="23"/>
    <s v="Female"/>
  </r>
  <r>
    <s v="SWG1168"/>
    <d v="2024-05-10T00:00:00"/>
    <x v="5"/>
    <s v="Fri"/>
    <s v="Chitale Xpress"/>
    <x v="7"/>
    <s v="Sweets, Desserts"/>
    <x v="4"/>
    <s v="Veg"/>
    <n v="4"/>
    <n v="433"/>
    <n v="1732"/>
    <n v="4.7"/>
    <n v="28"/>
    <m/>
    <n v="0"/>
    <x v="1"/>
    <n v="45"/>
    <s v="Male"/>
  </r>
  <r>
    <s v="SWG1169"/>
    <d v="2024-01-01T00:00:00"/>
    <x v="2"/>
    <s v="Mon"/>
    <s v="Cheesecakes By CakeZone"/>
    <x v="21"/>
    <s v="Bakery, Desserts, Sweets, Beverages, Ice Cream, Juices, Bengali"/>
    <x v="4"/>
    <s v="Veg"/>
    <n v="2"/>
    <n v="173"/>
    <n v="346"/>
    <n v="4.4000000000000004"/>
    <n v="33"/>
    <n v="699"/>
    <n v="0"/>
    <x v="2"/>
    <n v="19"/>
    <s v="Male"/>
  </r>
  <r>
    <s v="SWG1170"/>
    <d v="2024-01-05T00:00:00"/>
    <x v="2"/>
    <s v="Fri"/>
    <s v="Birdy's Cake Shop"/>
    <x v="22"/>
    <s v="Desserts, Bakery"/>
    <x v="4"/>
    <s v="Veg"/>
    <n v="3"/>
    <n v="131"/>
    <n v="393"/>
    <n v="4.0999999999999996"/>
    <n v="35"/>
    <m/>
    <n v="0"/>
    <x v="1"/>
    <n v="23"/>
    <s v="Female"/>
  </r>
  <r>
    <s v="SWG1171"/>
    <d v="2024-08-05T00:00:00"/>
    <x v="6"/>
    <s v="Mon"/>
    <s v="Jeden-The Cake Expert"/>
    <x v="5"/>
    <s v="Desserts, Bakery, Sweets"/>
    <x v="4"/>
    <s v="Veg"/>
    <n v="3"/>
    <n v="328"/>
    <n v="984"/>
    <n v="4.3"/>
    <n v="31"/>
    <n v="599"/>
    <n v="0"/>
    <x v="1"/>
    <n v="40"/>
    <s v="Female"/>
  </r>
  <r>
    <s v="SWG1172"/>
    <d v="2024-05-21T00:00:00"/>
    <x v="5"/>
    <s v="Tue"/>
    <s v="Iceberg Organic Icecreams"/>
    <x v="7"/>
    <s v="Ice Cream"/>
    <x v="5"/>
    <s v="Veg"/>
    <n v="1"/>
    <n v="581"/>
    <n v="581"/>
    <m/>
    <m/>
    <n v="299"/>
    <n v="0"/>
    <x v="2"/>
    <n v="22"/>
    <s v="Male"/>
  </r>
  <r>
    <s v="SWG1173"/>
    <d v="2024-04-12T00:00:00"/>
    <x v="0"/>
    <s v="Fri"/>
    <s v="Oven Story Pizza - Standout Toppings"/>
    <x v="0"/>
    <s v="Pizzas, Pastas, Italian, Desserts, Beverages"/>
    <x v="1"/>
    <s v="Veg"/>
    <n v="2"/>
    <n v="133"/>
    <n v="266"/>
    <n v="4.4000000000000004"/>
    <m/>
    <n v="899"/>
    <n v="0"/>
    <x v="3"/>
    <n v="36"/>
    <s v="Male"/>
  </r>
  <r>
    <s v="SWG1174"/>
    <d v="2024-01-27T00:00:00"/>
    <x v="2"/>
    <s v="Sat"/>
    <s v="Ovenfresh Cakes And Desserts"/>
    <x v="7"/>
    <s v="Bakery, Desserts, Beverages, Ice Cream, Sweets, Juices, Bengali, Pizzas"/>
    <x v="1"/>
    <s v="Veg"/>
    <n v="3"/>
    <n v="240"/>
    <n v="720"/>
    <n v="4.0999999999999996"/>
    <n v="34"/>
    <n v="399"/>
    <n v="0"/>
    <x v="1"/>
    <n v="37"/>
    <s v="Male"/>
  </r>
  <r>
    <s v="SWG1175"/>
    <d v="2024-05-16T00:00:00"/>
    <x v="5"/>
    <s v="Thu"/>
    <s v="Vadilal Ice Creams"/>
    <x v="5"/>
    <s v="Ice Cream, Desserts"/>
    <x v="4"/>
    <s v="Veg"/>
    <n v="2"/>
    <n v="537"/>
    <n v="1074"/>
    <n v="4.0999999999999996"/>
    <n v="35"/>
    <n v="399"/>
    <n v="0"/>
    <x v="1"/>
    <n v="21"/>
    <s v="Male"/>
  </r>
  <r>
    <s v="SWG1176"/>
    <d v="2024-07-25T00:00:00"/>
    <x v="4"/>
    <s v="Thu"/>
    <s v="Amore Gelato - Italian Ice Cream"/>
    <x v="7"/>
    <s v="Ice Cream, Desserts"/>
    <x v="4"/>
    <s v="Veg"/>
    <n v="4"/>
    <n v="556"/>
    <n v="2224"/>
    <n v="4.4000000000000004"/>
    <n v="34"/>
    <m/>
    <n v="0"/>
    <x v="0"/>
    <n v="39"/>
    <s v="Female"/>
  </r>
  <r>
    <s v="SWG1177"/>
    <d v="2024-01-15T00:00:00"/>
    <x v="2"/>
    <s v="Mon"/>
    <s v="Burger King"/>
    <x v="0"/>
    <s v="Burgers, American"/>
    <x v="0"/>
    <s v="Veg"/>
    <n v="3"/>
    <n v="496"/>
    <n v="1488"/>
    <n v="4.3"/>
    <n v="39"/>
    <n v="120"/>
    <n v="60"/>
    <x v="3"/>
    <n v="43"/>
    <s v="Female"/>
  </r>
  <r>
    <s v="SWG1178"/>
    <d v="2024-03-30T00:00:00"/>
    <x v="3"/>
    <s v="Sat"/>
    <s v="ITC Fabelle Chocolates"/>
    <x v="21"/>
    <s v="Bakery, Desserts"/>
    <x v="4"/>
    <s v="Veg"/>
    <n v="3"/>
    <n v="139"/>
    <n v="417"/>
    <n v="4.7"/>
    <n v="33"/>
    <n v="179"/>
    <n v="25"/>
    <x v="1"/>
    <n v="34"/>
    <s v="Male"/>
  </r>
  <r>
    <s v="SWG1179"/>
    <d v="2024-02-11T00:00:00"/>
    <x v="7"/>
    <s v="Sun"/>
    <s v="Mad Over Donuts"/>
    <x v="0"/>
    <s v="Desserts, Sweets, Bakery"/>
    <x v="4"/>
    <s v="Veg"/>
    <n v="2"/>
    <n v="194"/>
    <n v="388"/>
    <n v="4.5999999999999996"/>
    <n v="27"/>
    <n v="100"/>
    <n v="50"/>
    <x v="0"/>
    <n v="28"/>
    <s v="Male"/>
  </r>
  <r>
    <s v="SWG1180"/>
    <d v="2024-05-03T00:00:00"/>
    <x v="5"/>
    <s v="Fri"/>
    <s v="Frozen Bottle - Milkshakes, Desserts And Ice Cream"/>
    <x v="0"/>
    <s v="Beverages, Desserts, Ice Cream, Waffle, Bakery, Healthy Food"/>
    <x v="4"/>
    <s v="Veg"/>
    <n v="3"/>
    <n v="519"/>
    <n v="1557"/>
    <n v="4.3"/>
    <n v="15"/>
    <n v="449"/>
    <n v="0"/>
    <x v="3"/>
    <n v="21"/>
    <s v="Male"/>
  </r>
  <r>
    <s v="SWG1181"/>
    <d v="2024-07-23T00:00:00"/>
    <x v="4"/>
    <s v="Tue"/>
    <s v="Gianis - Ice Cream, Shakes &amp; Sundaes"/>
    <x v="2"/>
    <s v="Ice Cream, Bakery, Beverages"/>
    <x v="3"/>
    <s v="Veg"/>
    <n v="2"/>
    <n v="362"/>
    <n v="724"/>
    <n v="4.5999999999999996"/>
    <n v="15"/>
    <m/>
    <n v="0"/>
    <x v="2"/>
    <n v="43"/>
    <s v="Male"/>
  </r>
  <r>
    <s v="SWG1182"/>
    <d v="2024-06-27T00:00:00"/>
    <x v="1"/>
    <s v="Thu"/>
    <s v="Tibb's Frankie"/>
    <x v="0"/>
    <s v="Snacks, Biryani, North Indian, Mexican, Beverages"/>
    <x v="2"/>
    <s v="Non-Veg"/>
    <n v="3"/>
    <n v="342"/>
    <n v="1026"/>
    <n v="4.0999999999999996"/>
    <n v="23"/>
    <n v="75"/>
    <n v="30"/>
    <x v="2"/>
    <n v="30"/>
    <s v="Male"/>
  </r>
  <r>
    <s v="SWG1183"/>
    <d v="2024-03-03T00:00:00"/>
    <x v="3"/>
    <s v="Sun"/>
    <s v="The Biryani Life"/>
    <x v="0"/>
    <s v="Biryani, Mughlai, Lucknowi, Hyderabadi, North Indian, Kebabs, Desserts, Beverages"/>
    <x v="2"/>
    <s v="Non-Veg"/>
    <n v="1"/>
    <n v="189"/>
    <n v="189"/>
    <n v="4"/>
    <n v="25"/>
    <n v="110"/>
    <n v="60"/>
    <x v="0"/>
    <n v="37"/>
    <s v="Male"/>
  </r>
  <r>
    <s v="SWG1184"/>
    <d v="2024-04-05T00:00:00"/>
    <x v="0"/>
    <s v="Fri"/>
    <s v="Sweet Truth - Cake and Desserts"/>
    <x v="0"/>
    <s v="Snacks, Bakery, Desserts, Beverages"/>
    <x v="4"/>
    <s v="Veg"/>
    <n v="2"/>
    <n v="431"/>
    <n v="862"/>
    <n v="4.0999999999999996"/>
    <n v="20"/>
    <n v="110"/>
    <n v="60"/>
    <x v="2"/>
    <n v="43"/>
    <s v="Female"/>
  </r>
  <r>
    <s v="SWG1185"/>
    <d v="2024-08-18T00:00:00"/>
    <x v="6"/>
    <s v="Sun"/>
    <s v="Cafe Coffee Day"/>
    <x v="0"/>
    <s v="Beverages, Cafe, Snacks, Desserts, Burgers, Ice Cream, Bakery, Fast Food"/>
    <x v="0"/>
    <s v="Veg"/>
    <n v="3"/>
    <n v="330"/>
    <n v="990"/>
    <n v="4.3"/>
    <n v="28"/>
    <n v="159"/>
    <n v="0"/>
    <x v="1"/>
    <n v="49"/>
    <s v="Female"/>
  </r>
  <r>
    <s v="SWG1186"/>
    <d v="2024-02-21T00:00:00"/>
    <x v="7"/>
    <s v="Wed"/>
    <s v="Firangi Bake"/>
    <x v="0"/>
    <s v="Pizzas, Pastas, Italian, Mexican, Healthy Food, Desserts, Beverages"/>
    <x v="1"/>
    <s v="Veg"/>
    <n v="4"/>
    <n v="220"/>
    <n v="880"/>
    <n v="3.9"/>
    <n v="30"/>
    <m/>
    <n v="0"/>
    <x v="3"/>
    <n v="34"/>
    <s v="Female"/>
  </r>
  <r>
    <s v="SWG1187"/>
    <d v="2024-04-05T00:00:00"/>
    <x v="0"/>
    <s v="Fri"/>
    <s v="Apsara Ice Creams"/>
    <x v="0"/>
    <s v="Ice Cream, Desserts"/>
    <x v="4"/>
    <s v="Veg"/>
    <n v="3"/>
    <n v="305"/>
    <n v="915"/>
    <n v="4.7"/>
    <n v="14"/>
    <m/>
    <n v="0"/>
    <x v="1"/>
    <n v="26"/>
    <s v="Male"/>
  </r>
  <r>
    <s v="SWG1188"/>
    <d v="2024-05-11T00:00:00"/>
    <x v="5"/>
    <s v="Sat"/>
    <s v="Great Indian Khichdi by EatFit"/>
    <x v="23"/>
    <s v="Home Food, Indian, North Indian, Healthy Food, Snacks, Desserts, Rajasthani, South Indian, Maharashtrian, Sweets"/>
    <x v="4"/>
    <s v="Veg"/>
    <n v="4"/>
    <n v="251"/>
    <n v="1004"/>
    <n v="4.3"/>
    <n v="37"/>
    <n v="159"/>
    <n v="0"/>
    <x v="1"/>
    <n v="21"/>
    <s v="Male"/>
  </r>
  <r>
    <s v="SWG1189"/>
    <d v="2024-08-09T00:00:00"/>
    <x v="6"/>
    <s v="Fri"/>
    <s v="Wendy's"/>
    <x v="19"/>
    <s v="Burgers, American, Fast Food, Snacks, Beverages"/>
    <x v="0"/>
    <s v="Veg"/>
    <n v="4"/>
    <n v="230"/>
    <n v="920"/>
    <n v="4.2"/>
    <n v="49"/>
    <n v="129"/>
    <n v="0"/>
    <x v="2"/>
    <n v="40"/>
    <s v="Male"/>
  </r>
  <r>
    <s v="SWG1190"/>
    <d v="2024-08-16T00:00:00"/>
    <x v="6"/>
    <s v="Fri"/>
    <s v="Keventers - Milkshakes &amp; Desserts"/>
    <x v="5"/>
    <s v="Beverages, Ice Cream, Desserts, Healthy Food"/>
    <x v="4"/>
    <s v="Veg"/>
    <n v="1"/>
    <n v="500"/>
    <n v="500"/>
    <n v="4.2"/>
    <n v="29"/>
    <n v="120"/>
    <n v="20"/>
    <x v="1"/>
    <n v="45"/>
    <s v="Female"/>
  </r>
  <r>
    <s v="SWG1191"/>
    <d v="2024-05-30T00:00:00"/>
    <x v="5"/>
    <s v="Thu"/>
    <s v="Green Therapy Co."/>
    <x v="2"/>
    <s v="Healthy Food, Juices, Beverages"/>
    <x v="3"/>
    <s v="Veg"/>
    <n v="2"/>
    <n v="251"/>
    <n v="502"/>
    <n v="4.5"/>
    <n v="38"/>
    <n v="100"/>
    <n v="50"/>
    <x v="2"/>
    <n v="31"/>
    <s v="Male"/>
  </r>
  <r>
    <s v="SWG1192"/>
    <d v="2024-08-18T00:00:00"/>
    <x v="6"/>
    <s v="Sun"/>
    <s v="FreshMenu"/>
    <x v="24"/>
    <s v="Continental, Chinese, Oriental, Asian, Healthy Food, Fast Food, Indian, Desserts"/>
    <x v="4"/>
    <s v="Veg"/>
    <n v="3"/>
    <n v="139"/>
    <n v="417"/>
    <n v="4.0999999999999996"/>
    <n v="49"/>
    <n v="129"/>
    <n v="0"/>
    <x v="3"/>
    <n v="36"/>
    <s v="Male"/>
  </r>
  <r>
    <s v="SWG1193"/>
    <d v="2024-08-24T00:00:00"/>
    <x v="6"/>
    <s v="Sat"/>
    <s v="Lucky Restaurant (Since 1938)"/>
    <x v="24"/>
    <s v="Biryani, North Indian, Chinese, Mughlai, Seafood, Desserts, Tandoor, Punjabi, Indian"/>
    <x v="2"/>
    <s v="Non-Veg"/>
    <n v="1"/>
    <n v="513"/>
    <n v="513"/>
    <n v="4.0999999999999996"/>
    <n v="40"/>
    <n v="749"/>
    <n v="0"/>
    <x v="3"/>
    <n v="43"/>
    <s v="Female"/>
  </r>
  <r>
    <s v="SWG1194"/>
    <d v="2024-05-22T00:00:00"/>
    <x v="5"/>
    <s v="Wed"/>
    <s v="The Paratha House"/>
    <x v="2"/>
    <s v="North Indian, Indian"/>
    <x v="5"/>
    <s v="Veg"/>
    <n v="3"/>
    <n v="143"/>
    <n v="429"/>
    <n v="4.0999999999999996"/>
    <n v="47"/>
    <n v="100"/>
    <n v="50"/>
    <x v="1"/>
    <n v="45"/>
    <s v="Male"/>
  </r>
  <r>
    <s v="SWG1195"/>
    <d v="2024-06-19T00:00:00"/>
    <x v="1"/>
    <s v="Wed"/>
    <s v="Rabdi Wala"/>
    <x v="3"/>
    <s v="Desserts, Gujarati, Rajasthani, Snacks"/>
    <x v="4"/>
    <s v="Veg"/>
    <n v="4"/>
    <n v="346"/>
    <n v="1384"/>
    <n v="4.2"/>
    <n v="37"/>
    <m/>
    <n v="0"/>
    <x v="0"/>
    <n v="20"/>
    <s v="Female"/>
  </r>
  <r>
    <s v="SWG1196"/>
    <d v="2024-01-29T00:00:00"/>
    <x v="2"/>
    <s v="Mon"/>
    <s v="Ladu Samrat"/>
    <x v="0"/>
    <s v="Maharashtrian, Snacks, Street Food, Indian, Desserts, Chaat"/>
    <x v="4"/>
    <s v="Veg"/>
    <n v="2"/>
    <n v="273"/>
    <n v="546"/>
    <n v="4.3"/>
    <n v="43"/>
    <m/>
    <n v="0"/>
    <x v="2"/>
    <n v="31"/>
    <s v="Female"/>
  </r>
  <r>
    <s v="SWG1197"/>
    <d v="2024-02-05T00:00:00"/>
    <x v="7"/>
    <s v="Mon"/>
    <s v="Greens Restaurant"/>
    <x v="4"/>
    <s v="North Indian, Chinese, South Indian"/>
    <x v="5"/>
    <s v="Veg"/>
    <n v="3"/>
    <n v="412"/>
    <n v="1236"/>
    <n v="4.4000000000000004"/>
    <n v="54"/>
    <n v="599"/>
    <n v="0"/>
    <x v="2"/>
    <n v="25"/>
    <s v="Male"/>
  </r>
  <r>
    <s v="SWG1198"/>
    <d v="2024-01-13T00:00:00"/>
    <x v="2"/>
    <s v="Sat"/>
    <s v="Chocolateria San Churro"/>
    <x v="7"/>
    <s v="Desserts"/>
    <x v="4"/>
    <s v="Veg"/>
    <n v="3"/>
    <n v="349"/>
    <n v="1047"/>
    <n v="2.2000000000000002"/>
    <n v="39"/>
    <n v="449"/>
    <n v="0"/>
    <x v="1"/>
    <n v="41"/>
    <s v="Female"/>
  </r>
  <r>
    <s v="SWG1199"/>
    <d v="2024-06-08T00:00:00"/>
    <x v="1"/>
    <s v="Sat"/>
    <s v="The Churro Co."/>
    <x v="0"/>
    <s v="Desserts, Beverages, Waffle"/>
    <x v="4"/>
    <s v="Veg"/>
    <n v="4"/>
    <n v="588"/>
    <n v="2352"/>
    <n v="4.0999999999999996"/>
    <n v="38"/>
    <n v="999"/>
    <n v="0"/>
    <x v="2"/>
    <n v="44"/>
    <s v="Male"/>
  </r>
  <r>
    <s v="SWG1200"/>
    <d v="2024-03-11T00:00:00"/>
    <x v="3"/>
    <s v="Mon"/>
    <s v="The Dough Therapy"/>
    <x v="5"/>
    <s v="Pizzas, Pastas, Italian"/>
    <x v="1"/>
    <s v="Veg"/>
    <n v="3"/>
    <n v="429"/>
    <n v="1287"/>
    <n v="4.0999999999999996"/>
    <n v="39"/>
    <n v="799"/>
    <n v="0"/>
    <x v="2"/>
    <n v="45"/>
    <s v="Female"/>
  </r>
  <r>
    <s v="SWG1201"/>
    <d v="2024-07-05T00:00:00"/>
    <x v="4"/>
    <s v="Fri"/>
    <s v="Barbeque Nation"/>
    <x v="0"/>
    <s v="North Indian, Barbecue, Biryani, Kebabs, Mughlai, Desserts"/>
    <x v="2"/>
    <s v="Non-Veg"/>
    <n v="3"/>
    <n v="478"/>
    <n v="1434"/>
    <n v="4"/>
    <n v="45"/>
    <n v="80"/>
    <n v="40"/>
    <x v="0"/>
    <n v="18"/>
    <s v="Male"/>
  </r>
  <r>
    <s v="SWG1202"/>
    <d v="2024-03-26T00:00:00"/>
    <x v="3"/>
    <s v="Tue"/>
    <s v="Aromas Cafe &amp; Bistro"/>
    <x v="2"/>
    <s v="Continental, Italian, Lebanese, Beverages"/>
    <x v="3"/>
    <s v="Veg"/>
    <n v="4"/>
    <n v="524"/>
    <n v="2096"/>
    <n v="4.2"/>
    <n v="50"/>
    <n v="249"/>
    <n v="0"/>
    <x v="0"/>
    <n v="27"/>
    <s v="Female"/>
  </r>
  <r>
    <s v="SWG1203"/>
    <d v="2024-01-28T00:00:00"/>
    <x v="2"/>
    <s v="Sun"/>
    <s v="Chai Pe Charcha"/>
    <x v="5"/>
    <s v="Beverages"/>
    <x v="3"/>
    <s v="Veg"/>
    <n v="1"/>
    <n v="321"/>
    <n v="321"/>
    <n v="4"/>
    <n v="40"/>
    <n v="100"/>
    <n v="20"/>
    <x v="1"/>
    <n v="35"/>
    <s v="Male"/>
  </r>
  <r>
    <s v="SWG1204"/>
    <d v="2024-03-06T00:00:00"/>
    <x v="3"/>
    <s v="Wed"/>
    <s v="Cremure"/>
    <x v="4"/>
    <s v="Bakery, Desserts, Waffle, Beverages"/>
    <x v="4"/>
    <s v="Veg"/>
    <n v="4"/>
    <n v="157"/>
    <n v="628"/>
    <n v="4.5"/>
    <n v="38"/>
    <n v="449"/>
    <n v="0"/>
    <x v="0"/>
    <n v="33"/>
    <s v="Female"/>
  </r>
  <r>
    <s v="SWG1205"/>
    <d v="2024-06-18T00:00:00"/>
    <x v="1"/>
    <s v="Tue"/>
    <s v="EatFit"/>
    <x v="23"/>
    <s v="Chinese, Healthy Food, Tandoor, Pizzas, North Indian, Thalis, Biryani"/>
    <x v="1"/>
    <s v="Non-Veg"/>
    <n v="1"/>
    <n v="549"/>
    <n v="549"/>
    <n v="4.2"/>
    <n v="39"/>
    <n v="179"/>
    <n v="0"/>
    <x v="1"/>
    <n v="25"/>
    <s v="Female"/>
  </r>
  <r>
    <s v="SWG1206"/>
    <d v="2024-02-14T00:00:00"/>
    <x v="7"/>
    <s v="Wed"/>
    <s v="Biryani Can - Pure Veg Biryanis"/>
    <x v="5"/>
    <s v="Biryani"/>
    <x v="2"/>
    <s v="Non-Veg"/>
    <n v="2"/>
    <n v="379"/>
    <n v="758"/>
    <n v="3.9"/>
    <n v="37"/>
    <n v="599"/>
    <n v="0"/>
    <x v="3"/>
    <n v="18"/>
    <s v="Female"/>
  </r>
  <r>
    <s v="SWG1207"/>
    <d v="2024-03-02T00:00:00"/>
    <x v="3"/>
    <s v="Sat"/>
    <s v="Cheelizza - India ka Pizza"/>
    <x v="5"/>
    <s v="Pizzas, Italian, Fast Food"/>
    <x v="1"/>
    <s v="Veg"/>
    <n v="1"/>
    <n v="307"/>
    <n v="307"/>
    <n v="4.2"/>
    <n v="39"/>
    <n v="699"/>
    <n v="0"/>
    <x v="1"/>
    <n v="48"/>
    <s v="Male"/>
  </r>
  <r>
    <s v="SWG1208"/>
    <d v="2024-07-03T00:00:00"/>
    <x v="4"/>
    <s v="Wed"/>
    <s v="Bake Ur Day - Freshest Cakes"/>
    <x v="3"/>
    <s v="Desserts, Bakery, Cakes and Pastries, Beverages"/>
    <x v="4"/>
    <s v="Veg"/>
    <n v="1"/>
    <n v="176"/>
    <n v="176"/>
    <n v="3.7"/>
    <n v="39"/>
    <n v="449"/>
    <n v="0"/>
    <x v="3"/>
    <n v="29"/>
    <s v="Male"/>
  </r>
  <r>
    <s v="SWG1209"/>
    <d v="2024-05-13T00:00:00"/>
    <x v="5"/>
    <s v="Mon"/>
    <s v="Radha Krishna"/>
    <x v="7"/>
    <s v="Indian"/>
    <x v="5"/>
    <s v="Veg"/>
    <n v="2"/>
    <n v="548"/>
    <n v="1096"/>
    <n v="3.8"/>
    <n v="38"/>
    <m/>
    <n v="0"/>
    <x v="1"/>
    <n v="25"/>
    <s v="Female"/>
  </r>
  <r>
    <s v="SWG1210"/>
    <d v="2024-01-28T00:00:00"/>
    <x v="2"/>
    <s v="Sun"/>
    <s v="Amar Juice Center"/>
    <x v="3"/>
    <s v="Street Food, Beverages, South Indian"/>
    <x v="3"/>
    <s v="Veg"/>
    <n v="1"/>
    <n v="139"/>
    <n v="139"/>
    <n v="4.4000000000000004"/>
    <n v="37"/>
    <m/>
    <n v="0"/>
    <x v="2"/>
    <n v="41"/>
    <s v="Male"/>
  </r>
  <r>
    <s v="SWG1211"/>
    <d v="2024-01-28T00:00:00"/>
    <x v="2"/>
    <s v="Sun"/>
    <s v="MM Mithaiwala"/>
    <x v="4"/>
    <s v="Sweets, Snacks, Desserts, Beverages"/>
    <x v="4"/>
    <s v="Veg"/>
    <n v="4"/>
    <n v="392"/>
    <n v="1568"/>
    <n v="4.4000000000000004"/>
    <n v="42"/>
    <n v="800"/>
    <n v="15"/>
    <x v="0"/>
    <n v="33"/>
    <s v="Female"/>
  </r>
  <r>
    <s v="SWG1212"/>
    <d v="2024-04-17T00:00:00"/>
    <x v="0"/>
    <s v="Wed"/>
    <s v="Haldiram's Restaurant"/>
    <x v="2"/>
    <s v="Snacks, South Indian, Desserts, Beverages"/>
    <x v="4"/>
    <s v="Veg"/>
    <n v="1"/>
    <n v="238"/>
    <n v="238"/>
    <n v="4.3"/>
    <n v="38"/>
    <n v="100"/>
    <n v="50"/>
    <x v="3"/>
    <n v="35"/>
    <s v="Male"/>
  </r>
  <r>
    <s v="SWG1213"/>
    <d v="2024-02-13T00:00:00"/>
    <x v="7"/>
    <s v="Tue"/>
    <s v="Taco Bell"/>
    <x v="0"/>
    <s v="Mexican"/>
    <x v="5"/>
    <s v="Veg"/>
    <n v="2"/>
    <n v="190"/>
    <n v="380"/>
    <n v="4"/>
    <n v="49"/>
    <n v="100"/>
    <n v="50"/>
    <x v="1"/>
    <n v="21"/>
    <s v="Female"/>
  </r>
  <r>
    <s v="SWG1214"/>
    <d v="2024-03-24T00:00:00"/>
    <x v="3"/>
    <s v="Sun"/>
    <s v="Wow! Momo"/>
    <x v="22"/>
    <s v="Tibetan, Healthy Food, Asian, Chinese, Snacks, Continental, Desserts, Beverages"/>
    <x v="4"/>
    <s v="Veg"/>
    <n v="4"/>
    <n v="123"/>
    <n v="492"/>
    <n v="4.0999999999999996"/>
    <n v="45"/>
    <n v="599"/>
    <n v="0"/>
    <x v="0"/>
    <n v="23"/>
    <s v="Male"/>
  </r>
  <r>
    <s v="SWG1215"/>
    <d v="2024-01-30T00:00:00"/>
    <x v="2"/>
    <s v="Tue"/>
    <s v="Bangalore Iyangar's Bakery"/>
    <x v="5"/>
    <s v="Bakery, Desserts, Snacks"/>
    <x v="4"/>
    <s v="Veg"/>
    <n v="2"/>
    <n v="340"/>
    <n v="680"/>
    <n v="4.9000000000000004"/>
    <n v="47"/>
    <m/>
    <n v="0"/>
    <x v="1"/>
    <n v="29"/>
    <s v="Female"/>
  </r>
  <r>
    <s v="SWG1216"/>
    <d v="2024-07-08T00:00:00"/>
    <x v="4"/>
    <s v="Mon"/>
    <s v="Dum Safar Biryani by Barbeque Nation"/>
    <x v="25"/>
    <s v="Biryani, Kebabs, Tandoor, Indian, Desserts"/>
    <x v="2"/>
    <s v="Non-Veg"/>
    <n v="2"/>
    <n v="133"/>
    <n v="266"/>
    <n v="4.3"/>
    <n v="48"/>
    <n v="80"/>
    <n v="40"/>
    <x v="0"/>
    <n v="44"/>
    <s v="Female"/>
  </r>
  <r>
    <s v="SWG1217"/>
    <d v="2024-03-15T00:00:00"/>
    <x v="3"/>
    <s v="Fri"/>
    <s v="Wow! China"/>
    <x v="26"/>
    <s v="Tibetan, Healthy Food, Asian, Chinese, Snacks, Continental, Desserts, Beverages"/>
    <x v="4"/>
    <s v="Veg"/>
    <n v="3"/>
    <n v="122"/>
    <n v="366"/>
    <n v="4.0999999999999996"/>
    <n v="43"/>
    <n v="120"/>
    <n v="60"/>
    <x v="0"/>
    <n v="26"/>
    <s v="Female"/>
  </r>
  <r>
    <s v="SWG1218"/>
    <d v="2024-05-07T00:00:00"/>
    <x v="5"/>
    <s v="Tue"/>
    <s v="Malgudi"/>
    <x v="0"/>
    <s v="South Indian, Mangalorean, Andhra, Snacks, Healthy Food"/>
    <x v="5"/>
    <s v="Veg"/>
    <n v="3"/>
    <n v="335"/>
    <n v="1005"/>
    <n v="4.0999999999999996"/>
    <n v="37"/>
    <n v="249"/>
    <n v="0"/>
    <x v="1"/>
    <n v="32"/>
    <s v="Female"/>
  </r>
  <r>
    <s v="SWG1219"/>
    <d v="2024-04-01T00:00:00"/>
    <x v="0"/>
    <s v="Mon"/>
    <s v="Oye Kiddan"/>
    <x v="3"/>
    <s v="North Indian"/>
    <x v="5"/>
    <s v="Veg"/>
    <n v="2"/>
    <n v="348"/>
    <n v="696"/>
    <n v="3.9"/>
    <n v="43"/>
    <n v="449"/>
    <n v="0"/>
    <x v="3"/>
    <n v="33"/>
    <s v="Male"/>
  </r>
  <r>
    <s v="SWG1220"/>
    <d v="2024-08-04T00:00:00"/>
    <x v="6"/>
    <s v="Sun"/>
    <s v="Sbarro - New York Pizza"/>
    <x v="0"/>
    <s v="Italian, Pizzas, Desserts, Beverages"/>
    <x v="1"/>
    <s v="Veg"/>
    <n v="2"/>
    <n v="455"/>
    <n v="910"/>
    <n v="3.9"/>
    <n v="38"/>
    <n v="299"/>
    <n v="0"/>
    <x v="3"/>
    <n v="41"/>
    <s v="Female"/>
  </r>
  <r>
    <s v="SWG1221"/>
    <d v="2024-08-18T00:00:00"/>
    <x v="6"/>
    <s v="Sun"/>
    <s v="Cookie Man"/>
    <x v="0"/>
    <s v="Desserts, Ice Cream, Bakery"/>
    <x v="4"/>
    <s v="Veg"/>
    <n v="2"/>
    <n v="305"/>
    <n v="610"/>
    <n v="4.4000000000000004"/>
    <n v="37"/>
    <n v="80"/>
    <n v="40"/>
    <x v="2"/>
    <n v="29"/>
    <s v="Male"/>
  </r>
  <r>
    <s v="SWG1222"/>
    <d v="2024-07-08T00:00:00"/>
    <x v="4"/>
    <s v="Mon"/>
    <s v="Pop Tate's"/>
    <x v="0"/>
    <s v="Continental, Italian, European, Mexican"/>
    <x v="5"/>
    <s v="Veg"/>
    <n v="3"/>
    <n v="174"/>
    <n v="522"/>
    <n v="4.2"/>
    <n v="37"/>
    <n v="50"/>
    <n v="20"/>
    <x v="0"/>
    <n v="48"/>
    <s v="Male"/>
  </r>
  <r>
    <s v="SWG1223"/>
    <d v="2024-08-12T00:00:00"/>
    <x v="6"/>
    <s v="Mon"/>
    <s v="Shiv Sagar"/>
    <x v="27"/>
    <s v="Indian, Continental, Chinese"/>
    <x v="5"/>
    <s v="Veg"/>
    <n v="3"/>
    <n v="507"/>
    <n v="1521"/>
    <n v="4.3"/>
    <n v="38"/>
    <n v="600"/>
    <n v="10"/>
    <x v="2"/>
    <n v="41"/>
    <s v="Female"/>
  </r>
  <r>
    <s v="SWG1224"/>
    <d v="2024-05-08T00:00:00"/>
    <x v="5"/>
    <s v="Wed"/>
    <s v="Urban Tadka"/>
    <x v="0"/>
    <s v="North Indian, Mughlai"/>
    <x v="5"/>
    <s v="Veg"/>
    <n v="1"/>
    <n v="495"/>
    <n v="495"/>
    <n v="4.3"/>
    <n v="43"/>
    <n v="50"/>
    <n v="20"/>
    <x v="2"/>
    <n v="40"/>
    <s v="Male"/>
  </r>
  <r>
    <s v="SWG1225"/>
    <d v="2024-04-30T00:00:00"/>
    <x v="0"/>
    <s v="Tue"/>
    <s v="Uncle's Kitchen (Since 1987)"/>
    <x v="4"/>
    <s v="Chinese, Asian, Thai"/>
    <x v="5"/>
    <s v="Veg"/>
    <n v="1"/>
    <n v="373"/>
    <n v="373"/>
    <n v="4.4000000000000004"/>
    <n v="42"/>
    <n v="1000"/>
    <n v="15"/>
    <x v="1"/>
    <n v="31"/>
    <s v="Male"/>
  </r>
  <r>
    <s v="SWG1226"/>
    <d v="2024-01-27T00:00:00"/>
    <x v="2"/>
    <s v="Sat"/>
    <s v="Bikaji Food Junxon"/>
    <x v="4"/>
    <s v="Sweets, Snacks"/>
    <x v="5"/>
    <s v="Veg"/>
    <n v="2"/>
    <n v="143"/>
    <n v="286"/>
    <n v="4.5999999999999996"/>
    <n v="46"/>
    <n v="999"/>
    <n v="0"/>
    <x v="1"/>
    <n v="30"/>
    <s v="Male"/>
  </r>
  <r>
    <s v="SWG1227"/>
    <d v="2024-07-08T00:00:00"/>
    <x v="4"/>
    <s v="Mon"/>
    <s v="Rajubhai Dhoklawala"/>
    <x v="7"/>
    <s v="Sweets, Desserts, Gujarati, Snacks"/>
    <x v="4"/>
    <s v="Veg"/>
    <n v="4"/>
    <n v="281"/>
    <n v="1124"/>
    <n v="4.5"/>
    <n v="40"/>
    <m/>
    <n v="0"/>
    <x v="1"/>
    <n v="42"/>
    <s v="Female"/>
  </r>
  <r>
    <s v="SWG1228"/>
    <d v="2024-04-30T00:00:00"/>
    <x v="0"/>
    <s v="Tue"/>
    <s v="Deepak (Borivali)"/>
    <x v="3"/>
    <s v="Indian, Chinese, South Indian, Snacks"/>
    <x v="5"/>
    <s v="Veg"/>
    <n v="4"/>
    <n v="277"/>
    <n v="1108"/>
    <n v="4.5"/>
    <n v="38"/>
    <m/>
    <n v="0"/>
    <x v="0"/>
    <n v="48"/>
    <s v="Male"/>
  </r>
  <r>
    <s v="SWG1229"/>
    <d v="2024-04-25T00:00:00"/>
    <x v="0"/>
    <s v="Thu"/>
    <s v="Godwa"/>
    <x v="28"/>
    <s v="American, Beverages, Thalis"/>
    <x v="3"/>
    <s v="Veg"/>
    <n v="3"/>
    <n v="201"/>
    <n v="603"/>
    <n v="4.4000000000000004"/>
    <n v="39"/>
    <n v="600"/>
    <n v="10"/>
    <x v="1"/>
    <n v="19"/>
    <s v="Male"/>
  </r>
  <r>
    <s v="SWG1230"/>
    <d v="2024-07-23T00:00:00"/>
    <x v="4"/>
    <s v="Tue"/>
    <s v="Radha Krishna (Borivali)"/>
    <x v="3"/>
    <s v="Indian, Chinese, South Indian, Mexican, Italian"/>
    <x v="5"/>
    <s v="Veg"/>
    <n v="3"/>
    <n v="522"/>
    <n v="1566"/>
    <n v="4.4000000000000004"/>
    <n v="39"/>
    <m/>
    <n v="0"/>
    <x v="1"/>
    <n v="20"/>
    <s v="Female"/>
  </r>
  <r>
    <s v="SWG1231"/>
    <d v="2024-08-20T00:00:00"/>
    <x v="6"/>
    <s v="Tue"/>
    <s v="Tulsi Vihar"/>
    <x v="5"/>
    <s v="North Indian, Chinese, South Indian, Beverages"/>
    <x v="3"/>
    <s v="Veg"/>
    <n v="3"/>
    <n v="278"/>
    <n v="834"/>
    <n v="4.2"/>
    <n v="42"/>
    <n v="999"/>
    <n v="0"/>
    <x v="0"/>
    <n v="43"/>
    <s v="Female"/>
  </r>
  <r>
    <s v="SWG1232"/>
    <d v="2024-01-03T00:00:00"/>
    <x v="2"/>
    <s v="Wed"/>
    <s v="Smokin Curries"/>
    <x v="11"/>
    <s v="Biryani, Indian, North Indian, Tandoor, Kebabs, Fast Food, Desserts, Beverages"/>
    <x v="2"/>
    <s v="Non-Veg"/>
    <n v="2"/>
    <n v="307"/>
    <n v="614"/>
    <n v="4.2"/>
    <n v="54"/>
    <m/>
    <n v="0"/>
    <x v="0"/>
    <n v="41"/>
    <s v="Male"/>
  </r>
  <r>
    <s v="SWG1233"/>
    <d v="2024-04-12T00:00:00"/>
    <x v="0"/>
    <s v="Fri"/>
    <s v="The Food Studio Kitchen &amp; Bar"/>
    <x v="4"/>
    <s v="North Indian, Continental, Asian, Punjabi, Chinese, Italian, Mughlai"/>
    <x v="5"/>
    <s v="Veg"/>
    <n v="4"/>
    <n v="179"/>
    <n v="716"/>
    <n v="4.4000000000000004"/>
    <n v="56"/>
    <m/>
    <n v="0"/>
    <x v="3"/>
    <n v="47"/>
    <s v="Female"/>
  </r>
  <r>
    <s v="SWG1234"/>
    <d v="2024-07-16T00:00:00"/>
    <x v="4"/>
    <s v="Tue"/>
    <s v="Bhavesh Chinese"/>
    <x v="3"/>
    <s v="Chinese, Indian"/>
    <x v="5"/>
    <s v="Veg"/>
    <n v="1"/>
    <n v="522"/>
    <n v="522"/>
    <n v="4.2"/>
    <n v="43"/>
    <m/>
    <n v="0"/>
    <x v="1"/>
    <n v="39"/>
    <s v="Male"/>
  </r>
  <r>
    <s v="SWG1235"/>
    <d v="2024-07-18T00:00:00"/>
    <x v="4"/>
    <s v="Thu"/>
    <s v="Spukies - The Veg Sigree"/>
    <x v="9"/>
    <s v="North Indian, Jain, Chinese, South Indian"/>
    <x v="5"/>
    <s v="Veg"/>
    <n v="2"/>
    <n v="424"/>
    <n v="848"/>
    <n v="4.3"/>
    <n v="46"/>
    <m/>
    <n v="0"/>
    <x v="1"/>
    <n v="27"/>
    <s v="Male"/>
  </r>
  <r>
    <s v="SWG1236"/>
    <d v="2024-06-03T00:00:00"/>
    <x v="1"/>
    <s v="Mon"/>
    <s v="Agri Malhari Katta"/>
    <x v="7"/>
    <s v="Indian, Chinese"/>
    <x v="5"/>
    <s v="Veg"/>
    <n v="1"/>
    <n v="438"/>
    <n v="438"/>
    <n v="4.3"/>
    <n v="50"/>
    <m/>
    <n v="0"/>
    <x v="1"/>
    <n v="26"/>
    <s v="Male"/>
  </r>
  <r>
    <s v="SWG1237"/>
    <d v="2024-05-16T00:00:00"/>
    <x v="5"/>
    <s v="Thu"/>
    <s v="Zaika Fun Dining | Club Aquaria"/>
    <x v="3"/>
    <s v="North Indian, Chinese, Biryani, Continental"/>
    <x v="2"/>
    <s v="Non-Veg"/>
    <n v="1"/>
    <n v="485"/>
    <n v="485"/>
    <n v="4.3"/>
    <n v="44"/>
    <n v="449"/>
    <n v="0"/>
    <x v="3"/>
    <n v="43"/>
    <s v="Female"/>
  </r>
  <r>
    <s v="SWG1238"/>
    <d v="2024-03-02T00:00:00"/>
    <x v="3"/>
    <s v="Sat"/>
    <s v="Pishu's - Drink Your Fruit"/>
    <x v="4"/>
    <s v="Juices, Beverages, Healthy Food"/>
    <x v="3"/>
    <s v="Veg"/>
    <n v="2"/>
    <n v="330"/>
    <n v="660"/>
    <n v="4.4000000000000004"/>
    <n v="55"/>
    <n v="399"/>
    <n v="0"/>
    <x v="1"/>
    <n v="37"/>
    <s v="Male"/>
  </r>
  <r>
    <s v="SWG1239"/>
    <d v="2024-06-13T00:00:00"/>
    <x v="1"/>
    <s v="Thu"/>
    <s v="Madhuram Sweets &amp; Chaat"/>
    <x v="29"/>
    <s v="Desserts"/>
    <x v="4"/>
    <s v="Veg"/>
    <n v="1"/>
    <n v="525"/>
    <n v="525"/>
    <n v="4.5999999999999996"/>
    <n v="46"/>
    <n v="999"/>
    <n v="0"/>
    <x v="3"/>
    <n v="49"/>
    <s v="Female"/>
  </r>
  <r>
    <s v="SWG1240"/>
    <d v="2024-08-12T00:00:00"/>
    <x v="6"/>
    <s v="Mon"/>
    <s v="Cosway"/>
    <x v="30"/>
    <s v="Chinese, North Indian, Indian"/>
    <x v="5"/>
    <s v="Veg"/>
    <n v="4"/>
    <n v="271"/>
    <n v="1084"/>
    <n v="4.0999999999999996"/>
    <n v="51"/>
    <n v="449"/>
    <n v="0"/>
    <x v="2"/>
    <n v="25"/>
    <s v="Female"/>
  </r>
  <r>
    <s v="SWG1241"/>
    <d v="2024-02-20T00:00:00"/>
    <x v="7"/>
    <s v="Tue"/>
    <s v="Kansar Pure Veg Thali"/>
    <x v="31"/>
    <s v="Thalis"/>
    <x v="5"/>
    <s v="Veg"/>
    <n v="1"/>
    <n v="228"/>
    <n v="228"/>
    <n v="4.0999999999999996"/>
    <n v="44"/>
    <n v="800"/>
    <n v="15"/>
    <x v="3"/>
    <n v="27"/>
    <s v="Male"/>
  </r>
  <r>
    <s v="SWG1242"/>
    <d v="2024-08-21T00:00:00"/>
    <x v="6"/>
    <s v="Wed"/>
    <s v="Jain SubKuchh Food Plaza"/>
    <x v="4"/>
    <s v="Street Food, North Indian, Chinese, Desserts, South Indian"/>
    <x v="4"/>
    <s v="Veg"/>
    <n v="4"/>
    <n v="195"/>
    <n v="780"/>
    <n v="4.3"/>
    <n v="52"/>
    <n v="449"/>
    <n v="0"/>
    <x v="2"/>
    <n v="36"/>
    <s v="Female"/>
  </r>
  <r>
    <s v="SWG1243"/>
    <d v="2024-06-20T00:00:00"/>
    <x v="1"/>
    <s v="Thu"/>
    <s v="Pangat (Gorai)"/>
    <x v="3"/>
    <s v="Indian, Chinese, Malwani, Seafood, Kebabs, Biryani, Maharashtrian"/>
    <x v="2"/>
    <s v="Non-Veg"/>
    <n v="4"/>
    <n v="149"/>
    <n v="596"/>
    <n v="4.4000000000000004"/>
    <n v="40"/>
    <m/>
    <n v="0"/>
    <x v="1"/>
    <n v="20"/>
    <s v="Female"/>
  </r>
  <r>
    <s v="SWG1244"/>
    <d v="2024-05-31T00:00:00"/>
    <x v="5"/>
    <s v="Fri"/>
    <s v="Shenoy's"/>
    <x v="19"/>
    <s v="Fast Food, Snacks, Chinese, Chaat"/>
    <x v="5"/>
    <s v="Veg"/>
    <n v="4"/>
    <n v="433"/>
    <n v="1732"/>
    <n v="4.0999999999999996"/>
    <n v="48"/>
    <m/>
    <n v="0"/>
    <x v="2"/>
    <n v="41"/>
    <s v="Female"/>
  </r>
  <r>
    <s v="SWG1245"/>
    <d v="2024-07-25T00:00:00"/>
    <x v="4"/>
    <s v="Thu"/>
    <s v="Surmai Restaurant"/>
    <x v="4"/>
    <s v="Seafood, Indian, Chinese"/>
    <x v="5"/>
    <s v="Veg"/>
    <n v="3"/>
    <n v="236"/>
    <n v="708"/>
    <n v="4.3"/>
    <n v="47"/>
    <n v="449"/>
    <n v="0"/>
    <x v="3"/>
    <n v="22"/>
    <s v="Female"/>
  </r>
  <r>
    <s v="SWG1246"/>
    <d v="2024-02-28T00:00:00"/>
    <x v="7"/>
    <s v="Wed"/>
    <s v="Qutuz Irani Cafe"/>
    <x v="32"/>
    <s v="Fast Food"/>
    <x v="5"/>
    <s v="Veg"/>
    <n v="1"/>
    <n v="534"/>
    <n v="534"/>
    <n v="4.3"/>
    <n v="51"/>
    <m/>
    <n v="0"/>
    <x v="0"/>
    <n v="20"/>
    <s v="Female"/>
  </r>
  <r>
    <s v="SWG1247"/>
    <d v="2024-04-27T00:00:00"/>
    <x v="0"/>
    <s v="Sat"/>
    <s v="Anda Apna Apna"/>
    <x v="4"/>
    <s v="Fast Food"/>
    <x v="5"/>
    <s v="Veg"/>
    <n v="2"/>
    <n v="475"/>
    <n v="950"/>
    <n v="4.5"/>
    <n v="52"/>
    <n v="449"/>
    <n v="0"/>
    <x v="2"/>
    <n v="43"/>
    <s v="Male"/>
  </r>
  <r>
    <s v="SWG1248"/>
    <d v="2024-06-08T00:00:00"/>
    <x v="1"/>
    <s v="Sat"/>
    <s v="Shreeji Pure Veg"/>
    <x v="19"/>
    <s v="Indian, South Indian, Chinese, Desserts, Beverages"/>
    <x v="4"/>
    <s v="Veg"/>
    <n v="2"/>
    <n v="311"/>
    <n v="622"/>
    <n v="4.5"/>
    <n v="49"/>
    <m/>
    <n v="0"/>
    <x v="2"/>
    <n v="44"/>
    <s v="Female"/>
  </r>
  <r>
    <s v="SWG1249"/>
    <d v="2024-04-05T00:00:00"/>
    <x v="0"/>
    <s v="Fri"/>
    <s v="Sai Veg World"/>
    <x v="24"/>
    <s v="Indian, Chinese"/>
    <x v="5"/>
    <s v="Veg"/>
    <n v="1"/>
    <n v="138"/>
    <n v="138"/>
    <n v="4.3"/>
    <n v="50"/>
    <n v="449"/>
    <n v="0"/>
    <x v="1"/>
    <n v="33"/>
    <s v="Male"/>
  </r>
  <r>
    <s v="SWG1250"/>
    <d v="2024-08-03T00:00:00"/>
    <x v="6"/>
    <s v="Sat"/>
    <s v="Baba Falooda"/>
    <x v="33"/>
    <s v="Desserts"/>
    <x v="4"/>
    <s v="Veg"/>
    <n v="3"/>
    <n v="551"/>
    <n v="1653"/>
    <n v="4.5"/>
    <n v="40"/>
    <m/>
    <n v="0"/>
    <x v="3"/>
    <n v="34"/>
    <s v="Male"/>
  </r>
  <r>
    <s v="SWG1251"/>
    <d v="2024-08-20T00:00:00"/>
    <x v="6"/>
    <s v="Tue"/>
    <s v="Persia Darbar"/>
    <x v="24"/>
    <s v="North Indian, Biryani, Chinese, Arabian, Mughlai"/>
    <x v="2"/>
    <s v="Non-Veg"/>
    <n v="3"/>
    <n v="292"/>
    <n v="876"/>
    <n v="4.3"/>
    <n v="44"/>
    <n v="799"/>
    <n v="0"/>
    <x v="2"/>
    <n v="32"/>
    <s v="Male"/>
  </r>
  <r>
    <s v="SWG1252"/>
    <d v="2024-06-28T00:00:00"/>
    <x v="1"/>
    <s v="Fri"/>
    <s v="CakeZone"/>
    <x v="21"/>
    <s v="Bakery, Desserts, Sweets, Ice Cream"/>
    <x v="4"/>
    <s v="Veg"/>
    <n v="4"/>
    <n v="347"/>
    <n v="1388"/>
    <n v="4.2"/>
    <n v="37"/>
    <n v="399"/>
    <n v="0"/>
    <x v="2"/>
    <n v="20"/>
    <s v="Male"/>
  </r>
  <r>
    <s v="SWG1253"/>
    <d v="2024-04-22T00:00:00"/>
    <x v="0"/>
    <s v="Mon"/>
    <s v="Bikkgane Biryani"/>
    <x v="11"/>
    <s v="Biryani, Hyderabadi, Andhra, South Indian, North Indian, Mughlai, Kebabs"/>
    <x v="2"/>
    <s v="Non-Veg"/>
    <n v="1"/>
    <n v="469"/>
    <n v="469"/>
    <n v="4.0999999999999996"/>
    <n v="54"/>
    <n v="449"/>
    <n v="0"/>
    <x v="2"/>
    <n v="29"/>
    <s v="Male"/>
  </r>
  <r>
    <s v="SWG1254"/>
    <d v="2024-03-02T00:00:00"/>
    <x v="3"/>
    <s v="Sat"/>
    <s v="Chai Point"/>
    <x v="4"/>
    <s v="Bakery, Beverages, Maharashtrian, Snacks, Street Food, South Indian, Punjabi, Chaat, Indian, American, North Indian, Fast Food, Desserts, Cafe, Healthy Food, Home Food"/>
    <x v="4"/>
    <s v="Veg"/>
    <n v="1"/>
    <n v="302"/>
    <n v="302"/>
    <n v="4.3"/>
    <n v="52"/>
    <n v="125"/>
    <n v="25"/>
    <x v="2"/>
    <n v="26"/>
    <s v="Male"/>
  </r>
  <r>
    <s v="SWG1255"/>
    <d v="2024-07-04T00:00:00"/>
    <x v="4"/>
    <s v="Thu"/>
    <s v="Biryani By Kilo"/>
    <x v="4"/>
    <s v="Biryani, Hyderabadi, North Indian, Kebabs, Mughlai, Desserts"/>
    <x v="2"/>
    <s v="Non-Veg"/>
    <n v="2"/>
    <n v="232"/>
    <n v="464"/>
    <n v="4.0999999999999996"/>
    <n v="70"/>
    <n v="1999"/>
    <n v="0"/>
    <x v="0"/>
    <n v="38"/>
    <s v="Female"/>
  </r>
  <r>
    <s v="SWG1256"/>
    <d v="2024-02-21T00:00:00"/>
    <x v="7"/>
    <s v="Wed"/>
    <s v="Curry Mantra"/>
    <x v="29"/>
    <s v="Indian, Chinese, Tandoor, Biryani, Mangalorean, Malwani, Kerala, Goan, Chettinad, Mughlai, Seafood"/>
    <x v="2"/>
    <s v="Non-Veg"/>
    <n v="1"/>
    <n v="302"/>
    <n v="302"/>
    <n v="4.3"/>
    <n v="39"/>
    <m/>
    <n v="0"/>
    <x v="3"/>
    <n v="29"/>
    <s v="Female"/>
  </r>
  <r>
    <s v="SWG1257"/>
    <d v="2024-01-12T00:00:00"/>
    <x v="2"/>
    <s v="Fri"/>
    <s v="Oye Teri - The Kulcha Kulture"/>
    <x v="7"/>
    <s v="Indian"/>
    <x v="5"/>
    <s v="Veg"/>
    <n v="3"/>
    <n v="265"/>
    <n v="795"/>
    <n v="4.2"/>
    <n v="39"/>
    <m/>
    <n v="0"/>
    <x v="1"/>
    <n v="43"/>
    <s v="Female"/>
  </r>
  <r>
    <s v="SWG1258"/>
    <d v="2024-02-08T00:00:00"/>
    <x v="7"/>
    <s v="Thu"/>
    <s v="Noorani Restaurant"/>
    <x v="22"/>
    <s v="Chinese, North Indian"/>
    <x v="5"/>
    <s v="Veg"/>
    <n v="1"/>
    <n v="438"/>
    <n v="438"/>
    <n v="4.0999999999999996"/>
    <n v="39"/>
    <n v="599"/>
    <n v="0"/>
    <x v="1"/>
    <n v="32"/>
    <s v="Male"/>
  </r>
  <r>
    <s v="SWG1259"/>
    <d v="2024-05-09T00:00:00"/>
    <x v="5"/>
    <s v="Thu"/>
    <s v="Cheesecake &amp; Co."/>
    <x v="19"/>
    <s v="Bakery, Desserts"/>
    <x v="4"/>
    <s v="Veg"/>
    <n v="2"/>
    <n v="235"/>
    <n v="470"/>
    <n v="4.2"/>
    <n v="40"/>
    <n v="399"/>
    <n v="0"/>
    <x v="0"/>
    <n v="19"/>
    <s v="Female"/>
  </r>
  <r>
    <s v="SWG1260"/>
    <d v="2024-05-10T00:00:00"/>
    <x v="5"/>
    <s v="Fri"/>
    <s v="Smoor"/>
    <x v="34"/>
    <s v="Desserts, Bakery, Beverages"/>
    <x v="4"/>
    <s v="Veg"/>
    <n v="4"/>
    <n v="232"/>
    <n v="928"/>
    <n v="4.3"/>
    <n v="39"/>
    <n v="899"/>
    <n v="0"/>
    <x v="3"/>
    <n v="40"/>
    <s v="Female"/>
  </r>
  <r>
    <s v="SWG1261"/>
    <d v="2024-04-22T00:00:00"/>
    <x v="0"/>
    <s v="Mon"/>
    <s v="HRX by EatFit"/>
    <x v="23"/>
    <s v="Healthy Food, Salads, Keto"/>
    <x v="5"/>
    <s v="Veg"/>
    <n v="2"/>
    <n v="370"/>
    <n v="740"/>
    <n v="4.4000000000000004"/>
    <n v="38"/>
    <n v="199"/>
    <n v="0"/>
    <x v="2"/>
    <n v="48"/>
    <s v="Female"/>
  </r>
  <r>
    <s v="SWG1262"/>
    <d v="2024-04-10T00:00:00"/>
    <x v="0"/>
    <s v="Wed"/>
    <s v="Shahi Darbar"/>
    <x v="11"/>
    <s v="Beverages, Desserts, Ice Cream"/>
    <x v="4"/>
    <s v="Veg"/>
    <n v="2"/>
    <n v="595"/>
    <n v="1190"/>
    <m/>
    <m/>
    <m/>
    <n v="0"/>
    <x v="0"/>
    <n v="35"/>
    <s v="Male"/>
  </r>
  <r>
    <s v="SWG1263"/>
    <d v="2024-04-22T00:00:00"/>
    <x v="0"/>
    <s v="Mon"/>
    <s v="Gomantak"/>
    <x v="29"/>
    <s v="Indian, Seafood, Tandoor, Malwani, Chinese"/>
    <x v="5"/>
    <s v="Veg"/>
    <n v="4"/>
    <n v="370"/>
    <n v="1480"/>
    <n v="4.2"/>
    <n v="53"/>
    <n v="125"/>
    <n v="25"/>
    <x v="3"/>
    <n v="37"/>
    <s v="Female"/>
  </r>
  <r>
    <s v="SWG1264"/>
    <d v="2024-07-02T00:00:00"/>
    <x v="4"/>
    <s v="Tue"/>
    <s v="Cafe Heaven"/>
    <x v="4"/>
    <s v="Mughlai, Chinese, Tandoor, Indian"/>
    <x v="5"/>
    <s v="Veg"/>
    <n v="2"/>
    <n v="422"/>
    <n v="844"/>
    <n v="4.0999999999999996"/>
    <n v="44"/>
    <n v="599"/>
    <n v="0"/>
    <x v="2"/>
    <n v="29"/>
    <s v="Male"/>
  </r>
  <r>
    <s v="SWG1265"/>
    <d v="2024-03-21T00:00:00"/>
    <x v="3"/>
    <s v="Thu"/>
    <s v="Landmark Restaurant Veg Diet"/>
    <x v="11"/>
    <s v="North Indian, Chinese, Continental, Beverages"/>
    <x v="3"/>
    <s v="Veg"/>
    <n v="2"/>
    <n v="578"/>
    <n v="1156"/>
    <n v="4.0999999999999996"/>
    <n v="50"/>
    <m/>
    <n v="0"/>
    <x v="0"/>
    <n v="40"/>
    <s v="Female"/>
  </r>
  <r>
    <s v="SWG1266"/>
    <d v="2024-07-05T00:00:00"/>
    <x v="4"/>
    <s v="Fri"/>
    <s v="Supermani"/>
    <x v="7"/>
    <s v="South Indian, Biryani, Fast Food, Snacks"/>
    <x v="2"/>
    <s v="Non-Veg"/>
    <n v="1"/>
    <n v="432"/>
    <n v="432"/>
    <n v="4.5"/>
    <n v="47"/>
    <m/>
    <n v="0"/>
    <x v="3"/>
    <n v="21"/>
    <s v="Male"/>
  </r>
  <r>
    <s v="SWG1267"/>
    <d v="2024-04-22T00:00:00"/>
    <x v="0"/>
    <s v="Mon"/>
    <s v="Aahar-E-Kolkata"/>
    <x v="2"/>
    <s v="Bengali, Thalis, Biryani, Desserts"/>
    <x v="2"/>
    <s v="Non-Veg"/>
    <n v="1"/>
    <n v="237"/>
    <n v="237"/>
    <n v="4.2"/>
    <n v="55"/>
    <m/>
    <n v="0"/>
    <x v="1"/>
    <n v="40"/>
    <s v="Male"/>
  </r>
  <r>
    <s v="SWG1268"/>
    <d v="2024-01-02T00:00:00"/>
    <x v="2"/>
    <s v="Tue"/>
    <s v="Suraj Lama Momos"/>
    <x v="19"/>
    <s v="Chinese"/>
    <x v="5"/>
    <s v="Veg"/>
    <n v="4"/>
    <n v="420"/>
    <n v="1680"/>
    <n v="4.5999999999999996"/>
    <n v="55"/>
    <m/>
    <n v="0"/>
    <x v="1"/>
    <n v="33"/>
    <s v="Male"/>
  </r>
  <r>
    <s v="SWG1269"/>
    <d v="2024-05-09T00:00:00"/>
    <x v="5"/>
    <s v="Thu"/>
    <s v="Charcoal Bistro"/>
    <x v="19"/>
    <s v="Indian, Chinese"/>
    <x v="5"/>
    <s v="Veg"/>
    <n v="1"/>
    <n v="280"/>
    <n v="280"/>
    <n v="3.5"/>
    <n v="44"/>
    <m/>
    <n v="0"/>
    <x v="3"/>
    <n v="40"/>
    <s v="Female"/>
  </r>
  <r>
    <s v="SWG1270"/>
    <d v="2024-08-07T00:00:00"/>
    <x v="6"/>
    <s v="Wed"/>
    <s v="The Tiny Tub"/>
    <x v="11"/>
    <s v="Desserts, Bakery, Sweets, Snacks, Cafe"/>
    <x v="4"/>
    <s v="Veg"/>
    <n v="1"/>
    <n v="520"/>
    <n v="520"/>
    <n v="4"/>
    <n v="44"/>
    <n v="749"/>
    <n v="0"/>
    <x v="1"/>
    <n v="33"/>
    <s v="Female"/>
  </r>
  <r>
    <s v="SWG1271"/>
    <d v="2024-02-23T00:00:00"/>
    <x v="7"/>
    <s v="Fri"/>
    <s v="DIMSUM WU (Chinese, Momo, Shushi &amp; more) "/>
    <x v="7"/>
    <s v="Pan-Asian, Indonesian, Thai, Chinese, Desserts"/>
    <x v="4"/>
    <s v="Veg"/>
    <n v="2"/>
    <n v="317"/>
    <n v="634"/>
    <n v="4.2"/>
    <n v="51"/>
    <n v="449"/>
    <n v="0"/>
    <x v="3"/>
    <n v="18"/>
    <s v="Male"/>
  </r>
  <r>
    <s v="SWG1272"/>
    <d v="2024-03-27T00:00:00"/>
    <x v="3"/>
    <s v="Wed"/>
    <s v="Kolkata Heshel"/>
    <x v="4"/>
    <s v="Bengali"/>
    <x v="5"/>
    <s v="Veg"/>
    <n v="3"/>
    <n v="379"/>
    <n v="1137"/>
    <n v="4.5"/>
    <n v="64"/>
    <n v="800"/>
    <n v="10"/>
    <x v="2"/>
    <n v="39"/>
    <s v="Female"/>
  </r>
  <r>
    <s v="SWG1273"/>
    <d v="2024-08-16T00:00:00"/>
    <x v="6"/>
    <s v="Fri"/>
    <s v="Social"/>
    <x v="24"/>
    <s v="North Indian, Chinese, Fast Food, Biryani, Pizzas, Salads, Kebabs, Juices, Desserts, Beverages"/>
    <x v="1"/>
    <s v="Non-Veg"/>
    <n v="1"/>
    <n v="267"/>
    <n v="267"/>
    <n v="4.3"/>
    <n v="58"/>
    <n v="120"/>
    <n v="60"/>
    <x v="3"/>
    <n v="42"/>
    <s v="Male"/>
  </r>
  <r>
    <s v="SWG1274"/>
    <d v="2024-08-11T00:00:00"/>
    <x v="6"/>
    <s v="Sun"/>
    <s v="Ohhdaily - Healthy &amp; Homely Tiffins"/>
    <x v="4"/>
    <s v="Thalis, Indian, Home Food, Chinese"/>
    <x v="5"/>
    <s v="Veg"/>
    <n v="3"/>
    <n v="359"/>
    <n v="1077"/>
    <n v="4.3"/>
    <n v="42"/>
    <n v="399"/>
    <n v="0"/>
    <x v="2"/>
    <n v="19"/>
    <s v="Male"/>
  </r>
  <r>
    <s v="SWG1275"/>
    <d v="2024-08-12T00:00:00"/>
    <x v="6"/>
    <s v="Mon"/>
    <s v="Harvest Salad Co"/>
    <x v="35"/>
    <s v="Salads, Healthy Food, Snacks"/>
    <x v="5"/>
    <s v="Veg"/>
    <n v="1"/>
    <n v="166"/>
    <n v="166"/>
    <n v="4.3"/>
    <n v="44"/>
    <n v="80"/>
    <n v="40"/>
    <x v="0"/>
    <n v="47"/>
    <s v="Female"/>
  </r>
  <r>
    <s v="SWG1276"/>
    <d v="2024-05-08T00:00:00"/>
    <x v="5"/>
    <s v="Wed"/>
    <s v="Maiz Mexican Kitchen"/>
    <x v="35"/>
    <s v="Mexican, Indian, Salads"/>
    <x v="5"/>
    <s v="Veg"/>
    <n v="1"/>
    <n v="594"/>
    <n v="594"/>
    <n v="4.4000000000000004"/>
    <n v="44"/>
    <n v="80"/>
    <n v="40"/>
    <x v="3"/>
    <n v="20"/>
    <s v="Female"/>
  </r>
  <r>
    <s v="SWG1277"/>
    <d v="2024-05-26T00:00:00"/>
    <x v="5"/>
    <s v="Sun"/>
    <s v="Veg Sutra"/>
    <x v="36"/>
    <s v="North Indian, Chinese"/>
    <x v="5"/>
    <s v="Veg"/>
    <n v="4"/>
    <n v="518"/>
    <n v="2072"/>
    <n v="4.2"/>
    <n v="48"/>
    <n v="399"/>
    <n v="0"/>
    <x v="0"/>
    <n v="43"/>
    <s v="Female"/>
  </r>
  <r>
    <s v="SWG1278"/>
    <d v="2024-05-05T00:00:00"/>
    <x v="5"/>
    <s v="Sun"/>
    <s v="Balaji Snacks"/>
    <x v="22"/>
    <s v="Snacks, Chaat, South Indian"/>
    <x v="5"/>
    <s v="Veg"/>
    <n v="4"/>
    <n v="317"/>
    <n v="1268"/>
    <n v="3.3"/>
    <n v="39"/>
    <m/>
    <n v="0"/>
    <x v="1"/>
    <n v="38"/>
    <s v="Male"/>
  </r>
  <r>
    <s v="SWG1279"/>
    <d v="2024-05-09T00:00:00"/>
    <x v="5"/>
    <s v="Thu"/>
    <s v="Shree Krishna"/>
    <x v="5"/>
    <s v="Indian, Chinese, North Indian, Tandoor, Seafood, Biryani"/>
    <x v="2"/>
    <s v="Non-Veg"/>
    <n v="4"/>
    <n v="166"/>
    <n v="664"/>
    <n v="4.3"/>
    <n v="45"/>
    <n v="999"/>
    <n v="0"/>
    <x v="2"/>
    <n v="42"/>
    <s v="Male"/>
  </r>
  <r>
    <s v="SWG1280"/>
    <d v="2024-02-22T00:00:00"/>
    <x v="7"/>
    <s v="Thu"/>
    <s v="Speak Burgers by Vicky Ratnani"/>
    <x v="11"/>
    <s v="Burgers, American, Beverages"/>
    <x v="0"/>
    <s v="Veg"/>
    <n v="3"/>
    <n v="197"/>
    <n v="591"/>
    <n v="4"/>
    <n v="47"/>
    <n v="449"/>
    <n v="0"/>
    <x v="3"/>
    <n v="37"/>
    <s v="Female"/>
  </r>
  <r>
    <s v="SWG1281"/>
    <d v="2024-06-20T00:00:00"/>
    <x v="1"/>
    <s v="Thu"/>
    <s v="Spicy Bowl"/>
    <x v="36"/>
    <s v="Chinese, Biryani, North Indian, Tandoor, Beverages"/>
    <x v="2"/>
    <s v="Non-Veg"/>
    <n v="2"/>
    <n v="243"/>
    <n v="486"/>
    <n v="3.5"/>
    <n v="65"/>
    <m/>
    <n v="0"/>
    <x v="0"/>
    <n v="34"/>
    <s v="Male"/>
  </r>
  <r>
    <s v="SWG1282"/>
    <d v="2024-08-05T00:00:00"/>
    <x v="6"/>
    <s v="Mon"/>
    <s v="Fire Bowl"/>
    <x v="4"/>
    <s v="Chinese, Italian, Mexican, Thai"/>
    <x v="5"/>
    <s v="Veg"/>
    <n v="1"/>
    <n v="194"/>
    <n v="194"/>
    <n v="4.3"/>
    <n v="55"/>
    <m/>
    <n v="0"/>
    <x v="2"/>
    <n v="37"/>
    <s v="Female"/>
  </r>
  <r>
    <s v="SWG1283"/>
    <d v="2024-06-08T00:00:00"/>
    <x v="1"/>
    <s v="Sat"/>
    <s v="Falafel's"/>
    <x v="24"/>
    <s v="Lebanese, Mediterranean, Arabian, Middle Eastern, Rolls &amp; Wraps, Jain"/>
    <x v="5"/>
    <s v="Veg"/>
    <n v="1"/>
    <n v="478"/>
    <n v="478"/>
    <n v="4"/>
    <n v="42"/>
    <n v="449"/>
    <n v="0"/>
    <x v="2"/>
    <n v="39"/>
    <s v="Male"/>
  </r>
  <r>
    <s v="SWG1284"/>
    <d v="2024-07-16T00:00:00"/>
    <x v="4"/>
    <s v="Tue"/>
    <s v="The Pancake Story"/>
    <x v="4"/>
    <s v="Desserts, Beverages"/>
    <x v="4"/>
    <s v="Veg"/>
    <n v="1"/>
    <n v="256"/>
    <n v="256"/>
    <n v="4.4000000000000004"/>
    <n v="55"/>
    <n v="599"/>
    <n v="0"/>
    <x v="1"/>
    <n v="38"/>
    <s v="Female"/>
  </r>
  <r>
    <s v="SWG1285"/>
    <d v="2024-06-08T00:00:00"/>
    <x v="1"/>
    <s v="Sat"/>
    <s v="Baithack Taste of Kulhad"/>
    <x v="7"/>
    <s v="Beverages, Fast Food, Snacks"/>
    <x v="3"/>
    <s v="Veg"/>
    <n v="3"/>
    <n v="209"/>
    <n v="627"/>
    <n v="3.8"/>
    <n v="46"/>
    <m/>
    <n v="0"/>
    <x v="1"/>
    <n v="47"/>
    <s v="Female"/>
  </r>
  <r>
    <s v="SWG1286"/>
    <d v="2024-03-08T00:00:00"/>
    <x v="3"/>
    <s v="Fri"/>
    <s v="Curry Culture"/>
    <x v="4"/>
    <s v="Biryani, North Indian, Kebabs, Malwani, Chinese, Seafood, Asian, Thai, Mughlai, Indian, Desserts, Tandoor"/>
    <x v="2"/>
    <s v="Non-Veg"/>
    <n v="4"/>
    <n v="519"/>
    <n v="2076"/>
    <n v="4.4000000000000004"/>
    <n v="54"/>
    <m/>
    <n v="0"/>
    <x v="2"/>
    <n v="46"/>
    <s v="Male"/>
  </r>
  <r>
    <s v="SWG1287"/>
    <d v="2024-07-01T00:00:00"/>
    <x v="4"/>
    <s v="Mon"/>
    <s v="Foodaholic"/>
    <x v="19"/>
    <s v="Chinese"/>
    <x v="5"/>
    <s v="Veg"/>
    <n v="2"/>
    <n v="444"/>
    <n v="888"/>
    <m/>
    <m/>
    <n v="999"/>
    <n v="0"/>
    <x v="2"/>
    <n v="18"/>
    <s v="Female"/>
  </r>
  <r>
    <s v="SWG1288"/>
    <d v="2024-07-21T00:00:00"/>
    <x v="4"/>
    <s v="Sun"/>
    <s v="The Bar Stock Exchange"/>
    <x v="4"/>
    <s v="North Indian, Biryani, Chinese, Asian, Kebabs, Italian"/>
    <x v="2"/>
    <s v="Non-Veg"/>
    <n v="3"/>
    <n v="180"/>
    <n v="540"/>
    <n v="4"/>
    <n v="57"/>
    <m/>
    <n v="0"/>
    <x v="3"/>
    <n v="37"/>
    <s v="Female"/>
  </r>
  <r>
    <s v="SWG1289"/>
    <d v="2024-07-02T00:00:00"/>
    <x v="4"/>
    <s v="Tue"/>
    <s v="Punjabi Grill"/>
    <x v="0"/>
    <s v="Punjabi, Combo, Tandoor, Snacks, Chinese, Biryani"/>
    <x v="2"/>
    <s v="Non-Veg"/>
    <n v="4"/>
    <n v="257"/>
    <n v="1028"/>
    <n v="4.0999999999999996"/>
    <n v="42"/>
    <n v="700"/>
    <n v="15"/>
    <x v="2"/>
    <n v="23"/>
    <s v="Male"/>
  </r>
  <r>
    <s v="SWG1290"/>
    <d v="2024-05-02T00:00:00"/>
    <x v="5"/>
    <s v="Thu"/>
    <s v="Bandra Cakery by Bunty Mahajan"/>
    <x v="5"/>
    <s v="Bakery, Desserts"/>
    <x v="4"/>
    <s v="Veg"/>
    <n v="3"/>
    <n v="169"/>
    <n v="507"/>
    <n v="4.4000000000000004"/>
    <n v="50"/>
    <n v="75"/>
    <n v="30"/>
    <x v="3"/>
    <n v="46"/>
    <s v="Female"/>
  </r>
  <r>
    <s v="SWG1291"/>
    <d v="2024-05-24T00:00:00"/>
    <x v="5"/>
    <s v="Fri"/>
    <s v="Krishna Lunch Home"/>
    <x v="7"/>
    <s v="North Indian, Indian, Tandoor, Seafood"/>
    <x v="5"/>
    <s v="Veg"/>
    <n v="2"/>
    <n v="378"/>
    <n v="756"/>
    <n v="4.2"/>
    <n v="44"/>
    <m/>
    <n v="0"/>
    <x v="2"/>
    <n v="32"/>
    <s v="Male"/>
  </r>
  <r>
    <s v="SWG1292"/>
    <d v="2024-02-07T00:00:00"/>
    <x v="7"/>
    <s v="Wed"/>
    <s v="Fried Nation"/>
    <x v="4"/>
    <s v="Fast Food, American"/>
    <x v="5"/>
    <s v="Veg"/>
    <n v="4"/>
    <n v="580"/>
    <n v="2320"/>
    <n v="4.4000000000000004"/>
    <n v="49"/>
    <m/>
    <n v="0"/>
    <x v="1"/>
    <n v="43"/>
    <s v="Female"/>
  </r>
  <r>
    <s v="SWG1293"/>
    <d v="2024-01-24T00:00:00"/>
    <x v="2"/>
    <s v="Wed"/>
    <s v="Cake Works"/>
    <x v="2"/>
    <s v="Indian"/>
    <x v="5"/>
    <s v="Veg"/>
    <n v="3"/>
    <n v="226"/>
    <n v="678"/>
    <m/>
    <m/>
    <n v="150"/>
    <n v="30"/>
    <x v="3"/>
    <n v="43"/>
    <s v="Male"/>
  </r>
  <r>
    <s v="SWG1294"/>
    <d v="2024-03-09T00:00:00"/>
    <x v="3"/>
    <s v="Sat"/>
    <s v="Meraki"/>
    <x v="4"/>
    <s v="Chinese"/>
    <x v="5"/>
    <s v="Veg"/>
    <n v="2"/>
    <n v="232"/>
    <n v="464"/>
    <n v="4.2"/>
    <n v="49"/>
    <n v="449"/>
    <n v="0"/>
    <x v="0"/>
    <n v="31"/>
    <s v="Female"/>
  </r>
  <r>
    <s v="SWG1295"/>
    <d v="2024-04-25T00:00:00"/>
    <x v="0"/>
    <s v="Thu"/>
    <s v="Dale's Eden Cake Shop"/>
    <x v="4"/>
    <s v="Desserts, Bakery, Sweets"/>
    <x v="4"/>
    <s v="Veg"/>
    <n v="1"/>
    <n v="469"/>
    <n v="469"/>
    <n v="4.4000000000000004"/>
    <n v="38"/>
    <n v="449"/>
    <n v="0"/>
    <x v="1"/>
    <n v="37"/>
    <s v="Female"/>
  </r>
  <r>
    <s v="SWG1296"/>
    <d v="2024-04-07T00:00:00"/>
    <x v="0"/>
    <s v="Sun"/>
    <s v="Banana Leaf"/>
    <x v="3"/>
    <s v="South Indian, Snacks, Andhra"/>
    <x v="5"/>
    <s v="Veg"/>
    <n v="2"/>
    <n v="373"/>
    <n v="746"/>
    <n v="4.4000000000000004"/>
    <n v="39"/>
    <n v="599"/>
    <n v="0"/>
    <x v="3"/>
    <n v="32"/>
    <s v="Female"/>
  </r>
  <r>
    <s v="SWG1297"/>
    <d v="2024-07-16T00:00:00"/>
    <x v="4"/>
    <s v="Tue"/>
    <s v="House of Biryan- Biryani, Kepsa and More"/>
    <x v="4"/>
    <s v="Biryani, Kebabs, Rolls"/>
    <x v="2"/>
    <s v="Non-Veg"/>
    <n v="1"/>
    <n v="237"/>
    <n v="237"/>
    <n v="4.4000000000000004"/>
    <n v="40"/>
    <n v="599"/>
    <n v="0"/>
    <x v="3"/>
    <n v="31"/>
    <s v="Female"/>
  </r>
  <r>
    <s v="SWG1298"/>
    <d v="2024-08-01T00:00:00"/>
    <x v="6"/>
    <s v="Thu"/>
    <s v="Brijwasi Sweets Original Since 1946"/>
    <x v="11"/>
    <s v="Sweets, Snacks, Chaat, Beverages, Indian"/>
    <x v="3"/>
    <s v="Veg"/>
    <n v="3"/>
    <n v="317"/>
    <n v="951"/>
    <n v="4.4000000000000004"/>
    <n v="50"/>
    <n v="800"/>
    <n v="15"/>
    <x v="0"/>
    <n v="42"/>
    <s v="Male"/>
  </r>
  <r>
    <s v="SWG1299"/>
    <d v="2024-05-18T00:00:00"/>
    <x v="5"/>
    <s v="Sat"/>
    <s v="Deliciae by Bunty Mahajan"/>
    <x v="5"/>
    <s v="Desserts"/>
    <x v="4"/>
    <s v="Veg"/>
    <n v="4"/>
    <n v="456"/>
    <n v="1824"/>
    <n v="4.5999999999999996"/>
    <n v="48"/>
    <n v="1199"/>
    <n v="0"/>
    <x v="3"/>
    <n v="38"/>
    <s v="Male"/>
  </r>
  <r>
    <s v="SWG1300"/>
    <d v="2024-08-27T00:00:00"/>
    <x v="6"/>
    <s v="Tue"/>
    <s v="Sahara Restaurant"/>
    <x v="22"/>
    <s v="North Indian, Chinese, Tandoor, Biryani"/>
    <x v="2"/>
    <s v="Non-Veg"/>
    <n v="4"/>
    <n v="484"/>
    <n v="1936"/>
    <n v="3.8"/>
    <n v="43"/>
    <n v="449"/>
    <n v="0"/>
    <x v="2"/>
    <n v="41"/>
    <s v="Male"/>
  </r>
  <r>
    <s v="SWG1301"/>
    <d v="2024-05-23T00:00:00"/>
    <x v="5"/>
    <s v="Thu"/>
    <s v="Copper Chimney"/>
    <x v="4"/>
    <s v="North Indian, Indian, Punjabi, Biryani, Tandoor, Kebabs, Mughlai, Desserts"/>
    <x v="2"/>
    <s v="Non-Veg"/>
    <n v="3"/>
    <n v="170"/>
    <n v="510"/>
    <n v="4.2"/>
    <n v="80"/>
    <n v="1200"/>
    <n v="15"/>
    <x v="0"/>
    <n v="42"/>
    <s v="Male"/>
  </r>
  <r>
    <s v="SWG1302"/>
    <d v="2024-04-06T00:00:00"/>
    <x v="0"/>
    <s v="Sat"/>
    <s v="Jimis Burger"/>
    <x v="19"/>
    <s v="American"/>
    <x v="5"/>
    <s v="Veg"/>
    <n v="4"/>
    <n v="364"/>
    <n v="1456"/>
    <n v="4.5999999999999996"/>
    <n v="47"/>
    <m/>
    <n v="0"/>
    <x v="1"/>
    <n v="43"/>
    <s v="Male"/>
  </r>
  <r>
    <s v="SWG1303"/>
    <d v="2024-07-19T00:00:00"/>
    <x v="4"/>
    <s v="Fri"/>
    <s v="Sadak Chaap"/>
    <x v="4"/>
    <s v="Tandoor, Indian, Snacks"/>
    <x v="5"/>
    <s v="Veg"/>
    <n v="4"/>
    <n v="522"/>
    <n v="2088"/>
    <n v="4.4000000000000004"/>
    <n v="48"/>
    <n v="749"/>
    <n v="0"/>
    <x v="1"/>
    <n v="22"/>
    <s v="Male"/>
  </r>
  <r>
    <s v="SWG1304"/>
    <d v="2024-05-03T00:00:00"/>
    <x v="5"/>
    <s v="Fri"/>
    <s v="Jamai Shoshthi"/>
    <x v="36"/>
    <s v="Bengali, Biryani, Mughlai"/>
    <x v="2"/>
    <s v="Non-Veg"/>
    <n v="1"/>
    <n v="545"/>
    <n v="545"/>
    <n v="4.2"/>
    <n v="59"/>
    <m/>
    <n v="0"/>
    <x v="2"/>
    <n v="23"/>
    <s v="Male"/>
  </r>
  <r>
    <s v="SWG1305"/>
    <d v="2024-07-05T00:00:00"/>
    <x v="4"/>
    <s v="Fri"/>
    <s v="Carter's Blue"/>
    <x v="4"/>
    <s v="Indian, Chinese, Lebanese"/>
    <x v="5"/>
    <s v="Veg"/>
    <n v="3"/>
    <n v="154"/>
    <n v="462"/>
    <n v="4.4000000000000004"/>
    <n v="49"/>
    <m/>
    <n v="0"/>
    <x v="1"/>
    <n v="34"/>
    <s v="Female"/>
  </r>
  <r>
    <s v="SWG1306"/>
    <d v="2024-03-10T00:00:00"/>
    <x v="3"/>
    <s v="Sun"/>
    <s v="Hotel Ram Krishna"/>
    <x v="6"/>
    <s v="Indian"/>
    <x v="5"/>
    <s v="Veg"/>
    <n v="2"/>
    <n v="421"/>
    <n v="842"/>
    <n v="4.5"/>
    <n v="41"/>
    <m/>
    <n v="0"/>
    <x v="3"/>
    <n v="28"/>
    <s v="Female"/>
  </r>
  <r>
    <s v="SWG1307"/>
    <d v="2024-07-26T00:00:00"/>
    <x v="4"/>
    <s v="Fri"/>
    <s v="Delicacy"/>
    <x v="5"/>
    <s v="Indian"/>
    <x v="5"/>
    <s v="Veg"/>
    <n v="1"/>
    <n v="529"/>
    <n v="529"/>
    <n v="4.4000000000000004"/>
    <n v="40"/>
    <m/>
    <n v="0"/>
    <x v="3"/>
    <n v="33"/>
    <s v="Female"/>
  </r>
  <r>
    <s v="SWG1308"/>
    <d v="2024-04-02T00:00:00"/>
    <x v="0"/>
    <s v="Tue"/>
    <s v="5 Spice"/>
    <x v="3"/>
    <s v="Chinese, Asian, Thai, Seafood"/>
    <x v="5"/>
    <s v="Veg"/>
    <n v="3"/>
    <n v="188"/>
    <n v="564"/>
    <n v="4.2"/>
    <n v="40"/>
    <n v="499"/>
    <n v="0"/>
    <x v="2"/>
    <n v="29"/>
    <s v="Female"/>
  </r>
  <r>
    <s v="SWG1309"/>
    <d v="2024-01-03T00:00:00"/>
    <x v="2"/>
    <s v="Wed"/>
    <s v="BOMBAY JUICE"/>
    <x v="37"/>
    <s v="Juices, Beverages, Salads"/>
    <x v="3"/>
    <s v="Veg"/>
    <n v="1"/>
    <n v="468"/>
    <n v="468"/>
    <n v="3.9"/>
    <n v="41"/>
    <n v="700"/>
    <n v="20"/>
    <x v="1"/>
    <n v="32"/>
    <s v="Male"/>
  </r>
  <r>
    <s v="SWG1310"/>
    <d v="2024-05-27T00:00:00"/>
    <x v="5"/>
    <s v="Mon"/>
    <s v="Bombay Sweet Shop"/>
    <x v="11"/>
    <s v="Desserts, Sweets, Bakery, Snacks, Indian"/>
    <x v="4"/>
    <s v="Veg"/>
    <n v="2"/>
    <n v="439"/>
    <n v="878"/>
    <n v="4.7"/>
    <n v="41"/>
    <n v="1199"/>
    <n v="0"/>
    <x v="1"/>
    <n v="40"/>
    <s v="Male"/>
  </r>
  <r>
    <s v="SWG1311"/>
    <d v="2024-07-05T00:00:00"/>
    <x v="4"/>
    <s v="Fri"/>
    <s v="Balaji Pure Veg"/>
    <x v="11"/>
    <s v="Chinese, South Indian"/>
    <x v="5"/>
    <s v="Veg"/>
    <n v="2"/>
    <n v="540"/>
    <n v="1080"/>
    <n v="4.2"/>
    <n v="44"/>
    <n v="1000"/>
    <n v="10"/>
    <x v="2"/>
    <n v="21"/>
    <s v="Male"/>
  </r>
  <r>
    <s v="SWG1312"/>
    <d v="2024-06-12T00:00:00"/>
    <x v="1"/>
    <s v="Wed"/>
    <s v="Fuel Up"/>
    <x v="4"/>
    <s v="Healthy Food, Salads, Juices, Grill, American, Continental"/>
    <x v="5"/>
    <s v="Veg"/>
    <n v="3"/>
    <n v="587"/>
    <n v="1761"/>
    <n v="4.5"/>
    <n v="55"/>
    <n v="399"/>
    <n v="0"/>
    <x v="0"/>
    <n v="44"/>
    <s v="Female"/>
  </r>
  <r>
    <s v="SWG1313"/>
    <d v="2024-05-26T00:00:00"/>
    <x v="5"/>
    <s v="Sun"/>
    <s v="Meal Bowl"/>
    <x v="38"/>
    <s v="Indian, Chinese"/>
    <x v="5"/>
    <s v="Veg"/>
    <n v="2"/>
    <n v="168"/>
    <n v="336"/>
    <n v="4.3"/>
    <n v="45"/>
    <n v="499"/>
    <n v="0"/>
    <x v="1"/>
    <n v="35"/>
    <s v="Male"/>
  </r>
  <r>
    <s v="SWG1314"/>
    <d v="2024-03-30T00:00:00"/>
    <x v="3"/>
    <s v="Sat"/>
    <s v="The French Connection"/>
    <x v="2"/>
    <s v="Bakery, Snacks, Italian"/>
    <x v="5"/>
    <s v="Veg"/>
    <n v="1"/>
    <n v="524"/>
    <n v="524"/>
    <n v="4.5999999999999996"/>
    <n v="15"/>
    <n v="75"/>
    <n v="30"/>
    <x v="0"/>
    <n v="38"/>
    <s v="Female"/>
  </r>
  <r>
    <s v="SWG1315"/>
    <d v="2024-07-13T00:00:00"/>
    <x v="4"/>
    <s v="Sat"/>
    <s v="Madrasi Kaapi House"/>
    <x v="39"/>
    <s v="South Indian, Combo, Beverages"/>
    <x v="3"/>
    <s v="Veg"/>
    <n v="2"/>
    <n v="193"/>
    <n v="386"/>
    <n v="4.4000000000000004"/>
    <n v="26"/>
    <n v="50"/>
    <n v="20"/>
    <x v="1"/>
    <n v="45"/>
    <s v="Male"/>
  </r>
  <r>
    <s v="SWG1316"/>
    <d v="2024-05-26T00:00:00"/>
    <x v="5"/>
    <s v="Sun"/>
    <s v="Singarawala"/>
    <x v="2"/>
    <s v="Bengali, Mughlai, Biryani, Thalis"/>
    <x v="2"/>
    <s v="Non-Veg"/>
    <n v="1"/>
    <n v="311"/>
    <n v="311"/>
    <n v="4.5999999999999996"/>
    <n v="53"/>
    <m/>
    <n v="0"/>
    <x v="1"/>
    <n v="20"/>
    <s v="Male"/>
  </r>
  <r>
    <s v="SWG1317"/>
    <d v="2024-05-27T00:00:00"/>
    <x v="5"/>
    <s v="Mon"/>
    <s v="Shivam Sundaram"/>
    <x v="40"/>
    <s v="North Indian, Chinese, South Indian"/>
    <x v="5"/>
    <s v="Veg"/>
    <n v="1"/>
    <n v="380"/>
    <n v="380"/>
    <n v="4.4000000000000004"/>
    <n v="28"/>
    <n v="50"/>
    <n v="20"/>
    <x v="1"/>
    <n v="39"/>
    <s v="Male"/>
  </r>
  <r>
    <s v="SWG1318"/>
    <d v="2024-04-05T00:00:00"/>
    <x v="0"/>
    <s v="Fri"/>
    <s v="DBW - De Burger World"/>
    <x v="1"/>
    <s v="Burgers, Snacks, Beverages"/>
    <x v="0"/>
    <s v="Veg"/>
    <n v="2"/>
    <n v="475"/>
    <n v="950"/>
    <n v="4.5"/>
    <n v="26"/>
    <m/>
    <n v="0"/>
    <x v="1"/>
    <n v="25"/>
    <s v="Male"/>
  </r>
  <r>
    <s v="SWG1319"/>
    <d v="2024-07-17T00:00:00"/>
    <x v="4"/>
    <s v="Wed"/>
    <s v="The Biryani Story"/>
    <x v="11"/>
    <s v="Biryani, Kebabs, Tandoor, Beverages"/>
    <x v="2"/>
    <s v="Non-Veg"/>
    <n v="3"/>
    <n v="189"/>
    <n v="567"/>
    <n v="4"/>
    <n v="54"/>
    <m/>
    <n v="0"/>
    <x v="3"/>
    <n v="40"/>
    <s v="Female"/>
  </r>
  <r>
    <s v="SWG1320"/>
    <d v="2024-02-21T00:00:00"/>
    <x v="7"/>
    <s v="Wed"/>
    <s v="Andhra Kodi Pulao"/>
    <x v="11"/>
    <s v="Hyderabadi, South Indian, North Indian, Andhra, Kebabs, Mughlai"/>
    <x v="5"/>
    <s v="Non-Veg"/>
    <n v="4"/>
    <n v="209"/>
    <n v="836"/>
    <n v="4.4000000000000004"/>
    <n v="73"/>
    <n v="449"/>
    <n v="0"/>
    <x v="0"/>
    <n v="49"/>
    <s v="Female"/>
  </r>
  <r>
    <s v="SWG1321"/>
    <d v="2024-08-20T00:00:00"/>
    <x v="6"/>
    <s v="Tue"/>
    <s v="Maharaja Bhog"/>
    <x v="24"/>
    <s v="Gujarati, Rajasthani, Thalis"/>
    <x v="5"/>
    <s v="Veg"/>
    <n v="2"/>
    <n v="379"/>
    <n v="758"/>
    <n v="4.4000000000000004"/>
    <n v="51"/>
    <n v="800"/>
    <n v="10"/>
    <x v="0"/>
    <n v="20"/>
    <s v="Male"/>
  </r>
  <r>
    <s v="SWG1322"/>
    <d v="2024-06-09T00:00:00"/>
    <x v="1"/>
    <s v="Sun"/>
    <s v="Pizza Caprina"/>
    <x v="38"/>
    <s v="Pizzas, Italian-American, Desserts"/>
    <x v="1"/>
    <s v="Veg"/>
    <n v="1"/>
    <n v="245"/>
    <n v="245"/>
    <n v="4.0999999999999996"/>
    <n v="55"/>
    <n v="599"/>
    <n v="0"/>
    <x v="1"/>
    <n v="25"/>
    <s v="Female"/>
  </r>
  <r>
    <s v="SWG1323"/>
    <d v="2024-06-16T00:00:00"/>
    <x v="1"/>
    <s v="Sun"/>
    <s v="Satkar Restaurant"/>
    <x v="41"/>
    <s v="Indian, Chinese, Tandoor"/>
    <x v="5"/>
    <s v="Veg"/>
    <n v="1"/>
    <n v="350"/>
    <n v="350"/>
    <n v="3.9"/>
    <n v="53"/>
    <m/>
    <n v="0"/>
    <x v="1"/>
    <n v="35"/>
    <s v="Male"/>
  </r>
  <r>
    <s v="SWG1324"/>
    <d v="2024-05-07T00:00:00"/>
    <x v="5"/>
    <s v="Tue"/>
    <s v="Upwas Uphargruha"/>
    <x v="42"/>
    <s v="Indian"/>
    <x v="5"/>
    <s v="Veg"/>
    <n v="2"/>
    <n v="414"/>
    <n v="828"/>
    <n v="3.4"/>
    <n v="40"/>
    <m/>
    <n v="0"/>
    <x v="0"/>
    <n v="27"/>
    <s v="Male"/>
  </r>
  <r>
    <s v="SWG1325"/>
    <d v="2024-02-08T00:00:00"/>
    <x v="7"/>
    <s v="Thu"/>
    <s v="Eva's Pizza"/>
    <x v="4"/>
    <s v="Pizzas, Italian, Salads"/>
    <x v="1"/>
    <s v="Veg"/>
    <n v="3"/>
    <n v="538"/>
    <n v="1614"/>
    <n v="4.0999999999999996"/>
    <n v="52"/>
    <n v="449"/>
    <n v="0"/>
    <x v="3"/>
    <n v="42"/>
    <s v="Male"/>
  </r>
  <r>
    <s v="SWG1326"/>
    <d v="2024-03-22T00:00:00"/>
    <x v="3"/>
    <s v="Fri"/>
    <s v="Biryani Culture"/>
    <x v="11"/>
    <s v="Asian, Biryani, Chinese, Desserts, Indian, Mughlai, North Indian, Seafood, Tandoor, Thai, Kebabs"/>
    <x v="2"/>
    <s v="Non-Veg"/>
    <n v="3"/>
    <n v="248"/>
    <n v="744"/>
    <n v="3.9"/>
    <n v="51"/>
    <m/>
    <n v="0"/>
    <x v="2"/>
    <n v="37"/>
    <s v="Male"/>
  </r>
  <r>
    <s v="SWG1327"/>
    <d v="2024-04-13T00:00:00"/>
    <x v="0"/>
    <s v="Sat"/>
    <s v="Zaffran"/>
    <x v="43"/>
    <s v="North Indian, Biryani, Indian, Kebabs, Rolls &amp; Wraps"/>
    <x v="2"/>
    <s v="Non-Veg"/>
    <n v="1"/>
    <n v="399"/>
    <n v="399"/>
    <n v="4.4000000000000004"/>
    <n v="67"/>
    <n v="799"/>
    <n v="0"/>
    <x v="2"/>
    <n v="34"/>
    <s v="Female"/>
  </r>
  <r>
    <s v="SWG1328"/>
    <d v="2024-05-08T00:00:00"/>
    <x v="5"/>
    <s v="Wed"/>
    <s v="Home Plate by EatFit"/>
    <x v="23"/>
    <s v="North Indian, Home Food, Healthy Food, Indian, Punjabi, South Indian, Rajasthani, Maharashtrian, Snacks, Desserts, Beverages"/>
    <x v="4"/>
    <s v="Veg"/>
    <n v="1"/>
    <n v="432"/>
    <n v="432"/>
    <n v="4"/>
    <n v="39"/>
    <n v="159"/>
    <n v="0"/>
    <x v="0"/>
    <n v="25"/>
    <s v="Male"/>
  </r>
  <r>
    <s v="SWG1329"/>
    <d v="2024-01-11T00:00:00"/>
    <x v="2"/>
    <s v="Thu"/>
    <s v="The Dessert Heaven - Pure Veg"/>
    <x v="21"/>
    <s v="Bakery, Desserts, Sweets, Ice Cream"/>
    <x v="4"/>
    <s v="Veg"/>
    <n v="3"/>
    <n v="219"/>
    <n v="657"/>
    <n v="4.3"/>
    <n v="39"/>
    <n v="299"/>
    <n v="0"/>
    <x v="1"/>
    <n v="40"/>
    <s v="Male"/>
  </r>
  <r>
    <s v="SWG1330"/>
    <d v="2024-08-07T00:00:00"/>
    <x v="6"/>
    <s v="Wed"/>
    <s v="Darbhanga Xpress - The Taste of Mithila"/>
    <x v="0"/>
    <s v="Indian, Seafood"/>
    <x v="5"/>
    <s v="Veg"/>
    <n v="4"/>
    <n v="445"/>
    <n v="1780"/>
    <n v="3.3"/>
    <n v="35"/>
    <n v="100"/>
    <n v="50"/>
    <x v="1"/>
    <n v="28"/>
    <s v="Female"/>
  </r>
  <r>
    <s v="SWG1331"/>
    <d v="2024-07-03T00:00:00"/>
    <x v="4"/>
    <s v="Wed"/>
    <s v="Marrakesh"/>
    <x v="16"/>
    <s v="Lebanese, North Indian, Kebabs, Desserts, Beverages"/>
    <x v="4"/>
    <s v="Non-Veg"/>
    <n v="2"/>
    <n v="416"/>
    <n v="832"/>
    <n v="4"/>
    <n v="42"/>
    <m/>
    <n v="0"/>
    <x v="3"/>
    <n v="46"/>
    <s v="Male"/>
  </r>
  <r>
    <s v="SWG1332"/>
    <d v="2024-08-04T00:00:00"/>
    <x v="6"/>
    <s v="Sun"/>
    <s v="Bowl Soul"/>
    <x v="36"/>
    <s v="Indian, Asian, Continental, Pan-Asian, Chinese, Mediterranean, Mexican, Lebanese, North Indian, Korean, Japanese, South Indian"/>
    <x v="5"/>
    <s v="Veg"/>
    <n v="1"/>
    <n v="301"/>
    <n v="301"/>
    <n v="4.0999999999999996"/>
    <n v="47"/>
    <n v="129"/>
    <n v="0"/>
    <x v="2"/>
    <n v="49"/>
    <s v="Female"/>
  </r>
  <r>
    <s v="SWG1333"/>
    <d v="2024-06-26T00:00:00"/>
    <x v="1"/>
    <s v="Wed"/>
    <s v="Olio - The Wood Fired Pizzeria"/>
    <x v="4"/>
    <s v="Pizzas, Pastas, Fast Food, Snacks, Beverages"/>
    <x v="1"/>
    <s v="Veg"/>
    <n v="1"/>
    <n v="293"/>
    <n v="293"/>
    <n v="4.2"/>
    <n v="61"/>
    <n v="249"/>
    <n v="0"/>
    <x v="3"/>
    <n v="22"/>
    <s v="Male"/>
  </r>
  <r>
    <s v="SWG1334"/>
    <d v="2024-05-30T00:00:00"/>
    <x v="5"/>
    <s v="Thu"/>
    <s v="Barista Coffee"/>
    <x v="4"/>
    <s v="Beverages, Snacks, Desserts"/>
    <x v="4"/>
    <s v="Veg"/>
    <n v="3"/>
    <n v="435"/>
    <n v="1305"/>
    <n v="4.2"/>
    <n v="44"/>
    <n v="449"/>
    <n v="0"/>
    <x v="2"/>
    <n v="43"/>
    <s v="Male"/>
  </r>
  <r>
    <s v="SWG1335"/>
    <d v="2024-06-07T00:00:00"/>
    <x v="1"/>
    <s v="Fri"/>
    <s v="Kailash Parbat"/>
    <x v="24"/>
    <s v="North Indian"/>
    <x v="5"/>
    <s v="Veg"/>
    <n v="2"/>
    <n v="483"/>
    <n v="966"/>
    <n v="4.0999999999999996"/>
    <n v="46"/>
    <m/>
    <n v="0"/>
    <x v="0"/>
    <n v="30"/>
    <s v="Male"/>
  </r>
  <r>
    <s v="SWG1336"/>
    <d v="2024-08-09T00:00:00"/>
    <x v="6"/>
    <s v="Fri"/>
    <s v="Chaat Street - Desi Chaat &amp; Chai"/>
    <x v="23"/>
    <s v="Snacks, Chaat, Street Food, North Indian, Fast Food"/>
    <x v="5"/>
    <s v="Veg"/>
    <n v="3"/>
    <n v="307"/>
    <n v="921"/>
    <n v="3.8"/>
    <n v="44"/>
    <n v="349"/>
    <n v="0"/>
    <x v="2"/>
    <n v="38"/>
    <s v="Male"/>
  </r>
  <r>
    <s v="SWG1337"/>
    <d v="2024-02-11T00:00:00"/>
    <x v="7"/>
    <s v="Sun"/>
    <s v="Suruchi Veg Restaurant"/>
    <x v="2"/>
    <s v="North Indian, Chinese, South Indian, Fast Food, Beverages, Biryani"/>
    <x v="2"/>
    <s v="Non-Veg"/>
    <n v="2"/>
    <n v="176"/>
    <n v="352"/>
    <n v="4.5"/>
    <n v="32"/>
    <n v="800"/>
    <n v="10"/>
    <x v="3"/>
    <n v="40"/>
    <s v="Male"/>
  </r>
  <r>
    <s v="SWG1338"/>
    <d v="2024-04-08T00:00:00"/>
    <x v="0"/>
    <s v="Mon"/>
    <s v="Oye Paratha House"/>
    <x v="2"/>
    <s v="Indian"/>
    <x v="5"/>
    <s v="Veg"/>
    <n v="2"/>
    <n v="150"/>
    <n v="300"/>
    <n v="4.0999999999999996"/>
    <n v="35"/>
    <n v="100"/>
    <n v="50"/>
    <x v="3"/>
    <n v="22"/>
    <s v="Male"/>
  </r>
  <r>
    <s v="SWG1339"/>
    <d v="2024-01-07T00:00:00"/>
    <x v="2"/>
    <s v="Sun"/>
    <s v="Mishra Pan Bhandar"/>
    <x v="2"/>
    <s v="Paan, Sweets, Mughlai"/>
    <x v="5"/>
    <s v="Veg"/>
    <n v="2"/>
    <n v="203"/>
    <n v="406"/>
    <n v="4.7"/>
    <n v="27"/>
    <n v="40"/>
    <n v="10"/>
    <x v="3"/>
    <n v="41"/>
    <s v="Female"/>
  </r>
  <r>
    <s v="SWG1340"/>
    <d v="2024-05-23T00:00:00"/>
    <x v="5"/>
    <s v="Thu"/>
    <s v="Ebony Casual Diner"/>
    <x v="0"/>
    <s v="North Indian, Chinese, Biryani, Tandoor, Seafood"/>
    <x v="2"/>
    <s v="Non-Veg"/>
    <n v="1"/>
    <n v="271"/>
    <n v="271"/>
    <n v="4.2"/>
    <n v="24"/>
    <n v="75"/>
    <n v="30"/>
    <x v="0"/>
    <n v="44"/>
    <s v="Male"/>
  </r>
  <r>
    <s v="SWG1341"/>
    <d v="2024-03-30T00:00:00"/>
    <x v="3"/>
    <s v="Sat"/>
    <s v="Golden Dragon Chinese Point"/>
    <x v="44"/>
    <s v="Chinese"/>
    <x v="5"/>
    <s v="Veg"/>
    <n v="4"/>
    <n v="592"/>
    <n v="2368"/>
    <n v="4.4000000000000004"/>
    <n v="25"/>
    <n v="120"/>
    <n v="60"/>
    <x v="2"/>
    <n v="30"/>
    <s v="Female"/>
  </r>
  <r>
    <s v="SWG1342"/>
    <d v="2024-04-21T00:00:00"/>
    <x v="0"/>
    <s v="Sun"/>
    <s v="Surbhi Pure Veg (Thakur Village)"/>
    <x v="0"/>
    <s v="Indian, Biryani, Chinese, Snacks, Beverages"/>
    <x v="2"/>
    <s v="Non-Veg"/>
    <n v="3"/>
    <n v="155"/>
    <n v="465"/>
    <n v="4.0999999999999996"/>
    <n v="30"/>
    <n v="449"/>
    <n v="0"/>
    <x v="2"/>
    <n v="23"/>
    <s v="Female"/>
  </r>
  <r>
    <s v="SWG1343"/>
    <d v="2024-02-29T00:00:00"/>
    <x v="7"/>
    <s v="Thu"/>
    <s v="Cafe Cocobroma"/>
    <x v="0"/>
    <s v="Cafe, Desserts, Waffle, Beverages, Bakery, Sweets"/>
    <x v="4"/>
    <s v="Veg"/>
    <n v="4"/>
    <n v="332"/>
    <n v="1328"/>
    <n v="4.3"/>
    <n v="21"/>
    <n v="50"/>
    <n v="20"/>
    <x v="3"/>
    <n v="46"/>
    <s v="Male"/>
  </r>
  <r>
    <s v="SWG1344"/>
    <d v="2024-04-22T00:00:00"/>
    <x v="0"/>
    <s v="Mon"/>
    <s v="Surbhi"/>
    <x v="0"/>
    <s v="Indian, Biryani, Chinese, South Indian, Snacks, Desserts, Beverages"/>
    <x v="2"/>
    <s v="Non-Veg"/>
    <n v="3"/>
    <n v="533"/>
    <n v="1599"/>
    <n v="4.3"/>
    <n v="29"/>
    <n v="80"/>
    <n v="40"/>
    <x v="2"/>
    <n v="22"/>
    <s v="Female"/>
  </r>
  <r>
    <s v="SWG1345"/>
    <d v="2024-01-02T00:00:00"/>
    <x v="2"/>
    <s v="Tue"/>
    <s v="Konark Veg Diet"/>
    <x v="0"/>
    <s v="North Indian, Chinese, South Indian, Indian"/>
    <x v="5"/>
    <s v="Veg"/>
    <n v="2"/>
    <n v="527"/>
    <n v="1054"/>
    <n v="4.4000000000000004"/>
    <n v="24"/>
    <m/>
    <n v="0"/>
    <x v="1"/>
    <n v="26"/>
    <s v="Male"/>
  </r>
  <r>
    <s v="SWG1346"/>
    <d v="2024-05-08T00:00:00"/>
    <x v="5"/>
    <s v="Wed"/>
    <s v="Mira Veg Restaurant"/>
    <x v="0"/>
    <s v="South Indian, Chinese, North Indian, Fast Food, Indian, Beverages, Street Food"/>
    <x v="3"/>
    <s v="Veg"/>
    <n v="1"/>
    <n v="483"/>
    <n v="483"/>
    <n v="4.3"/>
    <n v="25"/>
    <n v="1500"/>
    <n v="10"/>
    <x v="1"/>
    <n v="44"/>
    <s v="Female"/>
  </r>
  <r>
    <s v="SWG1347"/>
    <d v="2024-02-17T00:00:00"/>
    <x v="7"/>
    <s v="Sat"/>
    <s v="Aavakay The Andhra Kitchen"/>
    <x v="0"/>
    <s v="Andhra, Biryani, Indian, Desserts, Beverages"/>
    <x v="2"/>
    <s v="Non-Veg"/>
    <n v="4"/>
    <n v="225"/>
    <n v="900"/>
    <n v="4"/>
    <n v="32"/>
    <n v="75"/>
    <n v="30"/>
    <x v="1"/>
    <n v="33"/>
    <s v="Male"/>
  </r>
  <r>
    <s v="SWG1348"/>
    <d v="2024-05-19T00:00:00"/>
    <x v="5"/>
    <s v="Sun"/>
    <s v="Papacream"/>
    <x v="5"/>
    <s v="Ice Cream, Healthy Food, Desserts"/>
    <x v="4"/>
    <s v="Veg"/>
    <n v="1"/>
    <n v="533"/>
    <n v="533"/>
    <n v="4.3"/>
    <n v="38"/>
    <n v="120"/>
    <n v="60"/>
    <x v="2"/>
    <n v="19"/>
    <s v="Female"/>
  </r>
  <r>
    <s v="SWG1349"/>
    <d v="2024-07-15T00:00:00"/>
    <x v="4"/>
    <s v="Mon"/>
    <s v="Bangalore Iyengar's Bakery"/>
    <x v="2"/>
    <s v="Bakery"/>
    <x v="5"/>
    <s v="Veg"/>
    <n v="3"/>
    <n v="461"/>
    <n v="1383"/>
    <n v="3.9"/>
    <n v="51"/>
    <m/>
    <n v="0"/>
    <x v="0"/>
    <n v="18"/>
    <s v="Female"/>
  </r>
  <r>
    <s v="SWG1350"/>
    <d v="2024-02-06T00:00:00"/>
    <x v="7"/>
    <s v="Tue"/>
    <s v="B Burger - Bigger Burger"/>
    <x v="4"/>
    <s v="Burgers, American, Beverages, Snacks"/>
    <x v="0"/>
    <s v="Veg"/>
    <n v="1"/>
    <n v="339"/>
    <n v="339"/>
    <n v="4.2"/>
    <n v="45"/>
    <n v="349"/>
    <n v="0"/>
    <x v="0"/>
    <n v="25"/>
    <s v="Male"/>
  </r>
  <r>
    <s v="SWG1351"/>
    <d v="2024-06-08T00:00:00"/>
    <x v="1"/>
    <s v="Sat"/>
    <s v="Art Of Dum"/>
    <x v="4"/>
    <s v="Biryani, North Indian, Kebabs, Indian, Awadhi, Hyderabadi, Mughlai, Desserts, Beverages"/>
    <x v="2"/>
    <s v="Non-Veg"/>
    <n v="1"/>
    <n v="510"/>
    <n v="510"/>
    <n v="4.4000000000000004"/>
    <n v="59"/>
    <n v="300"/>
    <n v="25"/>
    <x v="0"/>
    <n v="45"/>
    <s v="Female"/>
  </r>
  <r>
    <s v="SWG1352"/>
    <d v="2024-01-09T00:00:00"/>
    <x v="2"/>
    <s v="Tue"/>
    <s v="China Box Co"/>
    <x v="7"/>
    <s v="Chinese, Asian, Thai, Seafood"/>
    <x v="5"/>
    <s v="Veg"/>
    <n v="4"/>
    <n v="282"/>
    <n v="1128"/>
    <n v="4.0999999999999996"/>
    <n v="42"/>
    <n v="499"/>
    <n v="0"/>
    <x v="0"/>
    <n v="36"/>
    <s v="Male"/>
  </r>
  <r>
    <s v="SWG1353"/>
    <d v="2024-08-20T00:00:00"/>
    <x v="6"/>
    <s v="Tue"/>
    <s v="Mini Punjab"/>
    <x v="4"/>
    <s v="North Indian, Chinese"/>
    <x v="5"/>
    <s v="Veg"/>
    <n v="2"/>
    <n v="558"/>
    <n v="1116"/>
    <n v="4.2"/>
    <n v="52"/>
    <n v="80"/>
    <n v="15"/>
    <x v="1"/>
    <n v="47"/>
    <s v="Male"/>
  </r>
  <r>
    <s v="SWG1354"/>
    <d v="2024-04-08T00:00:00"/>
    <x v="0"/>
    <s v="Mon"/>
    <s v="Dimsum (Momo) Express"/>
    <x v="7"/>
    <s v="North Indian, Chinese, Tandoor"/>
    <x v="5"/>
    <s v="Veg"/>
    <n v="1"/>
    <n v="339"/>
    <n v="339"/>
    <n v="4"/>
    <n v="45"/>
    <n v="749"/>
    <n v="0"/>
    <x v="1"/>
    <n v="28"/>
    <s v="Male"/>
  </r>
  <r>
    <s v="SWG1355"/>
    <d v="2024-05-26T00:00:00"/>
    <x v="5"/>
    <s v="Sun"/>
    <s v="Coco Cafe"/>
    <x v="24"/>
    <s v="Cafe, Burgers, American, Italian, Beverages, Desserts, Pastas, Continental"/>
    <x v="0"/>
    <s v="Veg"/>
    <n v="2"/>
    <n v="389"/>
    <n v="778"/>
    <n v="4.0999999999999996"/>
    <n v="66"/>
    <n v="499"/>
    <n v="0"/>
    <x v="3"/>
    <n v="45"/>
    <s v="Male"/>
  </r>
  <r>
    <s v="SWG1356"/>
    <d v="2024-02-17T00:00:00"/>
    <x v="7"/>
    <s v="Sat"/>
    <s v="Al-Baik.Com"/>
    <x v="11"/>
    <s v="Fast Food, Pizzas, Burgers, Rolls &amp; Wraps, Snacks"/>
    <x v="1"/>
    <s v="Veg"/>
    <n v="3"/>
    <n v="239"/>
    <n v="717"/>
    <n v="3.7"/>
    <n v="52"/>
    <m/>
    <n v="0"/>
    <x v="2"/>
    <n v="29"/>
    <s v="Male"/>
  </r>
  <r>
    <s v="SWG1357"/>
    <d v="2024-07-26T00:00:00"/>
    <x v="4"/>
    <s v="Fri"/>
    <s v="Foodland"/>
    <x v="4"/>
    <s v="Mughlai, North Indian, Chinese, Seafood"/>
    <x v="5"/>
    <s v="Veg"/>
    <n v="1"/>
    <n v="513"/>
    <n v="513"/>
    <n v="4.5"/>
    <n v="53"/>
    <m/>
    <n v="0"/>
    <x v="2"/>
    <n v="29"/>
    <s v="Female"/>
  </r>
  <r>
    <s v="SWG1358"/>
    <d v="2024-05-10T00:00:00"/>
    <x v="5"/>
    <s v="Fri"/>
    <s v="House of Candy"/>
    <x v="4"/>
    <s v="Sweets"/>
    <x v="5"/>
    <s v="Veg"/>
    <n v="4"/>
    <n v="455"/>
    <n v="1820"/>
    <n v="3.7"/>
    <n v="78"/>
    <m/>
    <n v="0"/>
    <x v="0"/>
    <n v="24"/>
    <s v="Female"/>
  </r>
  <r>
    <s v="SWG1359"/>
    <d v="2024-05-27T00:00:00"/>
    <x v="5"/>
    <s v="Mon"/>
    <s v="Fruit Pop by Eatfit"/>
    <x v="23"/>
    <s v="Beverages, Juices, Healthy Food, Desserts"/>
    <x v="4"/>
    <s v="Veg"/>
    <n v="3"/>
    <n v="519"/>
    <n v="1557"/>
    <n v="3.3"/>
    <n v="41"/>
    <n v="80"/>
    <n v="40"/>
    <x v="1"/>
    <n v="43"/>
    <s v="Female"/>
  </r>
  <r>
    <s v="SWG1360"/>
    <d v="2024-05-31T00:00:00"/>
    <x v="5"/>
    <s v="Fri"/>
    <s v="Artinci - Indulge Guilt Free!"/>
    <x v="4"/>
    <s v="Ice Cream, Healthy Food, Keto, Desserts, Snacks, Beverages, Bakery, Sweets"/>
    <x v="4"/>
    <s v="Veg"/>
    <n v="3"/>
    <n v="301"/>
    <n v="903"/>
    <n v="4.2"/>
    <n v="50"/>
    <n v="449"/>
    <n v="0"/>
    <x v="0"/>
    <n v="30"/>
    <s v="Male"/>
  </r>
  <r>
    <s v="SWG1361"/>
    <d v="2024-02-23T00:00:00"/>
    <x v="7"/>
    <s v="Fri"/>
    <s v="Taaka Chinese"/>
    <x v="36"/>
    <s v="Chinese, Oriental, Asian"/>
    <x v="5"/>
    <s v="Veg"/>
    <n v="4"/>
    <n v="598"/>
    <n v="2392"/>
    <n v="3"/>
    <n v="46"/>
    <n v="129"/>
    <n v="0"/>
    <x v="3"/>
    <n v="44"/>
    <s v="Female"/>
  </r>
  <r>
    <s v="SWG1362"/>
    <d v="2024-04-29T00:00:00"/>
    <x v="0"/>
    <s v="Mon"/>
    <s v="Tandoori Nights"/>
    <x v="3"/>
    <s v="Mughlai, Chinese"/>
    <x v="5"/>
    <s v="Veg"/>
    <n v="1"/>
    <n v="225"/>
    <n v="225"/>
    <n v="4.0999999999999996"/>
    <n v="43"/>
    <m/>
    <n v="0"/>
    <x v="2"/>
    <n v="25"/>
    <s v="Female"/>
  </r>
  <r>
    <s v="SWG1363"/>
    <d v="2024-06-09T00:00:00"/>
    <x v="1"/>
    <s v="Sun"/>
    <s v="Mirch"/>
    <x v="8"/>
    <s v="Mughlai, North Indian, Chinese, South Indian"/>
    <x v="5"/>
    <s v="Veg"/>
    <n v="1"/>
    <n v="336"/>
    <n v="336"/>
    <n v="4.3"/>
    <n v="38"/>
    <n v="50"/>
    <n v="20"/>
    <x v="2"/>
    <n v="48"/>
    <s v="Female"/>
  </r>
  <r>
    <s v="SWG1364"/>
    <d v="2024-05-31T00:00:00"/>
    <x v="5"/>
    <s v="Fri"/>
    <s v="Banglore Iyengar Bakery"/>
    <x v="2"/>
    <s v="Bakery, Snacks"/>
    <x v="5"/>
    <s v="Veg"/>
    <n v="3"/>
    <n v="324"/>
    <n v="972"/>
    <n v="4.3"/>
    <n v="16"/>
    <m/>
    <n v="0"/>
    <x v="0"/>
    <n v="49"/>
    <s v="Female"/>
  </r>
  <r>
    <s v="SWG1365"/>
    <d v="2024-04-25T00:00:00"/>
    <x v="0"/>
    <s v="Thu"/>
    <s v="The Baker's Dozen"/>
    <x v="36"/>
    <s v="Bakery, Snacks, Desserts"/>
    <x v="4"/>
    <s v="Veg"/>
    <n v="1"/>
    <n v="189"/>
    <n v="189"/>
    <n v="4.5"/>
    <n v="40"/>
    <n v="449"/>
    <n v="0"/>
    <x v="3"/>
    <n v="46"/>
    <s v="Female"/>
  </r>
  <r>
    <s v="SWG1366"/>
    <d v="2024-03-15T00:00:00"/>
    <x v="3"/>
    <s v="Fri"/>
    <s v="Haka"/>
    <x v="4"/>
    <s v="Chinese, Asian"/>
    <x v="5"/>
    <s v="Veg"/>
    <n v="2"/>
    <n v="163"/>
    <n v="326"/>
    <n v="4.3"/>
    <n v="64"/>
    <n v="249"/>
    <n v="0"/>
    <x v="2"/>
    <n v="46"/>
    <s v="Male"/>
  </r>
  <r>
    <s v="SWG1367"/>
    <d v="2024-04-22T00:00:00"/>
    <x v="0"/>
    <s v="Mon"/>
    <s v="Samosa Singh"/>
    <x v="7"/>
    <s v="North Indian, Indian, Snacks, Street Food"/>
    <x v="5"/>
    <s v="Veg"/>
    <n v="4"/>
    <n v="448"/>
    <n v="1792"/>
    <n v="3.9"/>
    <n v="44"/>
    <n v="499"/>
    <n v="0"/>
    <x v="3"/>
    <n v="39"/>
    <s v="Male"/>
  </r>
  <r>
    <s v="SWG1368"/>
    <d v="2024-07-18T00:00:00"/>
    <x v="4"/>
    <s v="Thu"/>
    <s v="Mainland China"/>
    <x v="24"/>
    <s v="Chinese"/>
    <x v="5"/>
    <s v="Veg"/>
    <n v="2"/>
    <n v="420"/>
    <n v="840"/>
    <n v="4.3"/>
    <n v="60"/>
    <n v="249"/>
    <n v="0"/>
    <x v="3"/>
    <n v="45"/>
    <s v="Female"/>
  </r>
  <r>
    <s v="SWG1369"/>
    <d v="2024-06-12T00:00:00"/>
    <x v="1"/>
    <s v="Wed"/>
    <s v="The Brooklyn Creamery - Healthy Ice Cream"/>
    <x v="36"/>
    <s v="Desserts, Ice Cream, Healthy Food"/>
    <x v="4"/>
    <s v="Veg"/>
    <n v="1"/>
    <n v="347"/>
    <n v="347"/>
    <n v="4.2"/>
    <n v="47"/>
    <n v="800"/>
    <n v="15"/>
    <x v="0"/>
    <n v="43"/>
    <s v="Male"/>
  </r>
  <r>
    <s v="SWG1370"/>
    <d v="2024-06-14T00:00:00"/>
    <x v="1"/>
    <s v="Fri"/>
    <s v="Ribbons And Balloons - The Cake Shop"/>
    <x v="45"/>
    <s v="Cakes and Pastries, Bakery, Desserts, Ice Cream"/>
    <x v="4"/>
    <s v="Veg"/>
    <n v="3"/>
    <n v="303"/>
    <n v="909"/>
    <n v="4.5"/>
    <n v="40"/>
    <m/>
    <n v="0"/>
    <x v="1"/>
    <n v="47"/>
    <s v="Male"/>
  </r>
  <r>
    <s v="SWG1371"/>
    <d v="2024-04-13T00:00:00"/>
    <x v="0"/>
    <s v="Sat"/>
    <s v="Mom's Kitchen"/>
    <x v="2"/>
    <s v="North Indian, Indian, Biryani"/>
    <x v="2"/>
    <s v="Non-Veg"/>
    <n v="4"/>
    <n v="226"/>
    <n v="904"/>
    <n v="3.2"/>
    <n v="56"/>
    <m/>
    <n v="0"/>
    <x v="0"/>
    <n v="26"/>
    <s v="Female"/>
  </r>
  <r>
    <s v="SWG1372"/>
    <d v="2024-03-24T00:00:00"/>
    <x v="3"/>
    <s v="Sun"/>
    <s v="Nomad Pizza- Traveller Series"/>
    <x v="4"/>
    <s v="Pizzas, Fast Food, Desserts, Beverages"/>
    <x v="1"/>
    <s v="Veg"/>
    <n v="1"/>
    <n v="203"/>
    <n v="203"/>
    <n v="4.3"/>
    <n v="55"/>
    <n v="999"/>
    <n v="0"/>
    <x v="1"/>
    <n v="24"/>
    <s v="Female"/>
  </r>
  <r>
    <s v="SWG1373"/>
    <d v="2024-08-14T00:00:00"/>
    <x v="6"/>
    <s v="Wed"/>
    <s v="Prasuma Momo Kitchen"/>
    <x v="11"/>
    <s v="Chinese, Asian, Snacks, Tibetan, Street Food, Japanese, Pan-Asian, Beverages"/>
    <x v="3"/>
    <s v="Veg"/>
    <n v="1"/>
    <n v="457"/>
    <n v="457"/>
    <n v="4.5999999999999996"/>
    <n v="48"/>
    <n v="499"/>
    <n v="0"/>
    <x v="3"/>
    <n v="48"/>
    <s v="Male"/>
  </r>
  <r>
    <s v="SWG1374"/>
    <d v="2024-04-21T00:00:00"/>
    <x v="0"/>
    <s v="Sun"/>
    <s v="The Betel Leaf Co."/>
    <x v="11"/>
    <s v="Paan, Desserts, Indian"/>
    <x v="4"/>
    <s v="Veg"/>
    <n v="3"/>
    <n v="369"/>
    <n v="1107"/>
    <n v="4.5999999999999996"/>
    <n v="45"/>
    <n v="700"/>
    <n v="15"/>
    <x v="1"/>
    <n v="43"/>
    <s v="Female"/>
  </r>
  <r>
    <s v="SWG1375"/>
    <d v="2024-08-04T00:00:00"/>
    <x v="6"/>
    <s v="Sun"/>
    <s v="Punjab Grill"/>
    <x v="4"/>
    <s v="North Indian, Kebabs, Biryani, Mughlai"/>
    <x v="2"/>
    <s v="Non-Veg"/>
    <n v="3"/>
    <n v="482"/>
    <n v="1446"/>
    <n v="3.9"/>
    <n v="70"/>
    <n v="249"/>
    <n v="0"/>
    <x v="3"/>
    <n v="38"/>
    <s v="Male"/>
  </r>
  <r>
    <s v="SWG1376"/>
    <d v="2024-04-08T00:00:00"/>
    <x v="0"/>
    <s v="Mon"/>
    <s v="Asia Kitchen By Mainland China"/>
    <x v="24"/>
    <s v="Asian, Japanese, Chinese"/>
    <x v="5"/>
    <s v="Veg"/>
    <n v="2"/>
    <n v="560"/>
    <n v="1120"/>
    <n v="4.4000000000000004"/>
    <n v="60"/>
    <n v="249"/>
    <n v="0"/>
    <x v="2"/>
    <n v="41"/>
    <s v="Male"/>
  </r>
  <r>
    <s v="SWG1377"/>
    <d v="2024-06-01T00:00:00"/>
    <x v="1"/>
    <s v="Sat"/>
    <s v="Giani"/>
    <x v="7"/>
    <s v="Ice Cream, Beverages"/>
    <x v="3"/>
    <s v="Veg"/>
    <n v="4"/>
    <n v="140"/>
    <n v="560"/>
    <n v="4"/>
    <n v="41"/>
    <m/>
    <n v="0"/>
    <x v="2"/>
    <n v="32"/>
    <s v="Female"/>
  </r>
  <r>
    <s v="SWG1378"/>
    <d v="2024-04-02T00:00:00"/>
    <x v="0"/>
    <s v="Tue"/>
    <s v="PizzaExpress"/>
    <x v="24"/>
    <s v="Pizzas, Italian"/>
    <x v="1"/>
    <s v="Veg"/>
    <n v="4"/>
    <n v="315"/>
    <n v="1260"/>
    <n v="4.0999999999999996"/>
    <n v="59"/>
    <n v="1299"/>
    <n v="0"/>
    <x v="2"/>
    <n v="19"/>
    <s v="Male"/>
  </r>
  <r>
    <s v="SWG1379"/>
    <d v="2024-05-25T00:00:00"/>
    <x v="5"/>
    <s v="Sat"/>
    <s v="Crusto's - Cheese Burst Pizza"/>
    <x v="4"/>
    <s v="Pizzas, Pastas, Fast Food, Snacks, Beverages"/>
    <x v="1"/>
    <s v="Veg"/>
    <n v="3"/>
    <n v="297"/>
    <n v="891"/>
    <n v="4.2"/>
    <n v="63"/>
    <n v="249"/>
    <n v="0"/>
    <x v="0"/>
    <n v="40"/>
    <s v="Male"/>
  </r>
  <r>
    <s v="SWG1380"/>
    <d v="2024-05-07T00:00:00"/>
    <x v="5"/>
    <s v="Tue"/>
    <s v="Green Cravings"/>
    <x v="36"/>
    <s v="Healthy Food, Fast Food, Grill"/>
    <x v="5"/>
    <s v="Veg"/>
    <n v="2"/>
    <n v="536"/>
    <n v="1072"/>
    <n v="4.0999999999999996"/>
    <n v="50"/>
    <n v="159"/>
    <n v="0"/>
    <x v="0"/>
    <n v="48"/>
    <s v="Male"/>
  </r>
  <r>
    <s v="SWG1381"/>
    <d v="2024-04-19T00:00:00"/>
    <x v="0"/>
    <s v="Fri"/>
    <s v="Biryani Badshah"/>
    <x v="4"/>
    <s v="Biryani, Hyderabadi, Andhra, South Indian, North Indian, Mughlai, Kebabs"/>
    <x v="2"/>
    <s v="Non-Veg"/>
    <n v="4"/>
    <n v="594"/>
    <n v="2376"/>
    <n v="4.0999999999999996"/>
    <n v="53"/>
    <n v="449"/>
    <n v="0"/>
    <x v="3"/>
    <n v="37"/>
    <s v="Female"/>
  </r>
  <r>
    <s v="SWG1382"/>
    <d v="2024-03-22T00:00:00"/>
    <x v="3"/>
    <s v="Fri"/>
    <s v="Naadbramha Idli"/>
    <x v="11"/>
    <s v="Chinese, South Indian"/>
    <x v="5"/>
    <s v="Veg"/>
    <n v="3"/>
    <n v="126"/>
    <n v="378"/>
    <n v="3.8"/>
    <n v="43"/>
    <m/>
    <n v="0"/>
    <x v="2"/>
    <n v="42"/>
    <s v="Female"/>
  </r>
  <r>
    <s v="SWG1383"/>
    <d v="2024-07-12T00:00:00"/>
    <x v="4"/>
    <s v="Fri"/>
    <s v="BOSS Burger"/>
    <x v="24"/>
    <s v="Burgers, American, Fast Food, Snacks"/>
    <x v="0"/>
    <s v="Veg"/>
    <n v="1"/>
    <n v="189"/>
    <n v="189"/>
    <n v="4.0999999999999996"/>
    <n v="49"/>
    <n v="999"/>
    <n v="0"/>
    <x v="0"/>
    <n v="29"/>
    <s v="Female"/>
  </r>
  <r>
    <s v="SWG1384"/>
    <d v="2024-02-23T00:00:00"/>
    <x v="7"/>
    <s v="Fri"/>
    <s v="Edesia by Freshmenu"/>
    <x v="36"/>
    <s v="Desserts, Bakery, Fast Food"/>
    <x v="4"/>
    <s v="Veg"/>
    <n v="4"/>
    <n v="246"/>
    <n v="984"/>
    <n v="4.0999999999999996"/>
    <n v="49"/>
    <m/>
    <n v="0"/>
    <x v="2"/>
    <n v="18"/>
    <s v="Female"/>
  </r>
  <r>
    <s v="SWG1385"/>
    <d v="2024-06-11T00:00:00"/>
    <x v="1"/>
    <s v="Tue"/>
    <s v="Doner and Gyros"/>
    <x v="33"/>
    <s v="Lebanese, Middle Eastern, Healthy Food, Salads, Snacks, American, Desserts, Beverages, Rolls &amp; Wraps, Fast Food"/>
    <x v="4"/>
    <s v="Veg"/>
    <n v="2"/>
    <n v="518"/>
    <n v="1036"/>
    <n v="4.5"/>
    <n v="50"/>
    <m/>
    <n v="0"/>
    <x v="0"/>
    <n v="40"/>
    <s v="Male"/>
  </r>
  <r>
    <s v="SWG1386"/>
    <d v="2024-07-26T00:00:00"/>
    <x v="4"/>
    <s v="Fri"/>
    <s v="New York Waffles &amp; Dinges"/>
    <x v="7"/>
    <s v="Waffle, Bakery, Desserts, Beverages, Ice Cream"/>
    <x v="4"/>
    <s v="Veg"/>
    <n v="2"/>
    <n v="585"/>
    <n v="1170"/>
    <n v="3.7"/>
    <n v="38"/>
    <n v="449"/>
    <n v="0"/>
    <x v="1"/>
    <n v="39"/>
    <s v="Female"/>
  </r>
  <r>
    <s v="SWG1387"/>
    <d v="2024-07-07T00:00:00"/>
    <x v="4"/>
    <s v="Sun"/>
    <s v="Vividham Sweets and Dryfruits"/>
    <x v="8"/>
    <s v="Indian, Snacks"/>
    <x v="5"/>
    <s v="Veg"/>
    <n v="2"/>
    <n v="279"/>
    <n v="558"/>
    <n v="4.7"/>
    <n v="22"/>
    <n v="1000"/>
    <n v="10"/>
    <x v="1"/>
    <n v="25"/>
    <s v="Female"/>
  </r>
  <r>
    <s v="SWG1388"/>
    <d v="2024-06-17T00:00:00"/>
    <x v="1"/>
    <s v="Mon"/>
    <s v="Juno's Pizza by EatFit - Baking Fresh Since 1974"/>
    <x v="3"/>
    <s v="Pizzas, Pastas, Jain, Beverages, Desserts, Fast Food"/>
    <x v="1"/>
    <s v="Veg"/>
    <n v="1"/>
    <n v="367"/>
    <n v="367"/>
    <n v="4.2"/>
    <n v="40"/>
    <n v="249"/>
    <n v="0"/>
    <x v="2"/>
    <n v="22"/>
    <s v="Female"/>
  </r>
  <r>
    <s v="SWG1389"/>
    <d v="2024-08-15T00:00:00"/>
    <x v="6"/>
    <s v="Thu"/>
    <s v="Starboy Pizza &amp; Shakes"/>
    <x v="7"/>
    <s v="Pizzas, Italian, Desserts, Beverages"/>
    <x v="1"/>
    <s v="Veg"/>
    <n v="4"/>
    <n v="322"/>
    <n v="1288"/>
    <n v="4"/>
    <n v="42"/>
    <n v="449"/>
    <n v="0"/>
    <x v="3"/>
    <n v="32"/>
    <s v="Female"/>
  </r>
  <r>
    <s v="SWG1390"/>
    <d v="2024-06-09T00:00:00"/>
    <x v="1"/>
    <s v="Sun"/>
    <s v="SLAY Coffee"/>
    <x v="36"/>
    <s v="Cafe, Beverages, Desserts, Snacks, Pastas"/>
    <x v="4"/>
    <s v="Veg"/>
    <n v="4"/>
    <n v="267"/>
    <n v="1068"/>
    <n v="4.2"/>
    <n v="55"/>
    <n v="399"/>
    <n v="0"/>
    <x v="0"/>
    <n v="18"/>
    <s v="Male"/>
  </r>
  <r>
    <s v="SWG1391"/>
    <d v="2024-03-08T00:00:00"/>
    <x v="3"/>
    <s v="Fri"/>
    <s v="The Sugar Free Keto Kafe - Artinci"/>
    <x v="4"/>
    <s v="Ice Cream, Keto, Healthy Food, Sweets, Bakery, Desserts, Snacks"/>
    <x v="4"/>
    <s v="Veg"/>
    <n v="1"/>
    <n v="591"/>
    <n v="591"/>
    <n v="4.4000000000000004"/>
    <n v="45"/>
    <n v="449"/>
    <n v="0"/>
    <x v="0"/>
    <n v="18"/>
    <s v="Male"/>
  </r>
  <r>
    <s v="SWG1392"/>
    <d v="2024-02-02T00:00:00"/>
    <x v="7"/>
    <s v="Fri"/>
    <s v="Cake Walk"/>
    <x v="11"/>
    <s v="Indian, Bakery, Waffle, Desserts"/>
    <x v="4"/>
    <s v="Veg"/>
    <n v="4"/>
    <n v="262"/>
    <n v="1048"/>
    <n v="3"/>
    <n v="46"/>
    <m/>
    <n v="0"/>
    <x v="1"/>
    <n v="42"/>
    <s v="Male"/>
  </r>
  <r>
    <s v="SWG1393"/>
    <d v="2024-05-21T00:00:00"/>
    <x v="5"/>
    <s v="Tue"/>
    <s v="Akkad Bakkad Bombay Boo - AB3"/>
    <x v="0"/>
    <s v="Snacks, Fast Food, Pizzas"/>
    <x v="1"/>
    <s v="Veg"/>
    <n v="1"/>
    <n v="551"/>
    <n v="551"/>
    <n v="4.5"/>
    <n v="33"/>
    <n v="449"/>
    <n v="0"/>
    <x v="1"/>
    <n v="48"/>
    <s v="Female"/>
  </r>
  <r>
    <s v="SWG1394"/>
    <d v="2024-01-21T00:00:00"/>
    <x v="2"/>
    <s v="Sun"/>
    <s v="The Wafflemeister"/>
    <x v="0"/>
    <s v="Desserts, Beverages, Sweets, Ice Cream"/>
    <x v="4"/>
    <s v="Veg"/>
    <n v="1"/>
    <n v="318"/>
    <n v="318"/>
    <n v="4.4000000000000004"/>
    <n v="32"/>
    <n v="80"/>
    <n v="40"/>
    <x v="3"/>
    <n v="27"/>
    <s v="Female"/>
  </r>
  <r>
    <s v="SWG1395"/>
    <d v="2024-02-17T00:00:00"/>
    <x v="7"/>
    <s v="Sat"/>
    <s v="Sanjay Pure Veg"/>
    <x v="8"/>
    <s v="Indian, South Indian"/>
    <x v="5"/>
    <s v="Veg"/>
    <n v="1"/>
    <n v="524"/>
    <n v="524"/>
    <n v="4.3"/>
    <n v="29"/>
    <m/>
    <n v="0"/>
    <x v="3"/>
    <n v="39"/>
    <s v="Male"/>
  </r>
  <r>
    <s v="SWG1396"/>
    <d v="2024-05-27T00:00:00"/>
    <x v="5"/>
    <s v="Mon"/>
    <s v="Su-Veg"/>
    <x v="8"/>
    <s v="North Indian, Chinese, South Indian, Biryani, Snacks, Beverages"/>
    <x v="2"/>
    <s v="Non-Veg"/>
    <n v="2"/>
    <n v="545"/>
    <n v="1090"/>
    <n v="4.4000000000000004"/>
    <n v="39"/>
    <n v="75"/>
    <n v="30"/>
    <x v="3"/>
    <n v="27"/>
    <s v="Female"/>
  </r>
  <r>
    <s v="SWG1397"/>
    <d v="2024-05-07T00:00:00"/>
    <x v="5"/>
    <s v="Tue"/>
    <s v="Harsh Thali and Parathas - Mom Makes, Son Sells"/>
    <x v="0"/>
    <s v="North Indian, Thalis, Gujarati, Rajasthani, Jain, Chinese"/>
    <x v="5"/>
    <s v="Veg"/>
    <n v="4"/>
    <n v="273"/>
    <n v="1092"/>
    <n v="4.5"/>
    <n v="39"/>
    <n v="50"/>
    <n v="20"/>
    <x v="2"/>
    <n v="38"/>
    <s v="Female"/>
  </r>
  <r>
    <s v="SWG1398"/>
    <d v="2024-05-15T00:00:00"/>
    <x v="5"/>
    <s v="Wed"/>
    <s v="Monopoly"/>
    <x v="3"/>
    <s v="Italian, Mexican, Continental, Juices, Pizzas, Snacks, Pastas, Beverages"/>
    <x v="1"/>
    <s v="Veg"/>
    <n v="1"/>
    <n v="495"/>
    <n v="495"/>
    <n v="4.2"/>
    <n v="37"/>
    <m/>
    <n v="0"/>
    <x v="1"/>
    <n v="32"/>
    <s v="Male"/>
  </r>
  <r>
    <s v="SWG1399"/>
    <d v="2024-05-14T00:00:00"/>
    <x v="5"/>
    <s v="Tue"/>
    <s v="Hotel Sarvoday"/>
    <x v="2"/>
    <s v="Chinese"/>
    <x v="5"/>
    <s v="Veg"/>
    <n v="4"/>
    <n v="503"/>
    <n v="2012"/>
    <n v="3.1"/>
    <n v="34"/>
    <n v="200"/>
    <n v="40"/>
    <x v="2"/>
    <n v="34"/>
    <s v="Male"/>
  </r>
  <r>
    <s v="SWG1400"/>
    <d v="2024-07-13T00:00:00"/>
    <x v="4"/>
    <s v="Sat"/>
    <s v="Maa Anjani Pav Bhaji Centre"/>
    <x v="3"/>
    <s v="Chinese"/>
    <x v="5"/>
    <s v="Veg"/>
    <n v="2"/>
    <n v="261"/>
    <n v="522"/>
    <n v="4.4000000000000004"/>
    <n v="32"/>
    <m/>
    <n v="0"/>
    <x v="1"/>
    <n v="39"/>
    <s v="Female"/>
  </r>
  <r>
    <s v="SWG1401"/>
    <d v="2024-05-24T00:00:00"/>
    <x v="5"/>
    <s v="Fri"/>
    <s v="Maharashtra Biryani center"/>
    <x v="0"/>
    <s v="Biryani"/>
    <x v="2"/>
    <s v="Non-Veg"/>
    <n v="1"/>
    <n v="432"/>
    <n v="432"/>
    <n v="3.9"/>
    <n v="28"/>
    <m/>
    <n v="0"/>
    <x v="1"/>
    <n v="23"/>
    <s v="Female"/>
  </r>
  <r>
    <s v="SWG1402"/>
    <d v="2024-05-07T00:00:00"/>
    <x v="5"/>
    <s v="Tue"/>
    <s v="Jain Dughdalay"/>
    <x v="7"/>
    <s v="Sweets"/>
    <x v="5"/>
    <s v="Veg"/>
    <n v="3"/>
    <n v="284"/>
    <n v="852"/>
    <n v="4.4000000000000004"/>
    <n v="22"/>
    <n v="700"/>
    <n v="10"/>
    <x v="0"/>
    <n v="20"/>
    <s v="Female"/>
  </r>
  <r>
    <s v="SWG1403"/>
    <d v="2024-02-02T00:00:00"/>
    <x v="7"/>
    <s v="Fri"/>
    <s v="69 Dackers Lane"/>
    <x v="2"/>
    <s v="Bengali, Biryani"/>
    <x v="2"/>
    <s v="Non-Veg"/>
    <n v="2"/>
    <n v="433"/>
    <n v="866"/>
    <n v="3.8"/>
    <n v="27"/>
    <n v="100"/>
    <n v="50"/>
    <x v="1"/>
    <n v="30"/>
    <s v="Male"/>
  </r>
  <r>
    <s v="SWG1404"/>
    <d v="2024-06-24T00:00:00"/>
    <x v="1"/>
    <s v="Mon"/>
    <s v="Madras Talkies"/>
    <x v="2"/>
    <s v="South Indian, Beverages"/>
    <x v="3"/>
    <s v="Veg"/>
    <n v="3"/>
    <n v="140"/>
    <n v="420"/>
    <n v="3.6"/>
    <n v="19"/>
    <n v="499"/>
    <n v="0"/>
    <x v="1"/>
    <n v="33"/>
    <s v="Male"/>
  </r>
  <r>
    <s v="SWG1405"/>
    <d v="2024-07-22T00:00:00"/>
    <x v="4"/>
    <s v="Mon"/>
    <s v="Rama's Sweets &amp; Snacks"/>
    <x v="2"/>
    <s v="Sweets, Snacks"/>
    <x v="5"/>
    <s v="Veg"/>
    <n v="4"/>
    <n v="201"/>
    <n v="804"/>
    <n v="4.3"/>
    <n v="12"/>
    <n v="40"/>
    <n v="10"/>
    <x v="2"/>
    <n v="25"/>
    <s v="Male"/>
  </r>
  <r>
    <s v="SWG1406"/>
    <d v="2024-07-05T00:00:00"/>
    <x v="4"/>
    <s v="Fri"/>
    <s v="Malvan Kinara"/>
    <x v="46"/>
    <s v="Indian, Chinese"/>
    <x v="5"/>
    <s v="Veg"/>
    <n v="4"/>
    <n v="188"/>
    <n v="752"/>
    <n v="4.2"/>
    <n v="43"/>
    <n v="1500"/>
    <n v="10"/>
    <x v="1"/>
    <n v="47"/>
    <s v="Male"/>
  </r>
  <r>
    <s v="SWG1407"/>
    <d v="2024-04-24T00:00:00"/>
    <x v="0"/>
    <s v="Wed"/>
    <s v="Oye Bihari - Real Taste of Bihar"/>
    <x v="0"/>
    <s v="Indian, Seafood"/>
    <x v="5"/>
    <s v="Veg"/>
    <n v="2"/>
    <n v="250"/>
    <n v="500"/>
    <n v="4"/>
    <n v="34"/>
    <n v="100"/>
    <n v="50"/>
    <x v="2"/>
    <n v="32"/>
    <s v="Female"/>
  </r>
  <r>
    <s v="SWG1408"/>
    <d v="2024-08-01T00:00:00"/>
    <x v="6"/>
    <s v="Thu"/>
    <s v="DonBuri"/>
    <x v="36"/>
    <s v="Continental, Chinese, Oriental, Asian, Healthy Food, Fast Food, Indian, Desserts"/>
    <x v="4"/>
    <s v="Veg"/>
    <n v="4"/>
    <n v="206"/>
    <n v="824"/>
    <n v="3.8"/>
    <n v="45"/>
    <n v="129"/>
    <n v="0"/>
    <x v="3"/>
    <n v="34"/>
    <s v="Male"/>
  </r>
  <r>
    <s v="SWG1409"/>
    <d v="2024-04-28T00:00:00"/>
    <x v="0"/>
    <s v="Sun"/>
    <s v="Khichdi Express"/>
    <x v="4"/>
    <s v="Indian, North Indian, Home Food, Healthy Food, Snacks, Juices, Beverages"/>
    <x v="3"/>
    <s v="Veg"/>
    <n v="3"/>
    <n v="337"/>
    <n v="1011"/>
    <n v="4.2"/>
    <n v="55"/>
    <m/>
    <n v="0"/>
    <x v="1"/>
    <n v="34"/>
    <s v="Male"/>
  </r>
  <r>
    <s v="SWG1410"/>
    <d v="2024-01-22T00:00:00"/>
    <x v="2"/>
    <s v="Mon"/>
    <s v="Keventers Ice Cream"/>
    <x v="4"/>
    <s v="Ice Cream, Desserts"/>
    <x v="4"/>
    <s v="Veg"/>
    <n v="1"/>
    <n v="540"/>
    <n v="540"/>
    <n v="4.0999999999999996"/>
    <n v="55"/>
    <n v="399"/>
    <n v="0"/>
    <x v="1"/>
    <n v="39"/>
    <s v="Female"/>
  </r>
  <r>
    <s v="SWG1411"/>
    <d v="2024-08-25T00:00:00"/>
    <x v="6"/>
    <s v="Sun"/>
    <s v="ENSO - Sourdough Pizza by Nomad"/>
    <x v="11"/>
    <s v="Pizzas, Fast Food, Desserts, Salads, Beverages"/>
    <x v="1"/>
    <s v="Veg"/>
    <n v="1"/>
    <n v="591"/>
    <n v="591"/>
    <n v="4.5999999999999996"/>
    <n v="53"/>
    <n v="999"/>
    <n v="0"/>
    <x v="2"/>
    <n v="43"/>
    <s v="Female"/>
  </r>
  <r>
    <s v="SWG1412"/>
    <d v="2024-06-06T00:00:00"/>
    <x v="1"/>
    <s v="Thu"/>
    <s v="Cafe Delhi Heights"/>
    <x v="4"/>
    <s v="Italian, American, Indian"/>
    <x v="5"/>
    <s v="Veg"/>
    <n v="1"/>
    <n v="424"/>
    <n v="424"/>
    <n v="4"/>
    <n v="66"/>
    <n v="399"/>
    <n v="0"/>
    <x v="3"/>
    <n v="30"/>
    <s v="Female"/>
  </r>
  <r>
    <s v="SWG1413"/>
    <d v="2024-02-07T00:00:00"/>
    <x v="7"/>
    <s v="Wed"/>
    <s v="Raja Chinese &amp; Tandoor Corner"/>
    <x v="5"/>
    <s v="Chinese, Barbecue"/>
    <x v="5"/>
    <s v="Veg"/>
    <n v="2"/>
    <n v="522"/>
    <n v="1044"/>
    <n v="3.9"/>
    <n v="36"/>
    <n v="999"/>
    <n v="0"/>
    <x v="0"/>
    <n v="34"/>
    <s v="Male"/>
  </r>
  <r>
    <s v="SWG1414"/>
    <d v="2024-08-17T00:00:00"/>
    <x v="6"/>
    <s v="Sat"/>
    <s v="Su - Swagat"/>
    <x v="7"/>
    <s v="North Indian, Chinese, Tandoor, Beverages, Ice Cream, South Indian"/>
    <x v="3"/>
    <s v="Veg"/>
    <n v="4"/>
    <n v="490"/>
    <n v="1960"/>
    <n v="4.2"/>
    <n v="31"/>
    <m/>
    <n v="0"/>
    <x v="3"/>
    <n v="23"/>
    <s v="Female"/>
  </r>
  <r>
    <s v="SWG1415"/>
    <d v="2024-04-18T00:00:00"/>
    <x v="0"/>
    <s v="Thu"/>
    <s v="Grand Maratha"/>
    <x v="8"/>
    <s v="North Indian, Chinese, Malwani"/>
    <x v="5"/>
    <s v="Veg"/>
    <n v="3"/>
    <n v="464"/>
    <n v="1392"/>
    <n v="4.4000000000000004"/>
    <n v="39"/>
    <m/>
    <n v="0"/>
    <x v="2"/>
    <n v="34"/>
    <s v="Female"/>
  </r>
  <r>
    <s v="SWG1416"/>
    <d v="2024-02-20T00:00:00"/>
    <x v="7"/>
    <s v="Tue"/>
    <s v="Hotel Shree Ramdev"/>
    <x v="29"/>
    <s v="South Indian, Punjabi, Indian, Tandoor, Biryani, Chinese"/>
    <x v="2"/>
    <s v="Non-Veg"/>
    <n v="4"/>
    <n v="460"/>
    <n v="1840"/>
    <n v="4.4000000000000004"/>
    <n v="27"/>
    <m/>
    <n v="0"/>
    <x v="3"/>
    <n v="33"/>
    <s v="Male"/>
  </r>
  <r>
    <s v="SWG1417"/>
    <d v="2024-06-30T00:00:00"/>
    <x v="1"/>
    <s v="Sun"/>
    <s v="Dwaraka"/>
    <x v="3"/>
    <s v="South Indian, Indian, Chinese, North Indian, Italian"/>
    <x v="5"/>
    <s v="Veg"/>
    <n v="4"/>
    <n v="503"/>
    <n v="2012"/>
    <n v="4.5999999999999996"/>
    <n v="32"/>
    <m/>
    <n v="0"/>
    <x v="2"/>
    <n v="31"/>
    <s v="Male"/>
  </r>
  <r>
    <s v="SWG1418"/>
    <d v="2024-01-08T00:00:00"/>
    <x v="2"/>
    <s v="Mon"/>
    <s v="Paratha Zone"/>
    <x v="7"/>
    <s v="North Indian, Snacks, Biryani"/>
    <x v="2"/>
    <s v="Non-Veg"/>
    <n v="4"/>
    <n v="515"/>
    <n v="2060"/>
    <n v="4.5"/>
    <n v="28"/>
    <m/>
    <n v="0"/>
    <x v="2"/>
    <n v="30"/>
    <s v="Female"/>
  </r>
  <r>
    <s v="SWG1419"/>
    <d v="2024-01-27T00:00:00"/>
    <x v="2"/>
    <s v="Sat"/>
    <s v="THE CAKE POINT"/>
    <x v="7"/>
    <s v="Bakery"/>
    <x v="5"/>
    <s v="Veg"/>
    <n v="1"/>
    <n v="564"/>
    <n v="564"/>
    <m/>
    <m/>
    <m/>
    <n v="0"/>
    <x v="0"/>
    <n v="23"/>
    <s v="Male"/>
  </r>
  <r>
    <s v="SWG1420"/>
    <d v="2024-01-27T00:00:00"/>
    <x v="2"/>
    <s v="Sat"/>
    <s v="Agrawal Sweets"/>
    <x v="8"/>
    <s v="North Indian, Snacks"/>
    <x v="5"/>
    <s v="Veg"/>
    <n v="3"/>
    <n v="544"/>
    <n v="1632"/>
    <n v="3.8"/>
    <n v="27"/>
    <n v="599"/>
    <n v="0"/>
    <x v="1"/>
    <n v="20"/>
    <s v="Female"/>
  </r>
  <r>
    <s v="SWG1421"/>
    <d v="2024-08-13T00:00:00"/>
    <x v="6"/>
    <s v="Tue"/>
    <s v="Kathiyawadi Bhog"/>
    <x v="3"/>
    <s v="Indian"/>
    <x v="5"/>
    <s v="Veg"/>
    <n v="3"/>
    <n v="280"/>
    <n v="840"/>
    <n v="4.3"/>
    <n v="39"/>
    <m/>
    <n v="0"/>
    <x v="2"/>
    <n v="31"/>
    <s v="Female"/>
  </r>
  <r>
    <s v="SWG1422"/>
    <d v="2024-01-21T00:00:00"/>
    <x v="2"/>
    <s v="Sun"/>
    <s v="SHREE RAM SWEETS AND FARSAN"/>
    <x v="7"/>
    <s v="Sweets, Snacks"/>
    <x v="5"/>
    <s v="Veg"/>
    <n v="4"/>
    <n v="297"/>
    <n v="1188"/>
    <n v="4.5999999999999996"/>
    <n v="29"/>
    <m/>
    <n v="0"/>
    <x v="2"/>
    <n v="31"/>
    <s v="Male"/>
  </r>
  <r>
    <s v="SWG1423"/>
    <d v="2024-01-30T00:00:00"/>
    <x v="2"/>
    <s v="Tue"/>
    <s v="Bhaskar's Puranpoli Ghar"/>
    <x v="11"/>
    <s v="Maharashtrian, Gujarati, Mangalorean"/>
    <x v="5"/>
    <s v="Veg"/>
    <n v="1"/>
    <n v="236"/>
    <n v="236"/>
    <n v="4.4000000000000004"/>
    <n v="38"/>
    <m/>
    <n v="0"/>
    <x v="0"/>
    <n v="32"/>
    <s v="Female"/>
  </r>
  <r>
    <s v="SWG1424"/>
    <d v="2024-04-06T00:00:00"/>
    <x v="0"/>
    <s v="Sat"/>
    <s v="Chaap Theka"/>
    <x v="7"/>
    <s v="Biryani, Jain, Tandoor, North Indian"/>
    <x v="2"/>
    <s v="Non-Veg"/>
    <n v="1"/>
    <n v="315"/>
    <n v="315"/>
    <n v="4.3"/>
    <n v="38"/>
    <n v="700"/>
    <n v="10"/>
    <x v="2"/>
    <n v="25"/>
    <s v="Male"/>
  </r>
  <r>
    <s v="SWG1425"/>
    <d v="2024-01-28T00:00:00"/>
    <x v="2"/>
    <s v="Sun"/>
    <s v="Biryani Barbeque Chinese (BBC)"/>
    <x v="3"/>
    <s v="Biryani, Chinese, North Indian, Punjabi, Kebabs, Afghani"/>
    <x v="2"/>
    <s v="Non-Veg"/>
    <n v="3"/>
    <n v="502"/>
    <n v="1506"/>
    <n v="4.4000000000000004"/>
    <n v="30"/>
    <m/>
    <n v="0"/>
    <x v="1"/>
    <n v="46"/>
    <s v="Male"/>
  </r>
  <r>
    <s v="SWG1426"/>
    <d v="2024-04-20T00:00:00"/>
    <x v="0"/>
    <s v="Sat"/>
    <s v="Damru Paan Shop"/>
    <x v="3"/>
    <s v="Paan"/>
    <x v="5"/>
    <s v="Veg"/>
    <n v="1"/>
    <n v="446"/>
    <n v="446"/>
    <n v="4.7"/>
    <n v="25"/>
    <m/>
    <n v="0"/>
    <x v="0"/>
    <n v="32"/>
    <s v="Male"/>
  </r>
  <r>
    <s v="SWG1427"/>
    <d v="2024-07-10T00:00:00"/>
    <x v="4"/>
    <s v="Wed"/>
    <s v="Nandu Dosa Dinner"/>
    <x v="7"/>
    <s v="South Indian"/>
    <x v="5"/>
    <s v="Veg"/>
    <n v="1"/>
    <n v="205"/>
    <n v="205"/>
    <n v="4.3"/>
    <n v="34"/>
    <m/>
    <n v="0"/>
    <x v="1"/>
    <n v="39"/>
    <s v="Female"/>
  </r>
  <r>
    <s v="SWG1428"/>
    <d v="2024-08-12T00:00:00"/>
    <x v="6"/>
    <s v="Mon"/>
    <s v="Nagpal Choley Bhature"/>
    <x v="5"/>
    <s v="North Indian, Tandoor, Beverages, Desserts"/>
    <x v="4"/>
    <s v="Veg"/>
    <n v="1"/>
    <n v="408"/>
    <n v="408"/>
    <n v="4.2"/>
    <n v="35"/>
    <n v="600"/>
    <n v="10"/>
    <x v="1"/>
    <n v="46"/>
    <s v="Male"/>
  </r>
  <r>
    <s v="SWG1429"/>
    <d v="2024-07-15T00:00:00"/>
    <x v="4"/>
    <s v="Mon"/>
    <s v="The Juice Junction"/>
    <x v="47"/>
    <s v="Juices, Beverages"/>
    <x v="3"/>
    <s v="Veg"/>
    <n v="2"/>
    <n v="200"/>
    <n v="400"/>
    <n v="4.4000000000000004"/>
    <n v="28"/>
    <n v="999"/>
    <n v="0"/>
    <x v="0"/>
    <n v="44"/>
    <s v="Male"/>
  </r>
  <r>
    <s v="SWG1430"/>
    <d v="2024-03-01T00:00:00"/>
    <x v="3"/>
    <s v="Fri"/>
    <s v="Nat Khat Pav Bhaji And Snacks Corner"/>
    <x v="2"/>
    <s v="North Indian, Fast Food, Snacks"/>
    <x v="5"/>
    <s v="Veg"/>
    <n v="4"/>
    <n v="271"/>
    <n v="1084"/>
    <n v="3.4"/>
    <n v="51"/>
    <n v="120"/>
    <n v="60"/>
    <x v="2"/>
    <n v="30"/>
    <s v="Female"/>
  </r>
  <r>
    <s v="SWG1431"/>
    <d v="2024-02-17T00:00:00"/>
    <x v="7"/>
    <s v="Sat"/>
    <s v="Mystic Lebanese"/>
    <x v="2"/>
    <s v="Arabian, Mediterranean, Lebanese, Turkish"/>
    <x v="5"/>
    <s v="Veg"/>
    <n v="3"/>
    <n v="180"/>
    <n v="540"/>
    <n v="4.2"/>
    <n v="45"/>
    <n v="249"/>
    <n v="0"/>
    <x v="1"/>
    <n v="34"/>
    <s v="Female"/>
  </r>
  <r>
    <s v="SWG1432"/>
    <d v="2024-05-26T00:00:00"/>
    <x v="5"/>
    <s v="Sun"/>
    <s v="Amritsari Kulcha Junction (Pure Veg)"/>
    <x v="7"/>
    <s v="North Indian, Chaat, Punjabi, Beverages"/>
    <x v="3"/>
    <s v="Veg"/>
    <n v="3"/>
    <n v="180"/>
    <n v="540"/>
    <n v="4.0999999999999996"/>
    <n v="46"/>
    <n v="749"/>
    <n v="0"/>
    <x v="1"/>
    <n v="48"/>
    <s v="Female"/>
  </r>
  <r>
    <s v="SWG1433"/>
    <d v="2024-01-04T00:00:00"/>
    <x v="2"/>
    <s v="Thu"/>
    <s v="South Tiffin House Exclusive"/>
    <x v="5"/>
    <s v="South Indian, Street Food, Beverages, Snacks"/>
    <x v="3"/>
    <s v="Veg"/>
    <n v="2"/>
    <n v="473"/>
    <n v="946"/>
    <n v="4.2"/>
    <n v="42"/>
    <n v="449"/>
    <n v="0"/>
    <x v="1"/>
    <n v="38"/>
    <s v="Female"/>
  </r>
  <r>
    <s v="SWG1434"/>
    <d v="2024-02-04T00:00:00"/>
    <x v="7"/>
    <s v="Sun"/>
    <s v="Lata Restaurant"/>
    <x v="5"/>
    <s v="Indian, Chinese, Mughlai, Biryani, North Indian"/>
    <x v="2"/>
    <s v="Non-Veg"/>
    <n v="4"/>
    <n v="147"/>
    <n v="588"/>
    <n v="4.4000000000000004"/>
    <n v="40"/>
    <n v="80"/>
    <n v="15"/>
    <x v="1"/>
    <n v="41"/>
    <s v="Male"/>
  </r>
  <r>
    <s v="SWG1435"/>
    <d v="2024-07-10T00:00:00"/>
    <x v="4"/>
    <s v="Wed"/>
    <s v="Sandeep Pure Veg"/>
    <x v="48"/>
    <s v="South Indian, North Indian, Chinese, Street Food"/>
    <x v="5"/>
    <s v="Veg"/>
    <n v="3"/>
    <n v="561"/>
    <n v="1683"/>
    <n v="4.5"/>
    <n v="42"/>
    <m/>
    <n v="0"/>
    <x v="0"/>
    <n v="20"/>
    <s v="Male"/>
  </r>
  <r>
    <s v="SWG1436"/>
    <d v="2024-02-18T00:00:00"/>
    <x v="7"/>
    <s v="Sun"/>
    <s v="Sannidhi Family Restaurant (Kandivali Station)"/>
    <x v="5"/>
    <s v="Mughlai, North Indian, Chinese, South Indian, Indian, Salads, Desserts, Snacks, Beverages"/>
    <x v="4"/>
    <s v="Veg"/>
    <n v="1"/>
    <n v="162"/>
    <n v="162"/>
    <n v="4.5"/>
    <n v="47"/>
    <n v="749"/>
    <n v="0"/>
    <x v="0"/>
    <n v="45"/>
    <s v="Male"/>
  </r>
  <r>
    <s v="SWG1437"/>
    <d v="2024-01-17T00:00:00"/>
    <x v="2"/>
    <s v="Wed"/>
    <s v="Pangat (Dahisar East)"/>
    <x v="29"/>
    <s v="Konkan, Chinese, Tandoor, Indian"/>
    <x v="5"/>
    <s v="Veg"/>
    <n v="3"/>
    <n v="288"/>
    <n v="864"/>
    <n v="4.4000000000000004"/>
    <n v="44"/>
    <m/>
    <n v="0"/>
    <x v="3"/>
    <n v="23"/>
    <s v="Female"/>
  </r>
  <r>
    <s v="SWG1438"/>
    <d v="2024-06-20T00:00:00"/>
    <x v="1"/>
    <s v="Thu"/>
    <s v="Akkad Bakkad Bombay Boom (Mahavir Nagar)"/>
    <x v="5"/>
    <s v="Snacks, Italian"/>
    <x v="5"/>
    <s v="Veg"/>
    <n v="1"/>
    <n v="542"/>
    <n v="542"/>
    <n v="4.2"/>
    <n v="44"/>
    <n v="999"/>
    <n v="0"/>
    <x v="3"/>
    <n v="22"/>
    <s v="Female"/>
  </r>
  <r>
    <s v="SWG1439"/>
    <d v="2024-08-07T00:00:00"/>
    <x v="6"/>
    <s v="Wed"/>
    <s v="Ganesh Snack &amp; Juice Corner"/>
    <x v="2"/>
    <s v="Fast Food, Chaat"/>
    <x v="5"/>
    <s v="Veg"/>
    <n v="2"/>
    <n v="205"/>
    <n v="410"/>
    <n v="4.3"/>
    <n v="33"/>
    <n v="75"/>
    <n v="30"/>
    <x v="1"/>
    <n v="39"/>
    <s v="Male"/>
  </r>
  <r>
    <s v="SWG1440"/>
    <d v="2024-06-06T00:00:00"/>
    <x v="1"/>
    <s v="Thu"/>
    <s v="Sonu's Chinese Corner"/>
    <x v="8"/>
    <s v="Chinese, North Indian"/>
    <x v="5"/>
    <s v="Veg"/>
    <n v="1"/>
    <n v="296"/>
    <n v="296"/>
    <n v="4.2"/>
    <n v="35"/>
    <m/>
    <n v="0"/>
    <x v="2"/>
    <n v="43"/>
    <s v="Female"/>
  </r>
  <r>
    <s v="SWG1441"/>
    <d v="2024-08-08T00:00:00"/>
    <x v="6"/>
    <s v="Thu"/>
    <s v="Radha Restaurant"/>
    <x v="3"/>
    <s v="South Indian, Chinese, Snacks, Indian, Beverages, Pizzas"/>
    <x v="1"/>
    <s v="Veg"/>
    <n v="3"/>
    <n v="136"/>
    <n v="408"/>
    <n v="4.5"/>
    <n v="35"/>
    <m/>
    <n v="0"/>
    <x v="1"/>
    <n v="34"/>
    <s v="Female"/>
  </r>
  <r>
    <s v="SWG1442"/>
    <d v="2024-02-15T00:00:00"/>
    <x v="7"/>
    <s v="Thu"/>
    <s v="Sanjay Icecreams"/>
    <x v="2"/>
    <s v="Ice Cream, Desserts"/>
    <x v="4"/>
    <s v="Veg"/>
    <n v="3"/>
    <n v="217"/>
    <n v="651"/>
    <n v="4.5"/>
    <n v="24"/>
    <m/>
    <n v="0"/>
    <x v="2"/>
    <n v="40"/>
    <s v="Male"/>
  </r>
  <r>
    <s v="SWG1443"/>
    <d v="2024-04-26T00:00:00"/>
    <x v="0"/>
    <s v="Fri"/>
    <s v="Raisins Chocolatier And Patisserie"/>
    <x v="7"/>
    <s v="Desserts"/>
    <x v="4"/>
    <s v="Veg"/>
    <n v="3"/>
    <n v="573"/>
    <n v="1719"/>
    <n v="3.3"/>
    <n v="27"/>
    <n v="100"/>
    <n v="15"/>
    <x v="1"/>
    <n v="42"/>
    <s v="Male"/>
  </r>
  <r>
    <s v="SWG1444"/>
    <d v="2024-01-06T00:00:00"/>
    <x v="2"/>
    <s v="Sat"/>
    <s v="Fisco Restobar"/>
    <x v="5"/>
    <s v="Indian, Chinese, Italian, Mexican"/>
    <x v="5"/>
    <s v="Veg"/>
    <n v="2"/>
    <n v="317"/>
    <n v="634"/>
    <n v="4.5"/>
    <n v="37"/>
    <n v="449"/>
    <n v="0"/>
    <x v="3"/>
    <n v="19"/>
    <s v="Female"/>
  </r>
  <r>
    <s v="SWG1445"/>
    <d v="2024-04-08T00:00:00"/>
    <x v="0"/>
    <s v="Mon"/>
    <s v="Pizza Story"/>
    <x v="0"/>
    <s v="Pizzas, Burgers, Desserts, Chinese, Pastas, Italian"/>
    <x v="1"/>
    <s v="Veg"/>
    <n v="2"/>
    <n v="217"/>
    <n v="434"/>
    <n v="4.5999999999999996"/>
    <n v="33"/>
    <n v="100"/>
    <n v="50"/>
    <x v="3"/>
    <n v="43"/>
    <s v="Female"/>
  </r>
  <r>
    <s v="SWG1446"/>
    <d v="2024-05-03T00:00:00"/>
    <x v="5"/>
    <s v="Fri"/>
    <s v="Taste Of Kolkata"/>
    <x v="0"/>
    <s v="Indian, Chinese, Bengali"/>
    <x v="5"/>
    <s v="Veg"/>
    <n v="4"/>
    <n v="184"/>
    <n v="736"/>
    <n v="4.2"/>
    <n v="31"/>
    <n v="40"/>
    <n v="10"/>
    <x v="2"/>
    <n v="32"/>
    <s v="Female"/>
  </r>
  <r>
    <s v="SWG1447"/>
    <d v="2024-08-20T00:00:00"/>
    <x v="6"/>
    <s v="Tue"/>
    <s v="Sizzling Spices"/>
    <x v="0"/>
    <s v="Chinese, Thai, Asian, Indonesian, Seafood, Beverages"/>
    <x v="3"/>
    <s v="Veg"/>
    <n v="3"/>
    <n v="449"/>
    <n v="1347"/>
    <n v="4.4000000000000004"/>
    <n v="27"/>
    <n v="50"/>
    <n v="20"/>
    <x v="1"/>
    <n v="22"/>
    <s v="Male"/>
  </r>
  <r>
    <s v="SWG1448"/>
    <d v="2024-02-06T00:00:00"/>
    <x v="7"/>
    <s v="Tue"/>
    <s v="Times Of Paratha"/>
    <x v="0"/>
    <s v="Indian, Snacks"/>
    <x v="5"/>
    <s v="Veg"/>
    <n v="1"/>
    <n v="460"/>
    <n v="460"/>
    <m/>
    <m/>
    <n v="100"/>
    <n v="50"/>
    <x v="2"/>
    <n v="43"/>
    <s v="Male"/>
  </r>
  <r>
    <s v="SWG1449"/>
    <d v="2024-01-24T00:00:00"/>
    <x v="2"/>
    <s v="Wed"/>
    <s v="Malvani Swaad (Sushama's Kitchen)"/>
    <x v="0"/>
    <s v="Malwani, Seafood, Indian, North Indian, Biryani, Salads, Beverages, Thalis"/>
    <x v="2"/>
    <s v="Non-Veg"/>
    <n v="2"/>
    <n v="124"/>
    <n v="248"/>
    <n v="4"/>
    <n v="37"/>
    <n v="249"/>
    <n v="0"/>
    <x v="3"/>
    <n v="37"/>
    <s v="Male"/>
  </r>
  <r>
    <s v="SWG1450"/>
    <d v="2024-04-02T00:00:00"/>
    <x v="0"/>
    <s v="Tue"/>
    <s v="2 Delicious Poha House"/>
    <x v="2"/>
    <s v="Indian, Snacks"/>
    <x v="5"/>
    <s v="Veg"/>
    <n v="3"/>
    <n v="121"/>
    <n v="363"/>
    <n v="4"/>
    <n v="16"/>
    <n v="40"/>
    <n v="10"/>
    <x v="1"/>
    <n v="23"/>
    <s v="Male"/>
  </r>
  <r>
    <s v="SWG1451"/>
    <d v="2024-02-15T00:00:00"/>
    <x v="7"/>
    <s v="Thu"/>
    <s v="New Kulfi Center"/>
    <x v="11"/>
    <s v="Ice Cream"/>
    <x v="5"/>
    <s v="Veg"/>
    <n v="3"/>
    <n v="141"/>
    <n v="423"/>
    <n v="4.5999999999999996"/>
    <n v="26"/>
    <m/>
    <n v="0"/>
    <x v="1"/>
    <n v="23"/>
    <s v="Male"/>
  </r>
  <r>
    <s v="SWG1452"/>
    <d v="2024-06-29T00:00:00"/>
    <x v="1"/>
    <s v="Sat"/>
    <s v="Swastik Fast Food (Franky)"/>
    <x v="7"/>
    <s v="Fast Food"/>
    <x v="5"/>
    <s v="Veg"/>
    <n v="2"/>
    <n v="231"/>
    <n v="462"/>
    <n v="4.2"/>
    <n v="33"/>
    <m/>
    <n v="0"/>
    <x v="2"/>
    <n v="44"/>
    <s v="Female"/>
  </r>
  <r>
    <s v="SWG1453"/>
    <d v="2024-04-04T00:00:00"/>
    <x v="0"/>
    <s v="Thu"/>
    <s v="A Taste Of India"/>
    <x v="0"/>
    <s v="Indian, Chinese, Mughlai, North Indian"/>
    <x v="5"/>
    <s v="Veg"/>
    <n v="4"/>
    <n v="176"/>
    <n v="704"/>
    <n v="4.4000000000000004"/>
    <n v="40"/>
    <n v="80"/>
    <n v="40"/>
    <x v="0"/>
    <n v="49"/>
    <s v="Female"/>
  </r>
  <r>
    <s v="SWG1454"/>
    <d v="2024-04-08T00:00:00"/>
    <x v="0"/>
    <s v="Mon"/>
    <s v="Crave Junction"/>
    <x v="5"/>
    <s v="Italian, Chinese, Pizzas, Beverages"/>
    <x v="1"/>
    <s v="Veg"/>
    <n v="2"/>
    <n v="185"/>
    <n v="370"/>
    <n v="4"/>
    <n v="34"/>
    <m/>
    <n v="0"/>
    <x v="2"/>
    <n v="35"/>
    <s v="Female"/>
  </r>
  <r>
    <s v="SWG1455"/>
    <d v="2024-07-06T00:00:00"/>
    <x v="4"/>
    <s v="Sat"/>
    <s v="Uk14"/>
    <x v="5"/>
    <s v="Beverages, Ice Cream"/>
    <x v="3"/>
    <s v="Veg"/>
    <n v="2"/>
    <n v="449"/>
    <n v="898"/>
    <n v="4.5"/>
    <n v="26"/>
    <m/>
    <n v="0"/>
    <x v="3"/>
    <n v="35"/>
    <s v="Male"/>
  </r>
  <r>
    <s v="SWG1456"/>
    <d v="2024-08-12T00:00:00"/>
    <x v="6"/>
    <s v="Mon"/>
    <s v="Jain Sweets"/>
    <x v="49"/>
    <s v="Street Food, Maharashtrian"/>
    <x v="5"/>
    <s v="Veg"/>
    <n v="1"/>
    <n v="217"/>
    <n v="217"/>
    <n v="4.3"/>
    <n v="36"/>
    <n v="80"/>
    <n v="15"/>
    <x v="3"/>
    <n v="21"/>
    <s v="Male"/>
  </r>
  <r>
    <s v="SWG1457"/>
    <d v="2024-04-25T00:00:00"/>
    <x v="0"/>
    <s v="Thu"/>
    <s v="UFO Fries &amp; Corn"/>
    <x v="5"/>
    <s v="North Indian"/>
    <x v="5"/>
    <s v="Veg"/>
    <n v="1"/>
    <n v="263"/>
    <n v="263"/>
    <n v="4.0999999999999996"/>
    <n v="34"/>
    <n v="999"/>
    <n v="0"/>
    <x v="3"/>
    <n v="34"/>
    <s v="Male"/>
  </r>
  <r>
    <s v="SWG1458"/>
    <d v="2024-07-09T00:00:00"/>
    <x v="4"/>
    <s v="Tue"/>
    <s v="Wtc Pasta"/>
    <x v="7"/>
    <s v="Italian, Snacks, Grill, Beverages, Pizzas, Pastas"/>
    <x v="1"/>
    <s v="Veg"/>
    <n v="4"/>
    <n v="487"/>
    <n v="1948"/>
    <n v="3.9"/>
    <n v="40"/>
    <m/>
    <n v="0"/>
    <x v="3"/>
    <n v="42"/>
    <s v="Female"/>
  </r>
  <r>
    <s v="SWG1459"/>
    <d v="2024-07-31T00:00:00"/>
    <x v="4"/>
    <s v="Wed"/>
    <s v="UBQ BY Barbeque Nation"/>
    <x v="0"/>
    <s v="North Indian, Barbecue, Biryani, Kebabs, Mughlai, Desserts"/>
    <x v="2"/>
    <s v="Non-Veg"/>
    <n v="3"/>
    <n v="554"/>
    <n v="1662"/>
    <n v="4"/>
    <n v="40"/>
    <n v="80"/>
    <n v="40"/>
    <x v="3"/>
    <n v="31"/>
    <s v="Male"/>
  </r>
  <r>
    <s v="SWG1460"/>
    <d v="2024-06-08T00:00:00"/>
    <x v="1"/>
    <s v="Sat"/>
    <s v="Food Costa"/>
    <x v="50"/>
    <s v="Fast Food, Pizzas, Biryani, Mexican, Snacks, Beverages, Burgers"/>
    <x v="1"/>
    <s v="Non-Veg"/>
    <n v="2"/>
    <n v="244"/>
    <n v="488"/>
    <n v="3.9"/>
    <n v="23"/>
    <n v="50"/>
    <n v="20"/>
    <x v="0"/>
    <n v="31"/>
    <s v="Male"/>
  </r>
  <r>
    <s v="SWG1461"/>
    <d v="2024-08-02T00:00:00"/>
    <x v="6"/>
    <s v="Fri"/>
    <s v="Five Star"/>
    <x v="2"/>
    <s v="Fast Food, Burgers, Snacks"/>
    <x v="0"/>
    <s v="Veg"/>
    <n v="4"/>
    <n v="286"/>
    <n v="1144"/>
    <n v="4.5"/>
    <n v="23"/>
    <m/>
    <n v="0"/>
    <x v="1"/>
    <n v="30"/>
    <s v="Female"/>
  </r>
  <r>
    <s v="SWG1462"/>
    <d v="2024-06-09T00:00:00"/>
    <x v="1"/>
    <s v="Sun"/>
    <s v="Arihant Dugdhalay"/>
    <x v="7"/>
    <s v="Desserts, Sweets"/>
    <x v="4"/>
    <s v="Veg"/>
    <n v="1"/>
    <n v="205"/>
    <n v="205"/>
    <n v="4.4000000000000004"/>
    <n v="25"/>
    <m/>
    <n v="0"/>
    <x v="2"/>
    <n v="24"/>
    <s v="Male"/>
  </r>
  <r>
    <s v="SWG1463"/>
    <d v="2024-03-07T00:00:00"/>
    <x v="3"/>
    <s v="Thu"/>
    <s v="Al Arabian Shawarma"/>
    <x v="0"/>
    <s v="Arabian, Lebanese, Kebabs, Salads, Beverages, Middle Eastern"/>
    <x v="3"/>
    <s v="Non-Veg"/>
    <n v="2"/>
    <n v="195"/>
    <n v="390"/>
    <n v="2.7"/>
    <n v="25"/>
    <m/>
    <n v="0"/>
    <x v="2"/>
    <n v="49"/>
    <s v="Female"/>
  </r>
  <r>
    <s v="SWG1464"/>
    <d v="2024-05-07T00:00:00"/>
    <x v="5"/>
    <s v="Tue"/>
    <s v="Bombay Sultaani Biryani House"/>
    <x v="2"/>
    <s v="Indian, Biryani"/>
    <x v="2"/>
    <s v="Non-Veg"/>
    <n v="3"/>
    <n v="463"/>
    <n v="1389"/>
    <n v="4"/>
    <n v="31"/>
    <n v="120"/>
    <n v="60"/>
    <x v="3"/>
    <n v="29"/>
    <s v="Male"/>
  </r>
  <r>
    <s v="SWG1465"/>
    <d v="2024-01-18T00:00:00"/>
    <x v="2"/>
    <s v="Thu"/>
    <s v="East Asia - Indian | Asian | Continental"/>
    <x v="3"/>
    <s v="Chinese, Italian, Thai, Asian, Indian, Tandoor, Continental, Sushi, Pizzas, Salads"/>
    <x v="1"/>
    <s v="Veg"/>
    <n v="1"/>
    <n v="543"/>
    <n v="543"/>
    <n v="4.2"/>
    <n v="42"/>
    <m/>
    <n v="0"/>
    <x v="2"/>
    <n v="40"/>
    <s v="Male"/>
  </r>
  <r>
    <s v="SWG1466"/>
    <d v="2024-01-25T00:00:00"/>
    <x v="2"/>
    <s v="Thu"/>
    <s v="Joey's Pizzeria-Kandivali (E)"/>
    <x v="0"/>
    <s v="Pizzas, Chinese, Desserts, Burgers, Pastas, Italian"/>
    <x v="1"/>
    <s v="Veg"/>
    <n v="1"/>
    <n v="413"/>
    <n v="413"/>
    <n v="3.7"/>
    <n v="44"/>
    <n v="100"/>
    <n v="50"/>
    <x v="3"/>
    <n v="32"/>
    <s v="Female"/>
  </r>
  <r>
    <s v="SWG1467"/>
    <d v="2024-08-21T00:00:00"/>
    <x v="6"/>
    <s v="Wed"/>
    <s v="The Chocolate Heaven"/>
    <x v="3"/>
    <s v="Desserts, Italian, Snacks"/>
    <x v="4"/>
    <s v="Veg"/>
    <n v="1"/>
    <n v="563"/>
    <n v="563"/>
    <n v="4.0999999999999996"/>
    <n v="34"/>
    <n v="449"/>
    <n v="0"/>
    <x v="0"/>
    <n v="36"/>
    <s v="Female"/>
  </r>
  <r>
    <s v="SWG1468"/>
    <d v="2024-08-10T00:00:00"/>
    <x v="6"/>
    <s v="Sat"/>
    <s v="Pavbhaji Bistro"/>
    <x v="0"/>
    <s v="Indian, Fast Food"/>
    <x v="5"/>
    <s v="Veg"/>
    <n v="4"/>
    <n v="178"/>
    <n v="712"/>
    <n v="4.3"/>
    <n v="29"/>
    <m/>
    <n v="0"/>
    <x v="0"/>
    <n v="48"/>
    <s v="Female"/>
  </r>
  <r>
    <s v="SWG1469"/>
    <d v="2024-02-23T00:00:00"/>
    <x v="7"/>
    <s v="Fri"/>
    <s v="New Wanton Point"/>
    <x v="0"/>
    <s v="Indian, Chinese"/>
    <x v="5"/>
    <s v="Veg"/>
    <n v="3"/>
    <n v="257"/>
    <n v="771"/>
    <n v="4.4000000000000004"/>
    <n v="24"/>
    <n v="80"/>
    <n v="40"/>
    <x v="1"/>
    <n v="28"/>
    <s v="Female"/>
  </r>
  <r>
    <s v="SWG1470"/>
    <d v="2024-02-27T00:00:00"/>
    <x v="7"/>
    <s v="Tue"/>
    <s v="Delicacy Of Mewar"/>
    <x v="2"/>
    <s v="Snacks"/>
    <x v="5"/>
    <s v="Veg"/>
    <n v="2"/>
    <n v="218"/>
    <n v="436"/>
    <n v="3.8"/>
    <n v="41"/>
    <n v="1000"/>
    <n v="10"/>
    <x v="0"/>
    <n v="32"/>
    <s v="Female"/>
  </r>
  <r>
    <s v="SWG1471"/>
    <d v="2024-03-07T00:00:00"/>
    <x v="3"/>
    <s v="Thu"/>
    <s v="Ek Bihari - The Bihar Diaries"/>
    <x v="51"/>
    <s v="Indian, Seafood"/>
    <x v="5"/>
    <s v="Veg"/>
    <n v="4"/>
    <n v="311"/>
    <n v="1244"/>
    <n v="3.7"/>
    <n v="35"/>
    <n v="100"/>
    <n v="50"/>
    <x v="0"/>
    <n v="29"/>
    <s v="Female"/>
  </r>
  <r>
    <s v="SWG1472"/>
    <d v="2024-04-13T00:00:00"/>
    <x v="0"/>
    <s v="Sat"/>
    <s v="Yamu's Panchayat"/>
    <x v="2"/>
    <s v="Paan"/>
    <x v="5"/>
    <s v="Veg"/>
    <n v="4"/>
    <n v="362"/>
    <n v="1448"/>
    <n v="4.9000000000000004"/>
    <n v="16"/>
    <m/>
    <n v="0"/>
    <x v="1"/>
    <n v="20"/>
    <s v="Male"/>
  </r>
  <r>
    <s v="SWG1473"/>
    <d v="2024-06-22T00:00:00"/>
    <x v="1"/>
    <s v="Sat"/>
    <s v="Vividh NX"/>
    <x v="0"/>
    <s v="Chinese, Oriental, Indian"/>
    <x v="5"/>
    <s v="Veg"/>
    <n v="4"/>
    <n v="438"/>
    <n v="1752"/>
    <n v="4.4000000000000004"/>
    <n v="35"/>
    <n v="40"/>
    <n v="10"/>
    <x v="2"/>
    <n v="34"/>
    <s v="Male"/>
  </r>
  <r>
    <s v="SWG1474"/>
    <d v="2024-01-24T00:00:00"/>
    <x v="2"/>
    <s v="Wed"/>
    <s v="Kumar's Cafe"/>
    <x v="7"/>
    <s v="Beverages, South Indian"/>
    <x v="3"/>
    <s v="Veg"/>
    <n v="1"/>
    <n v="168"/>
    <n v="168"/>
    <n v="3.2"/>
    <n v="26"/>
    <m/>
    <n v="0"/>
    <x v="3"/>
    <n v="20"/>
    <s v="Female"/>
  </r>
  <r>
    <s v="SWG1475"/>
    <d v="2024-04-23T00:00:00"/>
    <x v="0"/>
    <s v="Tue"/>
    <s v="Makhani Darbar"/>
    <x v="1"/>
    <s v="North Indian, Kebabs, Mughlai, Beverages, Desserts"/>
    <x v="4"/>
    <s v="Non-Veg"/>
    <n v="3"/>
    <n v="567"/>
    <n v="1701"/>
    <m/>
    <m/>
    <n v="100"/>
    <n v="50"/>
    <x v="3"/>
    <n v="36"/>
    <s v="Male"/>
  </r>
  <r>
    <s v="SWG1476"/>
    <d v="2024-02-01T00:00:00"/>
    <x v="7"/>
    <s v="Thu"/>
    <s v="Baskin Robbins Happyness Shakes"/>
    <x v="0"/>
    <s v="Beverages, Desserts"/>
    <x v="4"/>
    <s v="Veg"/>
    <n v="4"/>
    <n v="151"/>
    <n v="604"/>
    <n v="3.8"/>
    <n v="27"/>
    <n v="75"/>
    <n v="30"/>
    <x v="2"/>
    <n v="37"/>
    <s v="Female"/>
  </r>
  <r>
    <s v="SWG1477"/>
    <d v="2024-06-23T00:00:00"/>
    <x v="1"/>
    <s v="Sun"/>
    <s v="Pizza Town"/>
    <x v="2"/>
    <s v="Pizzas, Beverages, Italian"/>
    <x v="1"/>
    <s v="Veg"/>
    <n v="2"/>
    <n v="510"/>
    <n v="1020"/>
    <n v="3.9"/>
    <n v="27"/>
    <n v="75"/>
    <n v="30"/>
    <x v="1"/>
    <n v="21"/>
    <s v="Male"/>
  </r>
  <r>
    <s v="SWG1478"/>
    <d v="2024-03-26T00:00:00"/>
    <x v="3"/>
    <s v="Tue"/>
    <s v="Jugheads"/>
    <x v="0"/>
    <s v="Continental, Chinese, North Indian, American"/>
    <x v="5"/>
    <s v="Veg"/>
    <n v="3"/>
    <n v="396"/>
    <n v="1188"/>
    <n v="4.2"/>
    <n v="30"/>
    <n v="40"/>
    <n v="10"/>
    <x v="2"/>
    <n v="20"/>
    <s v="Female"/>
  </r>
  <r>
    <s v="SWG1479"/>
    <d v="2024-05-30T00:00:00"/>
    <x v="5"/>
    <s v="Thu"/>
    <s v="Mahakali Fast Food &amp; Juice Centre"/>
    <x v="3"/>
    <s v="Indian, South Indian, Beverages, Awadhi"/>
    <x v="3"/>
    <s v="Veg"/>
    <n v="2"/>
    <n v="139"/>
    <n v="278"/>
    <n v="4.4000000000000004"/>
    <n v="33"/>
    <n v="600"/>
    <n v="10"/>
    <x v="0"/>
    <n v="49"/>
    <s v="Male"/>
  </r>
  <r>
    <s v="SWG1480"/>
    <d v="2024-07-12T00:00:00"/>
    <x v="4"/>
    <s v="Fri"/>
    <s v="Aakash"/>
    <x v="5"/>
    <s v="Desserts, Snacks"/>
    <x v="4"/>
    <s v="Veg"/>
    <n v="3"/>
    <n v="273"/>
    <n v="819"/>
    <n v="3.9"/>
    <n v="29"/>
    <m/>
    <n v="0"/>
    <x v="1"/>
    <n v="43"/>
    <s v="Male"/>
  </r>
  <r>
    <s v="SWG1481"/>
    <d v="2024-05-06T00:00:00"/>
    <x v="5"/>
    <s v="Mon"/>
    <s v="Gupta Bhelpuri House"/>
    <x v="5"/>
    <s v="Snacks, Chaat"/>
    <x v="5"/>
    <s v="Veg"/>
    <n v="2"/>
    <n v="502"/>
    <n v="1004"/>
    <n v="4.2"/>
    <n v="41"/>
    <m/>
    <n v="0"/>
    <x v="1"/>
    <n v="33"/>
    <s v="Male"/>
  </r>
  <r>
    <s v="SWG1482"/>
    <d v="2024-06-03T00:00:00"/>
    <x v="1"/>
    <s v="Mon"/>
    <s v="Gaonthan The Family Restaurant"/>
    <x v="2"/>
    <s v="North Indian, Chinese, Biryani"/>
    <x v="2"/>
    <s v="Non-Veg"/>
    <n v="1"/>
    <n v="187"/>
    <n v="187"/>
    <n v="4.3"/>
    <n v="36"/>
    <n v="45"/>
    <n v="15"/>
    <x v="1"/>
    <n v="29"/>
    <s v="Male"/>
  </r>
  <r>
    <s v="SWG1483"/>
    <d v="2024-08-21T00:00:00"/>
    <x v="6"/>
    <s v="Wed"/>
    <s v="The Avenue"/>
    <x v="2"/>
    <s v="North Indian, Chinese, Tandoor, Indian, Seafood"/>
    <x v="5"/>
    <s v="Veg"/>
    <n v="4"/>
    <n v="485"/>
    <n v="1940"/>
    <n v="4.5"/>
    <n v="33"/>
    <m/>
    <n v="0"/>
    <x v="3"/>
    <n v="25"/>
    <s v="Male"/>
  </r>
  <r>
    <s v="SWG1484"/>
    <d v="2024-05-09T00:00:00"/>
    <x v="5"/>
    <s v="Thu"/>
    <s v="Souffle Cake Shop"/>
    <x v="3"/>
    <s v="Bakery"/>
    <x v="5"/>
    <s v="Veg"/>
    <n v="2"/>
    <n v="491"/>
    <n v="982"/>
    <n v="3.8"/>
    <n v="25"/>
    <n v="700"/>
    <n v="10"/>
    <x v="2"/>
    <n v="41"/>
    <s v="Female"/>
  </r>
  <r>
    <s v="SWG1485"/>
    <d v="2024-08-05T00:00:00"/>
    <x v="6"/>
    <s v="Mon"/>
    <s v="Spring Fields"/>
    <x v="7"/>
    <s v="North Indian, Chinese, Italian"/>
    <x v="5"/>
    <s v="Veg"/>
    <n v="3"/>
    <n v="333"/>
    <n v="999"/>
    <n v="4.5"/>
    <n v="40"/>
    <n v="75"/>
    <n v="30"/>
    <x v="1"/>
    <n v="46"/>
    <s v="Female"/>
  </r>
  <r>
    <s v="SWG1486"/>
    <d v="2024-01-17T00:00:00"/>
    <x v="2"/>
    <s v="Wed"/>
    <s v="Sheetal Dugdhalay"/>
    <x v="2"/>
    <s v="Sweets"/>
    <x v="5"/>
    <s v="Veg"/>
    <n v="4"/>
    <n v="262"/>
    <n v="1048"/>
    <n v="4.7"/>
    <n v="33"/>
    <m/>
    <n v="0"/>
    <x v="1"/>
    <n v="46"/>
    <s v="Female"/>
  </r>
  <r>
    <s v="SWG1487"/>
    <d v="2024-04-13T00:00:00"/>
    <x v="0"/>
    <s v="Sat"/>
    <s v="WA! Wok (Delicious Chinese)"/>
    <x v="29"/>
    <s v="Chinese, Oriental, Asian, Burmese, Thai"/>
    <x v="5"/>
    <s v="Veg"/>
    <n v="4"/>
    <n v="495"/>
    <n v="1980"/>
    <n v="4.3"/>
    <n v="39"/>
    <m/>
    <n v="0"/>
    <x v="1"/>
    <n v="34"/>
    <s v="Male"/>
  </r>
  <r>
    <s v="SWG1488"/>
    <d v="2024-06-09T00:00:00"/>
    <x v="1"/>
    <s v="Sun"/>
    <s v="One Minute chai Nashta"/>
    <x v="7"/>
    <s v="Bengali, Snacks, Street Food"/>
    <x v="5"/>
    <s v="Veg"/>
    <n v="3"/>
    <n v="351"/>
    <n v="1053"/>
    <n v="4.5"/>
    <n v="27"/>
    <m/>
    <n v="0"/>
    <x v="2"/>
    <n v="24"/>
    <s v="Female"/>
  </r>
  <r>
    <s v="SWG1489"/>
    <d v="2024-05-16T00:00:00"/>
    <x v="5"/>
    <s v="Thu"/>
    <s v="Kuku's"/>
    <x v="3"/>
    <s v="Chinese"/>
    <x v="5"/>
    <s v="Veg"/>
    <n v="2"/>
    <n v="332"/>
    <n v="664"/>
    <n v="4.2"/>
    <n v="33"/>
    <n v="999"/>
    <n v="0"/>
    <x v="3"/>
    <n v="28"/>
    <s v="Male"/>
  </r>
  <r>
    <s v="SWG1490"/>
    <d v="2024-02-12T00:00:00"/>
    <x v="7"/>
    <s v="Mon"/>
    <s v="RTC - Rolls And Fried Chicken"/>
    <x v="41"/>
    <s v="Snacks, Fast Food, North Indian, Street Food"/>
    <x v="5"/>
    <s v="Veg"/>
    <n v="1"/>
    <n v="198"/>
    <n v="198"/>
    <n v="4.2"/>
    <n v="38"/>
    <n v="449"/>
    <n v="0"/>
    <x v="0"/>
    <n v="35"/>
    <s v="Male"/>
  </r>
  <r>
    <s v="SWG1491"/>
    <d v="2024-06-24T00:00:00"/>
    <x v="1"/>
    <s v="Mon"/>
    <s v="Biryani Barbeque Chinese (BBC-Babhai Naka)"/>
    <x v="3"/>
    <s v="Biryani, Chinese, North Indian, Punjabi, Kebabs, Afghani"/>
    <x v="2"/>
    <s v="Non-Veg"/>
    <n v="1"/>
    <n v="333"/>
    <n v="333"/>
    <n v="4.5"/>
    <n v="35"/>
    <m/>
    <n v="0"/>
    <x v="3"/>
    <n v="18"/>
    <s v="Male"/>
  </r>
  <r>
    <s v="SWG1492"/>
    <d v="2024-02-08T00:00:00"/>
    <x v="7"/>
    <s v="Thu"/>
    <s v="Gokul Anand"/>
    <x v="7"/>
    <s v="North Indian, Chinese, Beverages, South Indian"/>
    <x v="3"/>
    <s v="Veg"/>
    <n v="2"/>
    <n v="235"/>
    <n v="470"/>
    <n v="4.5"/>
    <n v="33"/>
    <m/>
    <n v="0"/>
    <x v="1"/>
    <n v="20"/>
    <s v="Female"/>
  </r>
  <r>
    <s v="SWG1493"/>
    <d v="2024-08-08T00:00:00"/>
    <x v="6"/>
    <s v="Thu"/>
    <s v="Tuba Restaurant"/>
    <x v="2"/>
    <s v="Chinese, North Indian, Biryani, Indian, Sweets, Salads, Snacks"/>
    <x v="2"/>
    <s v="Non-Veg"/>
    <n v="4"/>
    <n v="211"/>
    <n v="844"/>
    <n v="4.0999999999999996"/>
    <n v="39"/>
    <n v="499"/>
    <n v="0"/>
    <x v="3"/>
    <n v="49"/>
    <s v="Male"/>
  </r>
  <r>
    <s v="SWG1494"/>
    <d v="2024-06-18T00:00:00"/>
    <x v="1"/>
    <s v="Tue"/>
    <s v="The Veg Treat Express"/>
    <x v="3"/>
    <s v="North Indian, Indian, Chinese, Italian, Mexican, Desserts"/>
    <x v="4"/>
    <s v="Veg"/>
    <n v="4"/>
    <n v="389"/>
    <n v="1556"/>
    <n v="4.5"/>
    <n v="36"/>
    <n v="1000"/>
    <n v="10"/>
    <x v="3"/>
    <n v="21"/>
    <s v="Female"/>
  </r>
  <r>
    <s v="SWG1495"/>
    <d v="2024-01-26T00:00:00"/>
    <x v="2"/>
    <s v="Fri"/>
    <s v="Pushti Tushti"/>
    <x v="3"/>
    <s v="Indian"/>
    <x v="5"/>
    <s v="Veg"/>
    <n v="4"/>
    <n v="530"/>
    <n v="2120"/>
    <n v="4.4000000000000004"/>
    <n v="38"/>
    <n v="449"/>
    <n v="0"/>
    <x v="0"/>
    <n v="30"/>
    <s v="Female"/>
  </r>
  <r>
    <s v="SWG1496"/>
    <d v="2024-04-08T00:00:00"/>
    <x v="0"/>
    <s v="Mon"/>
    <s v="MM Mithaiwala."/>
    <x v="2"/>
    <s v="Sweets, Snacks, Bengali"/>
    <x v="5"/>
    <s v="Veg"/>
    <n v="4"/>
    <n v="500"/>
    <n v="2000"/>
    <n v="4.3"/>
    <n v="39"/>
    <n v="449"/>
    <n v="0"/>
    <x v="2"/>
    <n v="23"/>
    <s v="Male"/>
  </r>
  <r>
    <s v="SWG1497"/>
    <d v="2024-02-19T00:00:00"/>
    <x v="7"/>
    <s v="Mon"/>
    <s v="Anhad Misal"/>
    <x v="7"/>
    <s v="Snacks, North Indian"/>
    <x v="5"/>
    <s v="Veg"/>
    <n v="2"/>
    <n v="287"/>
    <n v="574"/>
    <n v="4.0999999999999996"/>
    <n v="38"/>
    <n v="499"/>
    <n v="0"/>
    <x v="2"/>
    <n v="43"/>
    <s v="Male"/>
  </r>
  <r>
    <s v="SWG1498"/>
    <d v="2024-06-01T00:00:00"/>
    <x v="1"/>
    <s v="Sat"/>
    <s v="Classic Pure Veg"/>
    <x v="6"/>
    <s v="North Indian, Chinese"/>
    <x v="5"/>
    <s v="Veg"/>
    <n v="4"/>
    <n v="177"/>
    <n v="708"/>
    <n v="4.4000000000000004"/>
    <n v="38"/>
    <n v="1500"/>
    <n v="10"/>
    <x v="3"/>
    <n v="49"/>
    <s v="Female"/>
  </r>
  <r>
    <s v="SWG1499"/>
    <d v="2024-05-31T00:00:00"/>
    <x v="5"/>
    <s v="Fri"/>
    <s v="SNS Mexican Shack"/>
    <x v="11"/>
    <s v="Mexican, Salads, Burgers, Tex-Mex, Beverages, Fast Food"/>
    <x v="0"/>
    <s v="Veg"/>
    <n v="3"/>
    <n v="403"/>
    <n v="1209"/>
    <n v="4.4000000000000004"/>
    <n v="59"/>
    <n v="999"/>
    <n v="0"/>
    <x v="3"/>
    <n v="31"/>
    <s v="Female"/>
  </r>
  <r>
    <s v="SWG1500"/>
    <d v="2024-01-13T00:00:00"/>
    <x v="2"/>
    <s v="Sat"/>
    <s v="Stacks And Racks"/>
    <x v="11"/>
    <s v="American"/>
    <x v="5"/>
    <s v="Veg"/>
    <n v="4"/>
    <n v="145"/>
    <n v="580"/>
    <n v="4.5999999999999996"/>
    <n v="56"/>
    <m/>
    <n v="0"/>
    <x v="2"/>
    <n v="22"/>
    <s v="Female"/>
  </r>
  <r>
    <s v="SWG1501"/>
    <d v="2024-02-29T00:00:00"/>
    <x v="7"/>
    <s v="Thu"/>
    <s v="Marathi Mejwani"/>
    <x v="29"/>
    <s v="Indian, South Indian, Seafood"/>
    <x v="5"/>
    <s v="Veg"/>
    <n v="1"/>
    <n v="488"/>
    <n v="488"/>
    <n v="4.3"/>
    <n v="43"/>
    <m/>
    <n v="0"/>
    <x v="2"/>
    <n v="33"/>
    <s v="Female"/>
  </r>
  <r>
    <s v="SWG1502"/>
    <d v="2024-05-14T00:00:00"/>
    <x v="5"/>
    <s v="Tue"/>
    <s v="Gupta Bhelpuri And Sandwich Corner"/>
    <x v="3"/>
    <s v="Fast Food"/>
    <x v="5"/>
    <s v="Veg"/>
    <n v="4"/>
    <n v="566"/>
    <n v="2264"/>
    <n v="4.2"/>
    <n v="41"/>
    <m/>
    <n v="0"/>
    <x v="0"/>
    <n v="32"/>
    <s v="Female"/>
  </r>
  <r>
    <s v="SWG1503"/>
    <d v="2024-02-26T00:00:00"/>
    <x v="7"/>
    <s v="Mon"/>
    <s v="Sanata Snacks"/>
    <x v="41"/>
    <s v="Maharashtrian, Snacks, Beverages"/>
    <x v="3"/>
    <s v="Veg"/>
    <n v="2"/>
    <n v="185"/>
    <n v="370"/>
    <n v="4.3"/>
    <n v="46"/>
    <m/>
    <n v="0"/>
    <x v="1"/>
    <n v="32"/>
    <s v="Female"/>
  </r>
  <r>
    <s v="SWG1504"/>
    <d v="2024-02-05T00:00:00"/>
    <x v="7"/>
    <s v="Mon"/>
    <s v="Mm Mithaiwala Fast Food"/>
    <x v="11"/>
    <s v="Fast Food, South Indian, Indian, Snacks, Beverages"/>
    <x v="3"/>
    <s v="Veg"/>
    <n v="1"/>
    <n v="528"/>
    <n v="528"/>
    <n v="4.4000000000000004"/>
    <n v="44"/>
    <n v="800"/>
    <n v="15"/>
    <x v="3"/>
    <n v="47"/>
    <s v="Male"/>
  </r>
  <r>
    <s v="SWG1505"/>
    <d v="2024-06-21T00:00:00"/>
    <x v="1"/>
    <s v="Fri"/>
    <s v="Hotel Gopal Krishna"/>
    <x v="11"/>
    <s v="South Indian"/>
    <x v="5"/>
    <s v="Veg"/>
    <n v="2"/>
    <n v="367"/>
    <n v="734"/>
    <n v="4.5"/>
    <n v="46"/>
    <n v="999"/>
    <n v="0"/>
    <x v="2"/>
    <n v="21"/>
    <s v="Female"/>
  </r>
  <r>
    <s v="SWG1506"/>
    <d v="2024-01-20T00:00:00"/>
    <x v="2"/>
    <s v="Sat"/>
    <s v="Satkar Rice Plate House"/>
    <x v="24"/>
    <s v="Maharashtrian, Malwani, Seafood, Biryani"/>
    <x v="2"/>
    <s v="Non-Veg"/>
    <n v="2"/>
    <n v="373"/>
    <n v="746"/>
    <n v="4.5999999999999996"/>
    <n v="53"/>
    <n v="1500"/>
    <n v="10"/>
    <x v="3"/>
    <n v="25"/>
    <s v="Female"/>
  </r>
  <r>
    <s v="SWG1507"/>
    <d v="2024-03-05T00:00:00"/>
    <x v="3"/>
    <s v="Tue"/>
    <s v="Cafe Shalimar"/>
    <x v="52"/>
    <s v="North Indian, Biryani, Desserts, Beverages"/>
    <x v="2"/>
    <s v="Non-Veg"/>
    <n v="1"/>
    <n v="506"/>
    <n v="506"/>
    <n v="3.9"/>
    <n v="44"/>
    <n v="599"/>
    <n v="0"/>
    <x v="3"/>
    <n v="44"/>
    <s v="Female"/>
  </r>
  <r>
    <s v="SWG1508"/>
    <d v="2024-01-08T00:00:00"/>
    <x v="2"/>
    <s v="Mon"/>
    <s v="Arabian Shawarma Cafe"/>
    <x v="7"/>
    <s v="Arabian, Lebanese, Snacks"/>
    <x v="5"/>
    <s v="Veg"/>
    <n v="2"/>
    <n v="575"/>
    <n v="1150"/>
    <n v="4.2"/>
    <n v="43"/>
    <n v="999"/>
    <n v="0"/>
    <x v="2"/>
    <n v="33"/>
    <s v="Female"/>
  </r>
  <r>
    <s v="SWG1509"/>
    <d v="2024-08-25T00:00:00"/>
    <x v="6"/>
    <s v="Sun"/>
    <s v="China Hunt"/>
    <x v="22"/>
    <s v="Chinese, North Indian, Tandoor"/>
    <x v="5"/>
    <s v="Veg"/>
    <n v="2"/>
    <n v="163"/>
    <n v="326"/>
    <n v="4.2"/>
    <n v="48"/>
    <n v="100"/>
    <n v="20"/>
    <x v="0"/>
    <n v="45"/>
    <s v="Male"/>
  </r>
  <r>
    <s v="SWG1510"/>
    <d v="2024-05-23T00:00:00"/>
    <x v="5"/>
    <s v="Thu"/>
    <s v="Hotel Sai Palace Grand"/>
    <x v="4"/>
    <s v="North Indian, Chinese, Biryani, Desserts, Continental, Mangalorean, Seafood, Italian, Fast Food"/>
    <x v="2"/>
    <s v="Non-Veg"/>
    <n v="4"/>
    <n v="216"/>
    <n v="864"/>
    <n v="4.5"/>
    <n v="58"/>
    <m/>
    <n v="0"/>
    <x v="3"/>
    <n v="33"/>
    <s v="Male"/>
  </r>
  <r>
    <s v="SWG1511"/>
    <d v="2024-05-21T00:00:00"/>
    <x v="5"/>
    <s v="Tue"/>
    <s v="Khaas Paratha"/>
    <x v="41"/>
    <s v="North Indian"/>
    <x v="5"/>
    <s v="Veg"/>
    <n v="3"/>
    <n v="161"/>
    <n v="483"/>
    <n v="4.4000000000000004"/>
    <n v="45"/>
    <m/>
    <n v="0"/>
    <x v="0"/>
    <n v="47"/>
    <s v="Female"/>
  </r>
  <r>
    <s v="SWG1512"/>
    <d v="2024-07-22T00:00:00"/>
    <x v="4"/>
    <s v="Mon"/>
    <s v="Nischita Nxt"/>
    <x v="3"/>
    <s v="Biryani, Chinese, North Indian, Seafood"/>
    <x v="2"/>
    <s v="Non-Veg"/>
    <n v="2"/>
    <n v="346"/>
    <n v="692"/>
    <n v="4.4000000000000004"/>
    <n v="51"/>
    <n v="999"/>
    <n v="0"/>
    <x v="2"/>
    <n v="21"/>
    <s v="Female"/>
  </r>
  <r>
    <s v="SWG1513"/>
    <d v="2024-04-24T00:00:00"/>
    <x v="0"/>
    <s v="Wed"/>
    <s v="Foodgerk - The Diet Parlour"/>
    <x v="4"/>
    <s v="Continental, Salads"/>
    <x v="5"/>
    <s v="Veg"/>
    <n v="2"/>
    <n v="381"/>
    <n v="762"/>
    <n v="4.3"/>
    <n v="52"/>
    <n v="499"/>
    <n v="0"/>
    <x v="1"/>
    <n v="30"/>
    <s v="Female"/>
  </r>
  <r>
    <s v="SWG1514"/>
    <d v="2024-08-02T00:00:00"/>
    <x v="6"/>
    <s v="Fri"/>
    <s v="Jay Prakash Bar &amp; Restaurant"/>
    <x v="36"/>
    <s v="Indian, Chinese"/>
    <x v="5"/>
    <s v="Veg"/>
    <n v="2"/>
    <n v="286"/>
    <n v="572"/>
    <n v="4.2"/>
    <n v="55"/>
    <n v="449"/>
    <n v="0"/>
    <x v="1"/>
    <n v="43"/>
    <s v="Male"/>
  </r>
  <r>
    <s v="SWG1515"/>
    <d v="2024-05-22T00:00:00"/>
    <x v="5"/>
    <s v="Wed"/>
    <s v="YUI"/>
    <x v="3"/>
    <s v="Asian, Japanese"/>
    <x v="5"/>
    <s v="Veg"/>
    <n v="4"/>
    <n v="555"/>
    <n v="2220"/>
    <n v="4.4000000000000004"/>
    <n v="50"/>
    <n v="999"/>
    <n v="0"/>
    <x v="3"/>
    <n v="45"/>
    <s v="Male"/>
  </r>
  <r>
    <s v="SWG1516"/>
    <d v="2024-04-01T00:00:00"/>
    <x v="0"/>
    <s v="Mon"/>
    <s v="Sai Veg World Xpress"/>
    <x v="11"/>
    <s v="South Indian, North Indian"/>
    <x v="5"/>
    <s v="Veg"/>
    <n v="3"/>
    <n v="398"/>
    <n v="1194"/>
    <n v="4"/>
    <n v="51"/>
    <n v="449"/>
    <n v="0"/>
    <x v="2"/>
    <n v="49"/>
    <s v="Male"/>
  </r>
  <r>
    <s v="SWG1517"/>
    <d v="2024-04-07T00:00:00"/>
    <x v="0"/>
    <s v="Sun"/>
    <s v="Dessert Therapy"/>
    <x v="5"/>
    <s v="Cakes and Pastries, Desserts, Beverages, Bakery"/>
    <x v="4"/>
    <s v="Veg"/>
    <n v="1"/>
    <n v="208"/>
    <n v="208"/>
    <n v="4.5999999999999996"/>
    <n v="46"/>
    <m/>
    <n v="0"/>
    <x v="0"/>
    <n v="30"/>
    <s v="Male"/>
  </r>
  <r>
    <s v="SWG1518"/>
    <d v="2024-03-06T00:00:00"/>
    <x v="3"/>
    <s v="Wed"/>
    <s v="Sammy Sosa"/>
    <x v="4"/>
    <s v="Mexican, Asian"/>
    <x v="5"/>
    <s v="Veg"/>
    <n v="4"/>
    <n v="498"/>
    <n v="1992"/>
    <n v="4.4000000000000004"/>
    <n v="57"/>
    <n v="899"/>
    <n v="0"/>
    <x v="3"/>
    <n v="19"/>
    <s v="Male"/>
  </r>
  <r>
    <s v="SWG1519"/>
    <d v="2024-02-01T00:00:00"/>
    <x v="7"/>
    <s v="Thu"/>
    <s v="Suka Sukhi"/>
    <x v="19"/>
    <s v="Maharashtrian, Malwani"/>
    <x v="5"/>
    <s v="Veg"/>
    <n v="4"/>
    <n v="297"/>
    <n v="1188"/>
    <n v="4.4000000000000004"/>
    <n v="50"/>
    <m/>
    <n v="0"/>
    <x v="2"/>
    <n v="48"/>
    <s v="Male"/>
  </r>
  <r>
    <s v="SWG1520"/>
    <d v="2024-08-02T00:00:00"/>
    <x v="6"/>
    <s v="Fri"/>
    <s v="Queen Margherita's Pizzeria"/>
    <x v="11"/>
    <s v="Pizzas, Italian-American"/>
    <x v="1"/>
    <s v="Veg"/>
    <n v="3"/>
    <n v="546"/>
    <n v="1638"/>
    <n v="4.3"/>
    <n v="61"/>
    <m/>
    <n v="0"/>
    <x v="2"/>
    <n v="20"/>
    <s v="Female"/>
  </r>
  <r>
    <s v="SWG1521"/>
    <d v="2024-07-09T00:00:00"/>
    <x v="4"/>
    <s v="Tue"/>
    <s v="Curry and Combo Twist (Pure Veg)"/>
    <x v="53"/>
    <s v="Indian"/>
    <x v="5"/>
    <s v="Veg"/>
    <n v="3"/>
    <n v="522"/>
    <n v="1566"/>
    <n v="4.3"/>
    <n v="44"/>
    <m/>
    <n v="0"/>
    <x v="0"/>
    <n v="39"/>
    <s v="Male"/>
  </r>
  <r>
    <s v="SWG1522"/>
    <d v="2024-03-26T00:00:00"/>
    <x v="3"/>
    <s v="Tue"/>
    <s v="The Red Turtle - Pan Asian Bistro"/>
    <x v="4"/>
    <s v="Pan-Asian, Chinese, Thai, Japanese, Singaporean"/>
    <x v="5"/>
    <s v="Veg"/>
    <n v="4"/>
    <n v="316"/>
    <n v="1264"/>
    <n v="4.4000000000000004"/>
    <n v="57"/>
    <m/>
    <n v="0"/>
    <x v="3"/>
    <n v="25"/>
    <s v="Male"/>
  </r>
  <r>
    <s v="SWG1523"/>
    <d v="2024-02-20T00:00:00"/>
    <x v="7"/>
    <s v="Tue"/>
    <s v="The Veg Treat Royal"/>
    <x v="7"/>
    <s v="North Indian, Indian, Chinese, Continental, South Indian"/>
    <x v="5"/>
    <s v="Veg"/>
    <n v="1"/>
    <n v="426"/>
    <n v="426"/>
    <n v="4.5"/>
    <n v="42"/>
    <m/>
    <n v="0"/>
    <x v="2"/>
    <n v="41"/>
    <s v="Female"/>
  </r>
  <r>
    <s v="SWG1524"/>
    <d v="2024-06-01T00:00:00"/>
    <x v="1"/>
    <s v="Sat"/>
    <s v="Mangoes"/>
    <x v="11"/>
    <s v="Mangalorean, Goan"/>
    <x v="5"/>
    <s v="Veg"/>
    <n v="4"/>
    <n v="386"/>
    <n v="1544"/>
    <n v="4.4000000000000004"/>
    <n v="61"/>
    <m/>
    <n v="0"/>
    <x v="2"/>
    <n v="32"/>
    <s v="Male"/>
  </r>
  <r>
    <s v="SWG1525"/>
    <d v="2024-07-04T00:00:00"/>
    <x v="4"/>
    <s v="Thu"/>
    <s v="Rangrezz Desi Restobar"/>
    <x v="3"/>
    <s v="North Indian"/>
    <x v="5"/>
    <s v="Veg"/>
    <n v="3"/>
    <n v="387"/>
    <n v="1161"/>
    <n v="4.4000000000000004"/>
    <n v="43"/>
    <m/>
    <n v="0"/>
    <x v="2"/>
    <n v="28"/>
    <s v="Female"/>
  </r>
  <r>
    <s v="SWG1526"/>
    <d v="2024-03-03T00:00:00"/>
    <x v="3"/>
    <s v="Sun"/>
    <s v="Bansi Vadapav"/>
    <x v="4"/>
    <s v="Fast Food"/>
    <x v="5"/>
    <s v="Veg"/>
    <n v="1"/>
    <n v="193"/>
    <n v="193"/>
    <n v="4.2"/>
    <n v="41"/>
    <m/>
    <n v="0"/>
    <x v="0"/>
    <n v="48"/>
    <s v="Male"/>
  </r>
  <r>
    <s v="SWG1527"/>
    <d v="2024-07-08T00:00:00"/>
    <x v="4"/>
    <s v="Mon"/>
    <s v="Mumbaikar S Food House"/>
    <x v="11"/>
    <s v="Indian, Thalis"/>
    <x v="5"/>
    <s v="Veg"/>
    <n v="3"/>
    <n v="127"/>
    <n v="381"/>
    <n v="4.3"/>
    <n v="61"/>
    <m/>
    <n v="0"/>
    <x v="3"/>
    <n v="26"/>
    <s v="Female"/>
  </r>
  <r>
    <s v="SWG1528"/>
    <d v="2024-05-04T00:00:00"/>
    <x v="5"/>
    <s v="Sat"/>
    <s v="Vivek Chinese corner"/>
    <x v="3"/>
    <s v="Chinese"/>
    <x v="5"/>
    <s v="Veg"/>
    <n v="1"/>
    <n v="527"/>
    <n v="527"/>
    <n v="4.4000000000000004"/>
    <n v="44"/>
    <n v="1300"/>
    <n v="10"/>
    <x v="3"/>
    <n v="24"/>
    <s v="Female"/>
  </r>
  <r>
    <s v="SWG1529"/>
    <d v="2024-05-29T00:00:00"/>
    <x v="5"/>
    <s v="Wed"/>
    <s v="Pranayam (Pure Veg)"/>
    <x v="7"/>
    <s v="North Indian, South Indian, Snacks"/>
    <x v="5"/>
    <s v="Veg"/>
    <n v="2"/>
    <n v="595"/>
    <n v="1190"/>
    <n v="4"/>
    <n v="47"/>
    <n v="249"/>
    <n v="0"/>
    <x v="3"/>
    <n v="30"/>
    <s v="Female"/>
  </r>
  <r>
    <s v="SWG1530"/>
    <d v="2024-02-27T00:00:00"/>
    <x v="7"/>
    <s v="Tue"/>
    <s v="Grab Some Momos Here"/>
    <x v="7"/>
    <s v="Tibetan, Chinese"/>
    <x v="5"/>
    <s v="Veg"/>
    <n v="3"/>
    <n v="416"/>
    <n v="1248"/>
    <n v="4.5"/>
    <n v="42"/>
    <m/>
    <n v="0"/>
    <x v="3"/>
    <n v="19"/>
    <s v="Female"/>
  </r>
  <r>
    <s v="SWG1531"/>
    <d v="2024-02-27T00:00:00"/>
    <x v="7"/>
    <s v="Tue"/>
    <s v="Peco Peco"/>
    <x v="4"/>
    <s v="Chinese, Asian, Thai"/>
    <x v="5"/>
    <s v="Veg"/>
    <n v="3"/>
    <n v="283"/>
    <n v="849"/>
    <n v="4.4000000000000004"/>
    <n v="48"/>
    <m/>
    <n v="0"/>
    <x v="1"/>
    <n v="25"/>
    <s v="Female"/>
  </r>
  <r>
    <s v="SWG1532"/>
    <d v="2024-03-26T00:00:00"/>
    <x v="3"/>
    <s v="Tue"/>
    <s v="Meetha By Radisson"/>
    <x v="38"/>
    <s v="Desserts"/>
    <x v="4"/>
    <s v="Veg"/>
    <n v="4"/>
    <n v="204"/>
    <n v="816"/>
    <n v="4.5999999999999996"/>
    <n v="54"/>
    <n v="40"/>
    <n v="10"/>
    <x v="1"/>
    <n v="24"/>
    <s v="Male"/>
  </r>
  <r>
    <s v="SWG1533"/>
    <d v="2024-02-18T00:00:00"/>
    <x v="7"/>
    <s v="Sun"/>
    <s v="Rasodu - The Ethnic Kitchen"/>
    <x v="11"/>
    <s v="Indian, Thalis, Beverages"/>
    <x v="3"/>
    <s v="Veg"/>
    <n v="3"/>
    <n v="191"/>
    <n v="573"/>
    <n v="4.3"/>
    <n v="44"/>
    <m/>
    <n v="0"/>
    <x v="3"/>
    <n v="41"/>
    <s v="Male"/>
  </r>
  <r>
    <s v="SWG1534"/>
    <d v="2024-06-28T00:00:00"/>
    <x v="1"/>
    <s v="Fri"/>
    <s v="Kake Da Hotel (Since 1931)"/>
    <x v="54"/>
    <s v="North Indian, Tandoor, Punjabi"/>
    <x v="5"/>
    <s v="Veg"/>
    <n v="3"/>
    <n v="174"/>
    <n v="522"/>
    <n v="4.2"/>
    <n v="53"/>
    <n v="800"/>
    <n v="15"/>
    <x v="0"/>
    <n v="29"/>
    <s v="Female"/>
  </r>
  <r>
    <s v="SWG1535"/>
    <d v="2024-06-18T00:00:00"/>
    <x v="1"/>
    <s v="Tue"/>
    <s v="# Thali"/>
    <x v="7"/>
    <s v="North Indian, Chinese"/>
    <x v="5"/>
    <s v="Veg"/>
    <n v="2"/>
    <n v="512"/>
    <n v="1024"/>
    <n v="4.5"/>
    <n v="52"/>
    <n v="449"/>
    <n v="0"/>
    <x v="1"/>
    <n v="36"/>
    <s v="Female"/>
  </r>
  <r>
    <s v="SWG1536"/>
    <d v="2024-03-10T00:00:00"/>
    <x v="3"/>
    <s v="Sun"/>
    <s v="Sernyaa"/>
    <x v="55"/>
    <s v="Tibetan, Chinese"/>
    <x v="5"/>
    <s v="Veg"/>
    <n v="3"/>
    <n v="166"/>
    <n v="498"/>
    <n v="4.5"/>
    <n v="56"/>
    <n v="900"/>
    <n v="10"/>
    <x v="2"/>
    <n v="24"/>
    <s v="Female"/>
  </r>
  <r>
    <s v="SWG1537"/>
    <d v="2024-01-15T00:00:00"/>
    <x v="2"/>
    <s v="Mon"/>
    <s v="Udipi Vihar (pure veg) restaurant"/>
    <x v="19"/>
    <s v="Chinese, North Indian, South Indian, Tandoor, Biryani, Desserts"/>
    <x v="2"/>
    <s v="Non-Veg"/>
    <n v="2"/>
    <n v="518"/>
    <n v="1036"/>
    <n v="4.4000000000000004"/>
    <n v="50"/>
    <m/>
    <n v="0"/>
    <x v="1"/>
    <n v="27"/>
    <s v="Male"/>
  </r>
  <r>
    <s v="SWG1538"/>
    <d v="2024-02-23T00:00:00"/>
    <x v="7"/>
    <s v="Fri"/>
    <s v="Shubh Sagar Restaurant"/>
    <x v="33"/>
    <s v="Chinese, North Indian, South Indian"/>
    <x v="5"/>
    <s v="Veg"/>
    <n v="2"/>
    <n v="551"/>
    <n v="1102"/>
    <n v="4.4000000000000004"/>
    <n v="52"/>
    <m/>
    <n v="0"/>
    <x v="2"/>
    <n v="46"/>
    <s v="Female"/>
  </r>
  <r>
    <s v="SWG1539"/>
    <d v="2024-08-22T00:00:00"/>
    <x v="6"/>
    <s v="Thu"/>
    <s v="Ruchi Veg Restaurant"/>
    <x v="36"/>
    <s v="South Indian, North Indian, Chinese, Tandoor, Biryani, Juices, Beverages, Mughlai, Home Food, Healthy Food, Italian, Mexican"/>
    <x v="2"/>
    <s v="Non-Veg"/>
    <n v="2"/>
    <n v="357"/>
    <n v="714"/>
    <n v="4.0999999999999996"/>
    <n v="46"/>
    <n v="900"/>
    <n v="10"/>
    <x v="3"/>
    <n v="42"/>
    <s v="Female"/>
  </r>
  <r>
    <s v="SWG1540"/>
    <d v="2024-07-06T00:00:00"/>
    <x v="4"/>
    <s v="Sat"/>
    <s v="Jango's"/>
    <x v="4"/>
    <s v="Chinese, North Indian, Biryani, Kebabs"/>
    <x v="2"/>
    <s v="Non-Veg"/>
    <n v="2"/>
    <n v="223"/>
    <n v="446"/>
    <n v="4.2"/>
    <n v="55"/>
    <n v="749"/>
    <n v="0"/>
    <x v="1"/>
    <n v="33"/>
    <s v="Female"/>
  </r>
  <r>
    <s v="SWG1541"/>
    <d v="2024-04-10T00:00:00"/>
    <x v="0"/>
    <s v="Wed"/>
    <s v="Konkan Chilly"/>
    <x v="56"/>
    <s v="Konkan, North Indian, Chinese, Tandoor, Malwani"/>
    <x v="5"/>
    <s v="Veg"/>
    <n v="1"/>
    <n v="329"/>
    <n v="329"/>
    <n v="4.3"/>
    <n v="56"/>
    <n v="1000"/>
    <n v="10"/>
    <x v="0"/>
    <n v="20"/>
    <s v="Female"/>
  </r>
  <r>
    <s v="SWG1542"/>
    <d v="2024-08-12T00:00:00"/>
    <x v="6"/>
    <s v="Mon"/>
    <s v="Flavours Of China (Evershine Nagar)"/>
    <x v="28"/>
    <s v="Chinese"/>
    <x v="5"/>
    <s v="Veg"/>
    <n v="4"/>
    <n v="161"/>
    <n v="644"/>
    <n v="4.2"/>
    <n v="51"/>
    <n v="999"/>
    <n v="0"/>
    <x v="1"/>
    <n v="47"/>
    <s v="Male"/>
  </r>
  <r>
    <s v="SWG1543"/>
    <d v="2024-01-08T00:00:00"/>
    <x v="2"/>
    <s v="Mon"/>
    <s v="Landmark Kitchens"/>
    <x v="36"/>
    <s v="Indian, Snacks, Pizzas, Chinese"/>
    <x v="1"/>
    <s v="Veg"/>
    <n v="1"/>
    <n v="435"/>
    <n v="435"/>
    <n v="4.4000000000000004"/>
    <n v="56"/>
    <m/>
    <n v="0"/>
    <x v="1"/>
    <n v="27"/>
    <s v="Female"/>
  </r>
  <r>
    <s v="SWG1544"/>
    <d v="2024-02-22T00:00:00"/>
    <x v="7"/>
    <s v="Thu"/>
    <s v="Desi Shack- Acha Khao, Acha Khilao- By om snacks"/>
    <x v="19"/>
    <s v="Indian, Fast Food, Snacks, Italian, Chinese, Beverages"/>
    <x v="3"/>
    <s v="Veg"/>
    <n v="3"/>
    <n v="587"/>
    <n v="1761"/>
    <n v="4.0999999999999996"/>
    <n v="43"/>
    <m/>
    <n v="0"/>
    <x v="1"/>
    <n v="23"/>
    <s v="Female"/>
  </r>
  <r>
    <s v="SWG1545"/>
    <d v="2024-02-29T00:00:00"/>
    <x v="7"/>
    <s v="Thu"/>
    <s v="Malgudi - Veg &amp; Non-Veg Family Restaurant"/>
    <x v="3"/>
    <s v="North Indian, Chinese, South Indian, Malwani"/>
    <x v="5"/>
    <s v="Veg"/>
    <n v="1"/>
    <n v="573"/>
    <n v="573"/>
    <n v="4.0999999999999996"/>
    <n v="48"/>
    <n v="449"/>
    <n v="0"/>
    <x v="3"/>
    <n v="35"/>
    <s v="Male"/>
  </r>
  <r>
    <s v="SWG1546"/>
    <d v="2024-08-23T00:00:00"/>
    <x v="6"/>
    <s v="Fri"/>
    <s v="Shiv Sagar Malad"/>
    <x v="4"/>
    <s v="Indian, Chinese"/>
    <x v="5"/>
    <s v="Veg"/>
    <n v="1"/>
    <n v="387"/>
    <n v="387"/>
    <n v="4.2"/>
    <n v="48"/>
    <n v="1200"/>
    <n v="10"/>
    <x v="0"/>
    <n v="35"/>
    <s v="Female"/>
  </r>
  <r>
    <s v="SWG1547"/>
    <d v="2024-04-17T00:00:00"/>
    <x v="0"/>
    <s v="Wed"/>
    <s v="Lalit Bakery"/>
    <x v="7"/>
    <s v="Bakery, Desserts, Italian"/>
    <x v="4"/>
    <s v="Veg"/>
    <n v="3"/>
    <n v="505"/>
    <n v="1515"/>
    <n v="4.3"/>
    <n v="51"/>
    <m/>
    <n v="0"/>
    <x v="1"/>
    <n v="22"/>
    <s v="Female"/>
  </r>
  <r>
    <s v="SWG1548"/>
    <d v="2024-01-05T00:00:00"/>
    <x v="2"/>
    <s v="Fri"/>
    <s v="Namaskar The Family Restaurant"/>
    <x v="8"/>
    <s v="North Indian, Chinese, Maharashtrian, Biryani"/>
    <x v="2"/>
    <s v="Non-Veg"/>
    <n v="3"/>
    <n v="382"/>
    <n v="1146"/>
    <n v="4.4000000000000004"/>
    <n v="49"/>
    <m/>
    <n v="0"/>
    <x v="0"/>
    <n v="38"/>
    <s v="Male"/>
  </r>
  <r>
    <s v="SWG1549"/>
    <d v="2024-04-12T00:00:00"/>
    <x v="0"/>
    <s v="Fri"/>
    <s v="Green Tadka"/>
    <x v="38"/>
    <s v="Indian"/>
    <x v="5"/>
    <s v="Veg"/>
    <n v="3"/>
    <n v="455"/>
    <n v="1365"/>
    <n v="4.4000000000000004"/>
    <n v="51"/>
    <m/>
    <n v="0"/>
    <x v="3"/>
    <n v="46"/>
    <s v="Male"/>
  </r>
  <r>
    <s v="SWG1550"/>
    <d v="2024-07-14T00:00:00"/>
    <x v="4"/>
    <s v="Sun"/>
    <s v="Stir Fry Grill"/>
    <x v="4"/>
    <s v="Chinese, Continental, Indian, Thai, Healthy Food, Pan-Asian"/>
    <x v="5"/>
    <s v="Veg"/>
    <n v="1"/>
    <n v="506"/>
    <n v="506"/>
    <n v="4.3"/>
    <n v="48"/>
    <n v="449"/>
    <n v="0"/>
    <x v="2"/>
    <n v="24"/>
    <s v="Male"/>
  </r>
  <r>
    <s v="SWG1551"/>
    <d v="2024-01-06T00:00:00"/>
    <x v="2"/>
    <s v="Sat"/>
    <s v="Deepak Only Veg"/>
    <x v="9"/>
    <s v="South Indian, Chinese, Indian"/>
    <x v="5"/>
    <s v="Veg"/>
    <n v="1"/>
    <n v="484"/>
    <n v="484"/>
    <n v="4.4000000000000004"/>
    <n v="49"/>
    <n v="600"/>
    <n v="10"/>
    <x v="1"/>
    <n v="45"/>
    <s v="Female"/>
  </r>
  <r>
    <s v="SWG1552"/>
    <d v="2024-04-18T00:00:00"/>
    <x v="0"/>
    <s v="Thu"/>
    <s v="Gulistan Family Restaurant"/>
    <x v="4"/>
    <s v="Chinese"/>
    <x v="5"/>
    <s v="Veg"/>
    <n v="3"/>
    <n v="378"/>
    <n v="1134"/>
    <n v="4.0999999999999996"/>
    <n v="43"/>
    <n v="1300"/>
    <n v="10"/>
    <x v="0"/>
    <n v="19"/>
    <s v="Female"/>
  </r>
  <r>
    <s v="SWG1553"/>
    <d v="2024-08-11T00:00:00"/>
    <x v="6"/>
    <s v="Sun"/>
    <s v="Keto Treats"/>
    <x v="57"/>
    <s v="Keto, Bakery, Ice Cream, Desserts"/>
    <x v="4"/>
    <s v="Veg"/>
    <n v="4"/>
    <n v="402"/>
    <n v="1608"/>
    <n v="4.4000000000000004"/>
    <n v="52"/>
    <n v="900"/>
    <n v="10"/>
    <x v="0"/>
    <n v="28"/>
    <s v="Male"/>
  </r>
  <r>
    <s v="SWG1554"/>
    <d v="2024-04-25T00:00:00"/>
    <x v="0"/>
    <s v="Thu"/>
    <s v="Hotel Apala samadhan"/>
    <x v="3"/>
    <s v="Malwani, Indian, Chinese"/>
    <x v="5"/>
    <s v="Veg"/>
    <n v="4"/>
    <n v="233"/>
    <n v="932"/>
    <n v="4.4000000000000004"/>
    <n v="49"/>
    <m/>
    <n v="0"/>
    <x v="3"/>
    <n v="47"/>
    <s v="Male"/>
  </r>
  <r>
    <s v="SWG1555"/>
    <d v="2024-04-03T00:00:00"/>
    <x v="0"/>
    <s v="Wed"/>
    <s v="Ravindra Restaurant"/>
    <x v="6"/>
    <s v="North Indian, South Indian, Chinese, Pizzas"/>
    <x v="1"/>
    <s v="Veg"/>
    <n v="2"/>
    <n v="482"/>
    <n v="964"/>
    <n v="4.5"/>
    <n v="43"/>
    <m/>
    <n v="0"/>
    <x v="1"/>
    <n v="30"/>
    <s v="Male"/>
  </r>
  <r>
    <s v="SWG1556"/>
    <d v="2024-02-16T00:00:00"/>
    <x v="7"/>
    <s v="Fri"/>
    <s v="Apricot foods"/>
    <x v="3"/>
    <s v="Sweets, Fast Food, Chaat, Snacks, Desserts, Gujarati, Maharashtrian"/>
    <x v="4"/>
    <s v="Veg"/>
    <n v="3"/>
    <n v="159"/>
    <n v="477"/>
    <n v="4.5"/>
    <n v="43"/>
    <n v="999"/>
    <n v="0"/>
    <x v="2"/>
    <n v="40"/>
    <s v="Female"/>
  </r>
  <r>
    <s v="SWG1557"/>
    <d v="2024-04-08T00:00:00"/>
    <x v="0"/>
    <s v="Mon"/>
    <s v="Sattvik Tiffin Co"/>
    <x v="19"/>
    <s v="North Indian, Chinese"/>
    <x v="5"/>
    <s v="Veg"/>
    <n v="2"/>
    <n v="536"/>
    <n v="1072"/>
    <n v="4.4000000000000004"/>
    <n v="44"/>
    <m/>
    <n v="0"/>
    <x v="0"/>
    <n v="22"/>
    <s v="Female"/>
  </r>
  <r>
    <s v="SWG1558"/>
    <d v="2024-02-24T00:00:00"/>
    <x v="7"/>
    <s v="Sat"/>
    <s v="Govindas Veg Treat"/>
    <x v="4"/>
    <s v="North Indian, Chinese, Beverages, South American"/>
    <x v="3"/>
    <s v="Veg"/>
    <n v="4"/>
    <n v="339"/>
    <n v="1356"/>
    <n v="4.3"/>
    <n v="45"/>
    <n v="700"/>
    <n v="10"/>
    <x v="1"/>
    <n v="47"/>
    <s v="Male"/>
  </r>
  <r>
    <s v="SWG1559"/>
    <d v="2024-06-16T00:00:00"/>
    <x v="1"/>
    <s v="Sun"/>
    <s v="The Delhi Spice"/>
    <x v="19"/>
    <s v="Biryani, Chinese, North Indian"/>
    <x v="2"/>
    <s v="Non-Veg"/>
    <n v="2"/>
    <n v="248"/>
    <n v="496"/>
    <n v="4.2"/>
    <n v="46"/>
    <m/>
    <n v="0"/>
    <x v="2"/>
    <n v="23"/>
    <s v="Female"/>
  </r>
  <r>
    <s v="SWG1560"/>
    <d v="2024-02-21T00:00:00"/>
    <x v="7"/>
    <s v="Wed"/>
    <s v="Hotel National"/>
    <x v="5"/>
    <s v="North Indian, Chinese"/>
    <x v="5"/>
    <s v="Veg"/>
    <n v="3"/>
    <n v="127"/>
    <n v="381"/>
    <n v="3.9"/>
    <n v="43"/>
    <n v="999"/>
    <n v="0"/>
    <x v="0"/>
    <n v="41"/>
    <s v="Male"/>
  </r>
  <r>
    <s v="SWG1561"/>
    <d v="2024-05-23T00:00:00"/>
    <x v="5"/>
    <s v="Thu"/>
    <s v="The Burrow Cafe"/>
    <x v="4"/>
    <s v="Pastas, Continental"/>
    <x v="5"/>
    <s v="Veg"/>
    <n v="3"/>
    <n v="220"/>
    <n v="660"/>
    <n v="4.4000000000000004"/>
    <n v="53"/>
    <n v="900"/>
    <n v="10"/>
    <x v="0"/>
    <n v="43"/>
    <s v="Female"/>
  </r>
  <r>
    <s v="SWG1562"/>
    <d v="2024-01-13T00:00:00"/>
    <x v="2"/>
    <s v="Sat"/>
    <s v="Saundha"/>
    <x v="11"/>
    <s v="North Indian, Biryani, Kebabs, Chaat, Beverages"/>
    <x v="2"/>
    <s v="Non-Veg"/>
    <n v="3"/>
    <n v="535"/>
    <n v="1605"/>
    <n v="4.0999999999999996"/>
    <n v="57"/>
    <m/>
    <n v="0"/>
    <x v="2"/>
    <n v="46"/>
    <s v="Female"/>
  </r>
  <r>
    <s v="SWG1563"/>
    <d v="2024-04-23T00:00:00"/>
    <x v="0"/>
    <s v="Tue"/>
    <s v="Raju Pav Bhaji"/>
    <x v="9"/>
    <s v="Chinese"/>
    <x v="5"/>
    <s v="Veg"/>
    <n v="1"/>
    <n v="499"/>
    <n v="499"/>
    <n v="4"/>
    <n v="40"/>
    <n v="749"/>
    <n v="0"/>
    <x v="2"/>
    <n v="31"/>
    <s v="Female"/>
  </r>
  <r>
    <s v="SWG1564"/>
    <d v="2024-05-03T00:00:00"/>
    <x v="5"/>
    <s v="Fri"/>
    <s v="Cha - Ya its cup of tea"/>
    <x v="7"/>
    <s v="Beverages, Snacks"/>
    <x v="3"/>
    <s v="Veg"/>
    <n v="2"/>
    <n v="295"/>
    <n v="590"/>
    <n v="4.5"/>
    <n v="40"/>
    <n v="500"/>
    <n v="20"/>
    <x v="3"/>
    <n v="29"/>
    <s v="Female"/>
  </r>
  <r>
    <s v="SWG1565"/>
    <d v="2024-04-15T00:00:00"/>
    <x v="0"/>
    <s v="Mon"/>
    <s v="Coffee By Di Bella Exclusive"/>
    <x v="4"/>
    <s v="Desserts, Beverages, Fast Food, Waffle, Snacks, Bakery"/>
    <x v="4"/>
    <s v="Veg"/>
    <n v="4"/>
    <n v="226"/>
    <n v="904"/>
    <n v="4.4000000000000004"/>
    <n v="50"/>
    <n v="800"/>
    <n v="10"/>
    <x v="1"/>
    <n v="21"/>
    <s v="Male"/>
  </r>
  <r>
    <s v="SWG1566"/>
    <d v="2024-06-06T00:00:00"/>
    <x v="1"/>
    <s v="Thu"/>
    <s v="Jagtap Missal"/>
    <x v="7"/>
    <s v="Snacks, Indian"/>
    <x v="5"/>
    <s v="Veg"/>
    <n v="4"/>
    <n v="220"/>
    <n v="880"/>
    <n v="3.8"/>
    <n v="34"/>
    <m/>
    <n v="0"/>
    <x v="1"/>
    <n v="46"/>
    <s v="Female"/>
  </r>
  <r>
    <s v="SWG1567"/>
    <d v="2024-05-26T00:00:00"/>
    <x v="5"/>
    <s v="Sun"/>
    <s v="Nafees Biryani"/>
    <x v="22"/>
    <s v="Mughlai"/>
    <x v="5"/>
    <s v="Veg"/>
    <n v="4"/>
    <n v="379"/>
    <n v="1516"/>
    <n v="4.2"/>
    <n v="38"/>
    <n v="150"/>
    <n v="30"/>
    <x v="3"/>
    <n v="40"/>
    <s v="Female"/>
  </r>
  <r>
    <s v="SWG1568"/>
    <d v="2024-05-24T00:00:00"/>
    <x v="5"/>
    <s v="Fri"/>
    <s v="R K Ladoowala"/>
    <x v="29"/>
    <s v="Indian, Sweets, Desserts"/>
    <x v="4"/>
    <s v="Veg"/>
    <n v="1"/>
    <n v="597"/>
    <n v="597"/>
    <n v="3.8"/>
    <n v="36"/>
    <n v="100"/>
    <n v="10"/>
    <x v="0"/>
    <n v="23"/>
    <s v="Male"/>
  </r>
  <r>
    <s v="SWG1569"/>
    <d v="2024-04-29T00:00:00"/>
    <x v="0"/>
    <s v="Mon"/>
    <s v="Biryani-Holic"/>
    <x v="22"/>
    <s v="Biryani, Indian"/>
    <x v="2"/>
    <s v="Non-Veg"/>
    <n v="1"/>
    <n v="573"/>
    <n v="573"/>
    <n v="4"/>
    <n v="38"/>
    <n v="150"/>
    <n v="30"/>
    <x v="2"/>
    <n v="49"/>
    <s v="Female"/>
  </r>
  <r>
    <s v="SWG1570"/>
    <d v="2024-03-03T00:00:00"/>
    <x v="3"/>
    <s v="Sun"/>
    <s v="The Green Kitchen"/>
    <x v="7"/>
    <s v="Fast Food, Indian, Chinese, Continental, Tandoor, Pizzas, South Indian, Mexican"/>
    <x v="1"/>
    <s v="Veg"/>
    <n v="3"/>
    <n v="485"/>
    <n v="1455"/>
    <n v="4.3"/>
    <n v="39"/>
    <m/>
    <n v="0"/>
    <x v="2"/>
    <n v="27"/>
    <s v="Male"/>
  </r>
  <r>
    <s v="SWG1571"/>
    <d v="2024-01-19T00:00:00"/>
    <x v="2"/>
    <s v="Fri"/>
    <s v="Bindaas Binge ( Cakes, Pastries &amp; More )"/>
    <x v="22"/>
    <s v="Bakery, Desserts, Sweets"/>
    <x v="4"/>
    <s v="Veg"/>
    <n v="4"/>
    <n v="365"/>
    <n v="1460"/>
    <n v="4.4000000000000004"/>
    <n v="38"/>
    <m/>
    <n v="0"/>
    <x v="2"/>
    <n v="35"/>
    <s v="Male"/>
  </r>
  <r>
    <s v="SWG1572"/>
    <d v="2024-04-01T00:00:00"/>
    <x v="0"/>
    <s v="Mon"/>
    <s v="Anytime Misal"/>
    <x v="7"/>
    <s v="Street Food, Beverages, Desserts"/>
    <x v="4"/>
    <s v="Veg"/>
    <n v="1"/>
    <n v="394"/>
    <n v="394"/>
    <n v="4.0999999999999996"/>
    <n v="37"/>
    <m/>
    <n v="0"/>
    <x v="0"/>
    <n v="32"/>
    <s v="Female"/>
  </r>
  <r>
    <s v="SWG1573"/>
    <d v="2024-02-27T00:00:00"/>
    <x v="7"/>
    <s v="Tue"/>
    <s v="Andawala"/>
    <x v="3"/>
    <s v="Fast Food, Street Food"/>
    <x v="5"/>
    <s v="Veg"/>
    <n v="3"/>
    <n v="151"/>
    <n v="453"/>
    <n v="4.2"/>
    <n v="33"/>
    <m/>
    <n v="0"/>
    <x v="2"/>
    <n v="25"/>
    <s v="Female"/>
  </r>
  <r>
    <s v="SWG1574"/>
    <d v="2024-07-01T00:00:00"/>
    <x v="4"/>
    <s v="Mon"/>
    <s v="Chatako The Gujju's"/>
    <x v="6"/>
    <s v="Gujarati"/>
    <x v="5"/>
    <s v="Veg"/>
    <n v="4"/>
    <n v="256"/>
    <n v="1024"/>
    <n v="4.4000000000000004"/>
    <n v="38"/>
    <m/>
    <n v="0"/>
    <x v="2"/>
    <n v="43"/>
    <s v="Male"/>
  </r>
  <r>
    <s v="SWG1575"/>
    <d v="2024-03-30T00:00:00"/>
    <x v="3"/>
    <s v="Sat"/>
    <s v="Aditi Fast Food"/>
    <x v="11"/>
    <s v="Street Food, Indian, Chinese, Beverages"/>
    <x v="3"/>
    <s v="Veg"/>
    <n v="2"/>
    <n v="131"/>
    <n v="262"/>
    <n v="4"/>
    <n v="63"/>
    <m/>
    <n v="0"/>
    <x v="3"/>
    <n v="49"/>
    <s v="Male"/>
  </r>
  <r>
    <s v="SWG1576"/>
    <d v="2024-08-16T00:00:00"/>
    <x v="6"/>
    <s v="Fri"/>
    <s v="Hotel ShreeDevi"/>
    <x v="4"/>
    <s v="Indian, Chinese, Punjabi"/>
    <x v="5"/>
    <s v="Veg"/>
    <n v="3"/>
    <n v="514"/>
    <n v="1542"/>
    <n v="4.5"/>
    <n v="41"/>
    <m/>
    <n v="0"/>
    <x v="0"/>
    <n v="26"/>
    <s v="Male"/>
  </r>
  <r>
    <s v="SWG1577"/>
    <d v="2024-08-05T00:00:00"/>
    <x v="6"/>
    <s v="Mon"/>
    <s v="Thepla Junction"/>
    <x v="5"/>
    <s v="Snacks"/>
    <x v="5"/>
    <s v="Veg"/>
    <n v="1"/>
    <n v="421"/>
    <n v="421"/>
    <m/>
    <m/>
    <m/>
    <n v="0"/>
    <x v="1"/>
    <n v="22"/>
    <s v="Female"/>
  </r>
  <r>
    <s v="SWG1578"/>
    <d v="2024-04-26T00:00:00"/>
    <x v="0"/>
    <s v="Fri"/>
    <s v="The Daily Deli"/>
    <x v="4"/>
    <s v="Continental, American, Pizzas, Pastas, Beverages, Desserts"/>
    <x v="1"/>
    <s v="Veg"/>
    <n v="1"/>
    <n v="494"/>
    <n v="494"/>
    <n v="4.3"/>
    <n v="60"/>
    <n v="749"/>
    <n v="0"/>
    <x v="3"/>
    <n v="27"/>
    <s v="Male"/>
  </r>
  <r>
    <s v="SWG1579"/>
    <d v="2024-03-02T00:00:00"/>
    <x v="3"/>
    <s v="Sat"/>
    <s v="Cherry's Kitchen"/>
    <x v="4"/>
    <s v="Indian, Kerala"/>
    <x v="5"/>
    <s v="Veg"/>
    <n v="3"/>
    <n v="135"/>
    <n v="405"/>
    <n v="3.9"/>
    <n v="56"/>
    <m/>
    <n v="0"/>
    <x v="3"/>
    <n v="37"/>
    <s v="Male"/>
  </r>
  <r>
    <s v="SWG1580"/>
    <d v="2024-01-23T00:00:00"/>
    <x v="2"/>
    <s v="Tue"/>
    <s v="Annapurna Healthy Kitchen"/>
    <x v="5"/>
    <s v="Gujarati, Thalis"/>
    <x v="5"/>
    <s v="Veg"/>
    <n v="3"/>
    <n v="248"/>
    <n v="744"/>
    <n v="4.5"/>
    <n v="66"/>
    <m/>
    <n v="0"/>
    <x v="1"/>
    <n v="23"/>
    <s v="Male"/>
  </r>
  <r>
    <s v="SWG1581"/>
    <d v="2024-05-06T00:00:00"/>
    <x v="5"/>
    <s v="Mon"/>
    <s v="Divya Chinese corner"/>
    <x v="6"/>
    <s v="Chinese, Indian"/>
    <x v="5"/>
    <s v="Veg"/>
    <n v="1"/>
    <n v="182"/>
    <n v="182"/>
    <n v="4.3"/>
    <n v="40"/>
    <n v="700"/>
    <n v="20"/>
    <x v="3"/>
    <n v="33"/>
    <s v="Female"/>
  </r>
  <r>
    <s v="SWG1582"/>
    <d v="2024-05-16T00:00:00"/>
    <x v="5"/>
    <s v="Thu"/>
    <s v="Medha malvan"/>
    <x v="36"/>
    <s v="Malwani"/>
    <x v="5"/>
    <s v="Veg"/>
    <n v="2"/>
    <n v="228"/>
    <n v="456"/>
    <n v="4.2"/>
    <n v="59"/>
    <n v="800"/>
    <n v="15"/>
    <x v="0"/>
    <n v="41"/>
    <s v="Male"/>
  </r>
  <r>
    <s v="SWG1583"/>
    <d v="2024-05-19T00:00:00"/>
    <x v="5"/>
    <s v="Sun"/>
    <s v="Vedant Snacks Corner"/>
    <x v="41"/>
    <s v="South Indian, Beverages, North Indian, Juices"/>
    <x v="3"/>
    <s v="Veg"/>
    <n v="4"/>
    <n v="494"/>
    <n v="1976"/>
    <n v="4.0999999999999996"/>
    <n v="54"/>
    <n v="999"/>
    <n v="0"/>
    <x v="2"/>
    <n v="44"/>
    <s v="Female"/>
  </r>
  <r>
    <s v="SWG1584"/>
    <d v="2024-05-08T00:00:00"/>
    <x v="5"/>
    <s v="Wed"/>
    <s v="Noor Biryani Center"/>
    <x v="3"/>
    <s v="Biryani, Mughlai, North Indian, Indian, Tandoor, Punjabi, Snacks, Desserts"/>
    <x v="2"/>
    <s v="Non-Veg"/>
    <n v="2"/>
    <n v="140"/>
    <n v="280"/>
    <n v="3.7"/>
    <n v="44"/>
    <n v="150"/>
    <n v="30"/>
    <x v="0"/>
    <n v="48"/>
    <s v="Female"/>
  </r>
  <r>
    <s v="SWG1585"/>
    <d v="2024-02-27T00:00:00"/>
    <x v="7"/>
    <s v="Tue"/>
    <s v="Dada's Chinese Kitchen"/>
    <x v="2"/>
    <s v="Chinese"/>
    <x v="5"/>
    <s v="Veg"/>
    <n v="3"/>
    <n v="277"/>
    <n v="831"/>
    <n v="4.2"/>
    <n v="49"/>
    <n v="125"/>
    <n v="25"/>
    <x v="1"/>
    <n v="20"/>
    <s v="Male"/>
  </r>
  <r>
    <s v="SWG1586"/>
    <d v="2024-05-01T00:00:00"/>
    <x v="5"/>
    <s v="Wed"/>
    <s v="Sun Moon &amp; Potatoes"/>
    <x v="4"/>
    <s v="Continental, Chinese, Salads, Asian"/>
    <x v="5"/>
    <s v="Veg"/>
    <n v="2"/>
    <n v="388"/>
    <n v="776"/>
    <n v="4.2"/>
    <n v="58"/>
    <n v="449"/>
    <n v="0"/>
    <x v="1"/>
    <n v="27"/>
    <s v="Female"/>
  </r>
  <r>
    <s v="SWG1587"/>
    <d v="2024-01-01T00:00:00"/>
    <x v="2"/>
    <s v="Mon"/>
    <s v="Arabian Shawarma by Rudy's"/>
    <x v="3"/>
    <s v="Lebanese, Arabian, Salads"/>
    <x v="5"/>
    <s v="Veg"/>
    <n v="1"/>
    <n v="281"/>
    <n v="281"/>
    <n v="4.2"/>
    <n v="41"/>
    <n v="999"/>
    <n v="0"/>
    <x v="3"/>
    <n v="28"/>
    <s v="Male"/>
  </r>
  <r>
    <s v="SWG1588"/>
    <d v="2024-08-26T00:00:00"/>
    <x v="6"/>
    <s v="Mon"/>
    <s v="Fakth Chicken"/>
    <x v="4"/>
    <s v="Indian, Snacks"/>
    <x v="5"/>
    <s v="Veg"/>
    <n v="3"/>
    <n v="379"/>
    <n v="1137"/>
    <n v="4.4000000000000004"/>
    <n v="55"/>
    <n v="800"/>
    <n v="10"/>
    <x v="0"/>
    <n v="28"/>
    <s v="Female"/>
  </r>
  <r>
    <s v="SWG1589"/>
    <d v="2024-02-03T00:00:00"/>
    <x v="7"/>
    <s v="Sat"/>
    <s v="Jalaram Kathiyawadi Thali"/>
    <x v="7"/>
    <s v="Gujarati"/>
    <x v="5"/>
    <s v="Veg"/>
    <n v="4"/>
    <n v="531"/>
    <n v="2124"/>
    <n v="4.3"/>
    <n v="45"/>
    <m/>
    <n v="0"/>
    <x v="0"/>
    <n v="34"/>
    <s v="Female"/>
  </r>
  <r>
    <s v="SWG1590"/>
    <d v="2024-04-05T00:00:00"/>
    <x v="0"/>
    <s v="Fri"/>
    <s v="Samant Bandhu Nx"/>
    <x v="38"/>
    <s v="Desserts, Snacks, Sweets, Beverages"/>
    <x v="4"/>
    <s v="Veg"/>
    <n v="1"/>
    <n v="221"/>
    <n v="221"/>
    <n v="4.4000000000000004"/>
    <n v="43"/>
    <m/>
    <n v="0"/>
    <x v="1"/>
    <n v="49"/>
    <s v="Male"/>
  </r>
  <r>
    <s v="SWG1591"/>
    <d v="2024-05-05T00:00:00"/>
    <x v="5"/>
    <s v="Sun"/>
    <s v="Silver Oaks"/>
    <x v="4"/>
    <s v="North Indian, Mughlai, Chinese, Continental"/>
    <x v="5"/>
    <s v="Veg"/>
    <n v="1"/>
    <n v="342"/>
    <n v="342"/>
    <n v="4.4000000000000004"/>
    <n v="54"/>
    <m/>
    <n v="0"/>
    <x v="0"/>
    <n v="21"/>
    <s v="Male"/>
  </r>
  <r>
    <s v="SWG1592"/>
    <d v="2024-04-27T00:00:00"/>
    <x v="0"/>
    <s v="Sat"/>
    <s v="Jai Bholenath Kathiyawadi"/>
    <x v="6"/>
    <s v="Thalis, Gujarati, Jain"/>
    <x v="5"/>
    <s v="Veg"/>
    <n v="4"/>
    <n v="178"/>
    <n v="712"/>
    <n v="4.0999999999999996"/>
    <n v="49"/>
    <m/>
    <n v="0"/>
    <x v="1"/>
    <n v="48"/>
    <s v="Male"/>
  </r>
  <r>
    <s v="SWG1593"/>
    <d v="2024-02-17T00:00:00"/>
    <x v="7"/>
    <s v="Sat"/>
    <s v="Cafe meter on"/>
    <x v="3"/>
    <s v="Italian, Indian, Chinese, Continental"/>
    <x v="5"/>
    <s v="Veg"/>
    <n v="4"/>
    <n v="366"/>
    <n v="1464"/>
    <n v="4.4000000000000004"/>
    <n v="51"/>
    <n v="999"/>
    <n v="0"/>
    <x v="0"/>
    <n v="21"/>
    <s v="Female"/>
  </r>
  <r>
    <s v="SWG1594"/>
    <d v="2024-03-29T00:00:00"/>
    <x v="3"/>
    <s v="Fri"/>
    <s v="Choclato"/>
    <x v="41"/>
    <s v="Desserts, Bakery"/>
    <x v="4"/>
    <s v="Veg"/>
    <n v="2"/>
    <n v="247"/>
    <n v="494"/>
    <n v="4"/>
    <n v="41"/>
    <m/>
    <n v="0"/>
    <x v="0"/>
    <n v="34"/>
    <s v="Female"/>
  </r>
  <r>
    <s v="SWG1595"/>
    <d v="2024-08-19T00:00:00"/>
    <x v="6"/>
    <s v="Mon"/>
    <s v="Cafe Lajawab"/>
    <x v="11"/>
    <s v="Arabian, Snacks"/>
    <x v="5"/>
    <s v="Veg"/>
    <n v="3"/>
    <n v="402"/>
    <n v="1206"/>
    <n v="4"/>
    <n v="53"/>
    <n v="200"/>
    <n v="40"/>
    <x v="0"/>
    <n v="26"/>
    <s v="Male"/>
  </r>
  <r>
    <s v="SWG1596"/>
    <d v="2024-08-24T00:00:00"/>
    <x v="6"/>
    <s v="Sat"/>
    <s v="Mary Fast Food"/>
    <x v="11"/>
    <s v="Chinese, Fast Food"/>
    <x v="5"/>
    <s v="Veg"/>
    <n v="4"/>
    <n v="444"/>
    <n v="1776"/>
    <n v="4.4000000000000004"/>
    <n v="47"/>
    <m/>
    <n v="0"/>
    <x v="1"/>
    <n v="36"/>
    <s v="Male"/>
  </r>
  <r>
    <s v="SWG1597"/>
    <d v="2024-04-26T00:00:00"/>
    <x v="0"/>
    <s v="Fri"/>
    <s v="Satyanarayan Lunch Home"/>
    <x v="19"/>
    <s v="Chinese, Indian"/>
    <x v="5"/>
    <s v="Veg"/>
    <n v="4"/>
    <n v="144"/>
    <n v="576"/>
    <n v="4.3"/>
    <n v="46"/>
    <m/>
    <n v="0"/>
    <x v="3"/>
    <n v="22"/>
    <s v="Female"/>
  </r>
  <r>
    <s v="SWG1598"/>
    <d v="2024-05-08T00:00:00"/>
    <x v="5"/>
    <s v="Wed"/>
    <s v="Uttar Da Puttar"/>
    <x v="36"/>
    <s v="North Indian, Indian, Punjabi, Biryani"/>
    <x v="2"/>
    <s v="Non-Veg"/>
    <n v="3"/>
    <n v="250"/>
    <n v="750"/>
    <n v="4.0999999999999996"/>
    <n v="53"/>
    <n v="800"/>
    <n v="15"/>
    <x v="0"/>
    <n v="49"/>
    <s v="Female"/>
  </r>
  <r>
    <s v="SWG1599"/>
    <d v="2024-01-16T00:00:00"/>
    <x v="2"/>
    <s v="Tue"/>
    <s v="Alfredo's"/>
    <x v="11"/>
    <s v="Italian, European"/>
    <x v="5"/>
    <s v="Veg"/>
    <n v="4"/>
    <n v="472"/>
    <n v="1888"/>
    <n v="4.0999999999999996"/>
    <n v="55"/>
    <n v="1000"/>
    <n v="10"/>
    <x v="1"/>
    <n v="39"/>
    <s v="Female"/>
  </r>
  <r>
    <s v="SWG1600"/>
    <d v="2024-07-07T00:00:00"/>
    <x v="4"/>
    <s v="Sun"/>
    <s v="Al-Falah Shawarma"/>
    <x v="3"/>
    <s v="Lebanese"/>
    <x v="5"/>
    <s v="Veg"/>
    <n v="4"/>
    <n v="315"/>
    <n v="1260"/>
    <n v="4.4000000000000004"/>
    <n v="51"/>
    <m/>
    <n v="0"/>
    <x v="1"/>
    <n v="41"/>
    <s v="Male"/>
  </r>
  <r>
    <s v="SWG1601"/>
    <d v="2024-08-18T00:00:00"/>
    <x v="6"/>
    <s v="Sun"/>
    <s v="Mothers Touch Rajasthani"/>
    <x v="4"/>
    <s v="Indian, Snacks"/>
    <x v="5"/>
    <s v="Veg"/>
    <n v="2"/>
    <n v="400"/>
    <n v="800"/>
    <n v="4.0999999999999996"/>
    <n v="81"/>
    <n v="999"/>
    <n v="0"/>
    <x v="0"/>
    <n v="23"/>
    <s v="Female"/>
  </r>
  <r>
    <s v="SWG1602"/>
    <d v="2024-07-10T00:00:00"/>
    <x v="4"/>
    <s v="Wed"/>
    <s v="Cravings all day"/>
    <x v="58"/>
    <s v="Bakery, Desserts"/>
    <x v="4"/>
    <s v="Veg"/>
    <n v="1"/>
    <n v="523"/>
    <n v="523"/>
    <n v="4.7"/>
    <n v="44"/>
    <n v="349"/>
    <n v="0"/>
    <x v="0"/>
    <n v="20"/>
    <s v="Male"/>
  </r>
  <r>
    <s v="SWG1603"/>
    <d v="2024-07-09T00:00:00"/>
    <x v="4"/>
    <s v="Tue"/>
    <s v="Big Fat Monk"/>
    <x v="4"/>
    <s v="Chinese, Asian, Fast Food, Desserts, Beverages"/>
    <x v="4"/>
    <s v="Veg"/>
    <n v="1"/>
    <n v="537"/>
    <n v="537"/>
    <n v="4.0999999999999996"/>
    <n v="53"/>
    <n v="449"/>
    <n v="0"/>
    <x v="3"/>
    <n v="39"/>
    <s v="Female"/>
  </r>
  <r>
    <s v="SWG1604"/>
    <d v="2024-03-09T00:00:00"/>
    <x v="3"/>
    <s v="Sat"/>
    <s v="44 The Food Hub"/>
    <x v="11"/>
    <s v="Chinese, South Indian"/>
    <x v="5"/>
    <s v="Veg"/>
    <n v="1"/>
    <n v="273"/>
    <n v="273"/>
    <n v="4.4000000000000004"/>
    <n v="54"/>
    <n v="700"/>
    <n v="10"/>
    <x v="1"/>
    <n v="18"/>
    <s v="Female"/>
  </r>
  <r>
    <s v="SWG1605"/>
    <d v="2024-01-22T00:00:00"/>
    <x v="2"/>
    <s v="Mon"/>
    <s v="Radha Krishna Fast Food - Mahavir Nagar"/>
    <x v="5"/>
    <s v="Indian, Chinese"/>
    <x v="5"/>
    <s v="Veg"/>
    <n v="1"/>
    <n v="501"/>
    <n v="501"/>
    <n v="4.0999999999999996"/>
    <n v="40"/>
    <m/>
    <n v="0"/>
    <x v="1"/>
    <n v="37"/>
    <s v="Male"/>
  </r>
  <r>
    <s v="SWG1606"/>
    <d v="2024-04-02T00:00:00"/>
    <x v="0"/>
    <s v="Tue"/>
    <s v="Aniket Chinese Corner"/>
    <x v="11"/>
    <s v="Chinese, North Indian, Biryani"/>
    <x v="2"/>
    <s v="Non-Veg"/>
    <n v="4"/>
    <n v="252"/>
    <n v="1008"/>
    <n v="3.5"/>
    <n v="28"/>
    <m/>
    <n v="0"/>
    <x v="2"/>
    <n v="39"/>
    <s v="Male"/>
  </r>
  <r>
    <s v="SWG1607"/>
    <d v="2024-07-13T00:00:00"/>
    <x v="4"/>
    <s v="Sat"/>
    <s v="Jungle Juice"/>
    <x v="7"/>
    <s v="Beverages, Juices"/>
    <x v="3"/>
    <s v="Veg"/>
    <n v="3"/>
    <n v="346"/>
    <n v="1038"/>
    <n v="4.5"/>
    <n v="29"/>
    <m/>
    <n v="0"/>
    <x v="1"/>
    <n v="33"/>
    <s v="Male"/>
  </r>
  <r>
    <s v="SWG1608"/>
    <d v="2024-03-16T00:00:00"/>
    <x v="3"/>
    <s v="Sat"/>
    <s v="Indore.Online"/>
    <x v="2"/>
    <s v="Sweets, Street Food"/>
    <x v="5"/>
    <s v="Veg"/>
    <n v="3"/>
    <n v="308"/>
    <n v="924"/>
    <n v="4.3"/>
    <n v="14"/>
    <m/>
    <n v="0"/>
    <x v="3"/>
    <n v="40"/>
    <s v="Female"/>
  </r>
  <r>
    <s v="SWG1609"/>
    <d v="2024-06-02T00:00:00"/>
    <x v="1"/>
    <s v="Sun"/>
    <s v="Rolls Mania"/>
    <x v="22"/>
    <s v="Fast Food"/>
    <x v="5"/>
    <s v="Veg"/>
    <n v="2"/>
    <n v="595"/>
    <n v="1190"/>
    <n v="4.3"/>
    <n v="46"/>
    <m/>
    <n v="0"/>
    <x v="2"/>
    <n v="28"/>
    <s v="Female"/>
  </r>
  <r>
    <s v="SWG1610"/>
    <d v="2024-05-23T00:00:00"/>
    <x v="5"/>
    <s v="Thu"/>
    <s v="Vinayak Ankit Sandwich"/>
    <x v="5"/>
    <s v="Snacks, Continental"/>
    <x v="5"/>
    <s v="Veg"/>
    <n v="2"/>
    <n v="596"/>
    <n v="1192"/>
    <n v="4.4000000000000004"/>
    <n v="51"/>
    <n v="500"/>
    <n v="15"/>
    <x v="2"/>
    <n v="30"/>
    <s v="Female"/>
  </r>
  <r>
    <s v="SWG1611"/>
    <d v="2024-06-27T00:00:00"/>
    <x v="1"/>
    <s v="Thu"/>
    <s v="Hari Om Khaman House"/>
    <x v="7"/>
    <s v="Gujarati, Snacks, Sweets"/>
    <x v="5"/>
    <s v="Veg"/>
    <n v="4"/>
    <n v="384"/>
    <n v="1536"/>
    <n v="4.4000000000000004"/>
    <n v="32"/>
    <m/>
    <n v="0"/>
    <x v="2"/>
    <n v="44"/>
    <s v="Male"/>
  </r>
  <r>
    <s v="SWG1612"/>
    <d v="2024-08-16T00:00:00"/>
    <x v="6"/>
    <s v="Fri"/>
    <s v="Fusion Ice Cream Cakes"/>
    <x v="3"/>
    <s v="Ice Cream, Desserts, Bakery, Beverages"/>
    <x v="4"/>
    <s v="Veg"/>
    <n v="3"/>
    <n v="491"/>
    <n v="1473"/>
    <n v="4.5"/>
    <n v="30"/>
    <n v="999"/>
    <n v="0"/>
    <x v="0"/>
    <n v="27"/>
    <s v="Female"/>
  </r>
  <r>
    <s v="SWG1613"/>
    <d v="2024-03-26T00:00:00"/>
    <x v="3"/>
    <s v="Tue"/>
    <s v="Hotel Milan Pure Veg"/>
    <x v="22"/>
    <s v="Indian"/>
    <x v="5"/>
    <s v="Veg"/>
    <n v="3"/>
    <n v="553"/>
    <n v="1659"/>
    <n v="4.2"/>
    <n v="35"/>
    <n v="449"/>
    <n v="0"/>
    <x v="0"/>
    <n v="20"/>
    <s v="Male"/>
  </r>
  <r>
    <s v="SWG1614"/>
    <d v="2024-07-03T00:00:00"/>
    <x v="4"/>
    <s v="Wed"/>
    <s v="TIBO Dalwada"/>
    <x v="5"/>
    <s v="Street Food, Desserts"/>
    <x v="4"/>
    <s v="Veg"/>
    <n v="1"/>
    <n v="253"/>
    <n v="253"/>
    <n v="4.5999999999999996"/>
    <n v="34"/>
    <m/>
    <n v="0"/>
    <x v="1"/>
    <n v="26"/>
    <s v="Male"/>
  </r>
  <r>
    <s v="SWG1615"/>
    <d v="2024-01-29T00:00:00"/>
    <x v="2"/>
    <s v="Mon"/>
    <s v="Brain Freeze Ice cream &amp; Desserts"/>
    <x v="7"/>
    <s v="Ice Cream, Desserts"/>
    <x v="4"/>
    <s v="Veg"/>
    <n v="4"/>
    <n v="330"/>
    <n v="1320"/>
    <n v="3.8"/>
    <n v="33"/>
    <m/>
    <n v="0"/>
    <x v="2"/>
    <n v="45"/>
    <s v="Male"/>
  </r>
  <r>
    <s v="SWG1616"/>
    <d v="2024-07-24T00:00:00"/>
    <x v="4"/>
    <s v="Wed"/>
    <s v="Farmhouse-Palladium"/>
    <x v="3"/>
    <s v="Indian, Tandoor, Chinese, Continental, Biryani, Seafood, Pizzas, Pastas"/>
    <x v="1"/>
    <s v="Non-Veg"/>
    <n v="4"/>
    <n v="179"/>
    <n v="716"/>
    <n v="4.3"/>
    <n v="53"/>
    <m/>
    <n v="0"/>
    <x v="3"/>
    <n v="29"/>
    <s v="Female"/>
  </r>
  <r>
    <s v="SWG1617"/>
    <d v="2024-08-07T00:00:00"/>
    <x v="6"/>
    <s v="Wed"/>
    <s v="Amantran Restaurant"/>
    <x v="29"/>
    <s v="Meat"/>
    <x v="5"/>
    <s v="Veg"/>
    <n v="1"/>
    <n v="547"/>
    <n v="547"/>
    <n v="4.2"/>
    <n v="47"/>
    <m/>
    <n v="0"/>
    <x v="0"/>
    <n v="40"/>
    <s v="Female"/>
  </r>
  <r>
    <s v="SWG1618"/>
    <d v="2024-03-09T00:00:00"/>
    <x v="3"/>
    <s v="Sat"/>
    <s v="Monopoly-The Chinese Edition"/>
    <x v="3"/>
    <s v="Chinese, Oriental, Continental"/>
    <x v="5"/>
    <s v="Veg"/>
    <n v="4"/>
    <n v="496"/>
    <n v="1984"/>
    <n v="3.9"/>
    <n v="44"/>
    <m/>
    <n v="0"/>
    <x v="3"/>
    <n v="31"/>
    <s v="Male"/>
  </r>
  <r>
    <s v="SWG1619"/>
    <d v="2024-02-16T00:00:00"/>
    <x v="7"/>
    <s v="Fri"/>
    <s v="Dinshaw's Xpress Cafe And Restro"/>
    <x v="3"/>
    <s v="Indian, Continental, Mexican, Pizzas, Pastas, Burgers, Snacks, Fast Food, Beverages, Juices, Ice Cream, Desserts"/>
    <x v="1"/>
    <s v="Veg"/>
    <n v="4"/>
    <n v="514"/>
    <n v="2056"/>
    <n v="4.5"/>
    <n v="48"/>
    <m/>
    <n v="0"/>
    <x v="3"/>
    <n v="18"/>
    <s v="Female"/>
  </r>
  <r>
    <s v="SWG1620"/>
    <d v="2024-04-03T00:00:00"/>
    <x v="0"/>
    <s v="Wed"/>
    <s v="The Nature Bar"/>
    <x v="19"/>
    <s v="Salads, Keto, Burgers, Beverages, Mediterranean, American, Healthy Food, Grill, Greek"/>
    <x v="0"/>
    <s v="Veg"/>
    <n v="2"/>
    <n v="569"/>
    <n v="1138"/>
    <n v="4.4000000000000004"/>
    <n v="51"/>
    <n v="999"/>
    <n v="0"/>
    <x v="0"/>
    <n v="35"/>
    <s v="Male"/>
  </r>
  <r>
    <s v="SWG1621"/>
    <d v="2024-08-25T00:00:00"/>
    <x v="6"/>
    <s v="Sun"/>
    <s v="Aakash Sweets and Snacks"/>
    <x v="3"/>
    <s v="Sweets, Snacks"/>
    <x v="5"/>
    <s v="Veg"/>
    <n v="3"/>
    <n v="550"/>
    <n v="1650"/>
    <n v="4.4000000000000004"/>
    <n v="30"/>
    <m/>
    <n v="0"/>
    <x v="0"/>
    <n v="34"/>
    <s v="Male"/>
  </r>
  <r>
    <s v="SWG1622"/>
    <d v="2024-07-08T00:00:00"/>
    <x v="4"/>
    <s v="Mon"/>
    <s v="Nagpal's Choley Bhature"/>
    <x v="2"/>
    <s v="North Indian"/>
    <x v="5"/>
    <s v="Veg"/>
    <n v="4"/>
    <n v="483"/>
    <n v="1932"/>
    <n v="4.0999999999999996"/>
    <n v="36"/>
    <m/>
    <n v="0"/>
    <x v="0"/>
    <n v="44"/>
    <s v="Female"/>
  </r>
  <r>
    <s v="SWG1623"/>
    <d v="2024-07-15T00:00:00"/>
    <x v="4"/>
    <s v="Mon"/>
    <s v="Mumbadevi Jalebi Wala"/>
    <x v="7"/>
    <s v="Snacks, Sweets"/>
    <x v="5"/>
    <s v="Veg"/>
    <n v="2"/>
    <n v="483"/>
    <n v="966"/>
    <n v="4.5999999999999996"/>
    <n v="36"/>
    <n v="999"/>
    <n v="0"/>
    <x v="0"/>
    <n v="26"/>
    <s v="Male"/>
  </r>
  <r>
    <s v="SWG1624"/>
    <d v="2024-07-22T00:00:00"/>
    <x v="4"/>
    <s v="Mon"/>
    <s v="Chhotu's Kitchen"/>
    <x v="3"/>
    <s v="Chinese"/>
    <x v="5"/>
    <s v="Veg"/>
    <n v="3"/>
    <n v="576"/>
    <n v="1728"/>
    <n v="4.2"/>
    <n v="33"/>
    <m/>
    <n v="0"/>
    <x v="2"/>
    <n v="26"/>
    <s v="Male"/>
  </r>
  <r>
    <s v="SWG1625"/>
    <d v="2024-05-23T00:00:00"/>
    <x v="5"/>
    <s v="Thu"/>
    <s v="Desai Bhaishankar Gaurishanar (K.P.)"/>
    <x v="2"/>
    <s v="Sweets"/>
    <x v="5"/>
    <s v="Veg"/>
    <n v="1"/>
    <n v="332"/>
    <n v="332"/>
    <n v="4.8"/>
    <n v="34"/>
    <n v="700"/>
    <n v="10"/>
    <x v="2"/>
    <n v="40"/>
    <s v="Female"/>
  </r>
  <r>
    <s v="SWG1626"/>
    <d v="2024-08-05T00:00:00"/>
    <x v="6"/>
    <s v="Mon"/>
    <s v="Shree Makhan Bhog"/>
    <x v="52"/>
    <s v="Chaat, Snacks, Sweets"/>
    <x v="5"/>
    <s v="Veg"/>
    <n v="2"/>
    <n v="335"/>
    <n v="670"/>
    <n v="4.0999999999999996"/>
    <n v="38"/>
    <m/>
    <n v="0"/>
    <x v="2"/>
    <n v="27"/>
    <s v="Male"/>
  </r>
  <r>
    <s v="SWG1627"/>
    <d v="2024-08-05T00:00:00"/>
    <x v="6"/>
    <s v="Mon"/>
    <s v="Shawarma Heaven"/>
    <x v="4"/>
    <s v="Lebanese, Chinese, Indian, Continental, Tandoor"/>
    <x v="5"/>
    <s v="Veg"/>
    <n v="2"/>
    <n v="345"/>
    <n v="690"/>
    <n v="4.3"/>
    <n v="38"/>
    <n v="900"/>
    <n v="15"/>
    <x v="2"/>
    <n v="36"/>
    <s v="Male"/>
  </r>
  <r>
    <s v="SWG1628"/>
    <d v="2024-06-24T00:00:00"/>
    <x v="1"/>
    <s v="Mon"/>
    <s v="Sattva"/>
    <x v="3"/>
    <s v="North Indian, Chinese"/>
    <x v="5"/>
    <s v="Veg"/>
    <n v="3"/>
    <n v="589"/>
    <n v="1767"/>
    <n v="4.4000000000000004"/>
    <n v="35"/>
    <n v="999"/>
    <n v="0"/>
    <x v="1"/>
    <n v="46"/>
    <s v="Male"/>
  </r>
  <r>
    <s v="SWG1629"/>
    <d v="2024-03-25T00:00:00"/>
    <x v="3"/>
    <s v="Mon"/>
    <s v="Seeta Nx"/>
    <x v="3"/>
    <s v="Chinese"/>
    <x v="5"/>
    <s v="Veg"/>
    <n v="1"/>
    <n v="250"/>
    <n v="250"/>
    <n v="4.3"/>
    <n v="39"/>
    <m/>
    <n v="0"/>
    <x v="2"/>
    <n v="32"/>
    <s v="Male"/>
  </r>
  <r>
    <s v="SWG1630"/>
    <d v="2024-02-08T00:00:00"/>
    <x v="7"/>
    <s v="Thu"/>
    <s v="Night Evil Chinese Food"/>
    <x v="3"/>
    <s v="Chinese"/>
    <x v="5"/>
    <s v="Veg"/>
    <n v="2"/>
    <n v="195"/>
    <n v="390"/>
    <n v="4.0999999999999996"/>
    <n v="38"/>
    <m/>
    <n v="0"/>
    <x v="0"/>
    <n v="22"/>
    <s v="Male"/>
  </r>
  <r>
    <s v="SWG1631"/>
    <d v="2024-04-09T00:00:00"/>
    <x v="0"/>
    <s v="Tue"/>
    <s v="Bhoomi Kolhapuri"/>
    <x v="59"/>
    <s v="Street Food"/>
    <x v="5"/>
    <s v="Veg"/>
    <n v="4"/>
    <n v="595"/>
    <n v="2380"/>
    <n v="4"/>
    <n v="30"/>
    <m/>
    <n v="0"/>
    <x v="3"/>
    <n v="32"/>
    <s v="Male"/>
  </r>
  <r>
    <s v="SWG1632"/>
    <d v="2024-02-02T00:00:00"/>
    <x v="7"/>
    <s v="Fri"/>
    <s v="Hotel Payal"/>
    <x v="29"/>
    <s v="Indian, Chinese"/>
    <x v="5"/>
    <s v="Veg"/>
    <n v="4"/>
    <n v="405"/>
    <n v="1620"/>
    <n v="4.3"/>
    <n v="38"/>
    <m/>
    <n v="0"/>
    <x v="2"/>
    <n v="37"/>
    <s v="Male"/>
  </r>
  <r>
    <s v="SWG1633"/>
    <d v="2024-08-09T00:00:00"/>
    <x v="6"/>
    <s v="Fri"/>
    <s v="Fling Confectionery"/>
    <x v="7"/>
    <s v="Bakery, Desserts"/>
    <x v="4"/>
    <s v="Veg"/>
    <n v="4"/>
    <n v="593"/>
    <n v="2372"/>
    <n v="4.4000000000000004"/>
    <n v="31"/>
    <m/>
    <n v="0"/>
    <x v="1"/>
    <n v="49"/>
    <s v="Female"/>
  </r>
  <r>
    <s v="SWG1634"/>
    <d v="2024-04-10T00:00:00"/>
    <x v="0"/>
    <s v="Wed"/>
    <s v="Pipasa"/>
    <x v="7"/>
    <s v="Beverages, Snacks"/>
    <x v="3"/>
    <s v="Veg"/>
    <n v="1"/>
    <n v="396"/>
    <n v="396"/>
    <n v="4.4000000000000004"/>
    <n v="30"/>
    <m/>
    <n v="0"/>
    <x v="0"/>
    <n v="40"/>
    <s v="Female"/>
  </r>
  <r>
    <s v="SWG1635"/>
    <d v="2024-01-23T00:00:00"/>
    <x v="2"/>
    <s v="Tue"/>
    <s v="Dessert Junction"/>
    <x v="3"/>
    <s v="Desserts, Fast Food"/>
    <x v="4"/>
    <s v="Veg"/>
    <n v="2"/>
    <n v="275"/>
    <n v="550"/>
    <n v="4.3"/>
    <n v="36"/>
    <m/>
    <n v="0"/>
    <x v="3"/>
    <n v="47"/>
    <s v="Male"/>
  </r>
  <r>
    <s v="SWG1636"/>
    <d v="2024-01-10T00:00:00"/>
    <x v="2"/>
    <s v="Wed"/>
    <s v="Bina's Fresh Batch Homemade Ice Cream"/>
    <x v="11"/>
    <s v="Desserts, Ice Cream"/>
    <x v="4"/>
    <s v="Veg"/>
    <n v="4"/>
    <n v="367"/>
    <n v="1468"/>
    <n v="4.2"/>
    <n v="49"/>
    <n v="1099"/>
    <n v="0"/>
    <x v="3"/>
    <n v="42"/>
    <s v="Male"/>
  </r>
  <r>
    <s v="SWG1637"/>
    <d v="2024-03-09T00:00:00"/>
    <x v="3"/>
    <s v="Sat"/>
    <s v="Samvene - The Bagel Cafe"/>
    <x v="4"/>
    <s v="American, Burgers, Italian, Continental, Pizzas, Pastas, Beverages, Snacks"/>
    <x v="1"/>
    <s v="Veg"/>
    <n v="1"/>
    <n v="337"/>
    <n v="337"/>
    <n v="4.5"/>
    <n v="55"/>
    <n v="900"/>
    <n v="15"/>
    <x v="2"/>
    <n v="45"/>
    <s v="Female"/>
  </r>
  <r>
    <s v="SWG1638"/>
    <d v="2024-04-09T00:00:00"/>
    <x v="0"/>
    <s v="Tue"/>
    <s v="Wokstreet"/>
    <x v="11"/>
    <s v="Chinese, Fast Food"/>
    <x v="5"/>
    <s v="Veg"/>
    <n v="4"/>
    <n v="309"/>
    <n v="1236"/>
    <n v="3.5"/>
    <n v="59"/>
    <n v="999"/>
    <n v="0"/>
    <x v="3"/>
    <n v="19"/>
    <s v="Female"/>
  </r>
  <r>
    <s v="SWG1639"/>
    <d v="2024-02-03T00:00:00"/>
    <x v="7"/>
    <s v="Sat"/>
    <s v="Moments"/>
    <x v="11"/>
    <s v="Bakery, Desserts"/>
    <x v="4"/>
    <s v="Veg"/>
    <n v="3"/>
    <n v="536"/>
    <n v="1608"/>
    <n v="4.5"/>
    <n v="51"/>
    <m/>
    <n v="0"/>
    <x v="2"/>
    <n v="30"/>
    <s v="Female"/>
  </r>
  <r>
    <s v="SWG1640"/>
    <d v="2024-06-28T00:00:00"/>
    <x v="1"/>
    <s v="Fri"/>
    <s v="Hotel Malvan Katta"/>
    <x v="60"/>
    <s v="Biryani"/>
    <x v="2"/>
    <s v="Non-Veg"/>
    <n v="2"/>
    <n v="588"/>
    <n v="1176"/>
    <n v="4.2"/>
    <n v="44"/>
    <m/>
    <n v="0"/>
    <x v="2"/>
    <n v="41"/>
    <s v="Female"/>
  </r>
  <r>
    <s v="SWG1641"/>
    <d v="2024-08-10T00:00:00"/>
    <x v="6"/>
    <s v="Sat"/>
    <s v="Sindhi Tadka"/>
    <x v="5"/>
    <s v="Sindhi, North Indian, Indian"/>
    <x v="5"/>
    <s v="Veg"/>
    <n v="2"/>
    <n v="282"/>
    <n v="564"/>
    <n v="3.6"/>
    <n v="42"/>
    <m/>
    <n v="0"/>
    <x v="0"/>
    <n v="33"/>
    <s v="Female"/>
  </r>
  <r>
    <s v="SWG1642"/>
    <d v="2024-05-17T00:00:00"/>
    <x v="5"/>
    <s v="Fri"/>
    <s v="Kokan Katta"/>
    <x v="32"/>
    <s v="Seafood, Chinese, Indian, North Indian, Beverages, Biryani"/>
    <x v="2"/>
    <s v="Non-Veg"/>
    <n v="1"/>
    <n v="299"/>
    <n v="299"/>
    <n v="4.2"/>
    <n v="57"/>
    <n v="449"/>
    <n v="0"/>
    <x v="0"/>
    <n v="32"/>
    <s v="Male"/>
  </r>
  <r>
    <s v="SWG1643"/>
    <d v="2024-05-26T00:00:00"/>
    <x v="5"/>
    <s v="Sun"/>
    <s v="The Fusion Kitchen"/>
    <x v="3"/>
    <s v="Italian, Asian"/>
    <x v="5"/>
    <s v="Veg"/>
    <n v="1"/>
    <n v="153"/>
    <n v="153"/>
    <n v="4.5"/>
    <n v="49"/>
    <m/>
    <n v="0"/>
    <x v="1"/>
    <n v="42"/>
    <s v="Female"/>
  </r>
  <r>
    <s v="SWG1644"/>
    <d v="2024-07-04T00:00:00"/>
    <x v="4"/>
    <s v="Thu"/>
    <s v="Oriental Stir Fry"/>
    <x v="7"/>
    <s v="Fast Food, Chinese, South Indian, Indian"/>
    <x v="5"/>
    <s v="Veg"/>
    <n v="2"/>
    <n v="160"/>
    <n v="320"/>
    <n v="3.8"/>
    <n v="45"/>
    <m/>
    <n v="0"/>
    <x v="0"/>
    <n v="27"/>
    <s v="Female"/>
  </r>
  <r>
    <s v="SWG1645"/>
    <d v="2024-04-05T00:00:00"/>
    <x v="0"/>
    <s v="Fri"/>
    <s v="Zesty Kitchen"/>
    <x v="36"/>
    <s v="Indian, Seafood, North Indian, Biryani, South Indian, Bengali, Malwani"/>
    <x v="2"/>
    <s v="Non-Veg"/>
    <n v="4"/>
    <n v="426"/>
    <n v="1704"/>
    <n v="4.0999999999999996"/>
    <n v="62"/>
    <n v="900"/>
    <n v="15"/>
    <x v="0"/>
    <n v="31"/>
    <s v="Female"/>
  </r>
  <r>
    <s v="SWG1646"/>
    <d v="2024-01-01T00:00:00"/>
    <x v="2"/>
    <s v="Mon"/>
    <s v="Konkan Spice"/>
    <x v="4"/>
    <s v="South Indian, Malwani"/>
    <x v="5"/>
    <s v="Veg"/>
    <n v="4"/>
    <n v="550"/>
    <n v="2200"/>
    <n v="4"/>
    <n v="52"/>
    <m/>
    <n v="0"/>
    <x v="2"/>
    <n v="27"/>
    <s v="Male"/>
  </r>
  <r>
    <s v="SWG1647"/>
    <d v="2024-03-09T00:00:00"/>
    <x v="3"/>
    <s v="Sat"/>
    <s v="Chholay"/>
    <x v="4"/>
    <s v="North Indian, Indian, Jain"/>
    <x v="5"/>
    <s v="Veg"/>
    <n v="3"/>
    <n v="457"/>
    <n v="1371"/>
    <n v="4.3"/>
    <n v="51"/>
    <n v="449"/>
    <n v="0"/>
    <x v="0"/>
    <n v="42"/>
    <s v="Male"/>
  </r>
  <r>
    <s v="SWG1648"/>
    <d v="2024-08-24T00:00:00"/>
    <x v="6"/>
    <s v="Sat"/>
    <s v="British Brewing Company"/>
    <x v="24"/>
    <s v="Italian, American, Indian, Asian"/>
    <x v="5"/>
    <s v="Veg"/>
    <n v="4"/>
    <n v="433"/>
    <n v="1732"/>
    <n v="4.3"/>
    <n v="53"/>
    <m/>
    <n v="0"/>
    <x v="2"/>
    <n v="31"/>
    <s v="Male"/>
  </r>
  <r>
    <s v="SWG1649"/>
    <d v="2024-01-04T00:00:00"/>
    <x v="2"/>
    <s v="Thu"/>
    <s v="Zoodles"/>
    <x v="4"/>
    <s v="Pan-Asian, Chinese, Seafood, Thai, Asian, Desserts"/>
    <x v="4"/>
    <s v="Veg"/>
    <n v="1"/>
    <n v="194"/>
    <n v="194"/>
    <n v="4.5999999999999996"/>
    <n v="59"/>
    <n v="249"/>
    <n v="0"/>
    <x v="2"/>
    <n v="43"/>
    <s v="Male"/>
  </r>
  <r>
    <s v="SWG1650"/>
    <d v="2024-01-16T00:00:00"/>
    <x v="2"/>
    <s v="Tue"/>
    <s v="Shawarma House Express"/>
    <x v="11"/>
    <s v="Indian, Beverages, Turkish"/>
    <x v="3"/>
    <s v="Veg"/>
    <n v="1"/>
    <n v="560"/>
    <n v="560"/>
    <n v="4.0999999999999996"/>
    <n v="47"/>
    <m/>
    <n v="0"/>
    <x v="0"/>
    <n v="47"/>
    <s v="Male"/>
  </r>
  <r>
    <s v="SWG1651"/>
    <d v="2024-01-24T00:00:00"/>
    <x v="2"/>
    <s v="Wed"/>
    <s v="Hotel Jyoti"/>
    <x v="2"/>
    <s v="Indian"/>
    <x v="5"/>
    <s v="Veg"/>
    <n v="4"/>
    <n v="398"/>
    <n v="1592"/>
    <n v="4.0999999999999996"/>
    <n v="43"/>
    <m/>
    <n v="0"/>
    <x v="1"/>
    <n v="40"/>
    <s v="Male"/>
  </r>
  <r>
    <s v="SWG1652"/>
    <d v="2024-03-20T00:00:00"/>
    <x v="3"/>
    <s v="Wed"/>
    <s v="Ahare Bangla"/>
    <x v="2"/>
    <s v="Bengali"/>
    <x v="5"/>
    <s v="Veg"/>
    <n v="1"/>
    <n v="295"/>
    <n v="295"/>
    <n v="4.8"/>
    <n v="69"/>
    <m/>
    <n v="0"/>
    <x v="1"/>
    <n v="48"/>
    <s v="Female"/>
  </r>
  <r>
    <s v="SWG1653"/>
    <d v="2024-01-02T00:00:00"/>
    <x v="2"/>
    <s v="Tue"/>
    <s v="Classic Veg Restaurant"/>
    <x v="2"/>
    <s v="Chinese"/>
    <x v="5"/>
    <s v="Veg"/>
    <n v="2"/>
    <n v="503"/>
    <n v="1006"/>
    <n v="4.3"/>
    <n v="43"/>
    <m/>
    <n v="0"/>
    <x v="3"/>
    <n v="26"/>
    <s v="Male"/>
  </r>
  <r>
    <s v="SWG1654"/>
    <d v="2024-08-07T00:00:00"/>
    <x v="6"/>
    <s v="Wed"/>
    <s v="The Boston Cafe &amp; Patisserie"/>
    <x v="4"/>
    <s v="Desserts, Bakery"/>
    <x v="4"/>
    <s v="Veg"/>
    <n v="2"/>
    <n v="269"/>
    <n v="538"/>
    <n v="4.5"/>
    <n v="51"/>
    <n v="50"/>
    <n v="20"/>
    <x v="3"/>
    <n v="42"/>
    <s v="Male"/>
  </r>
  <r>
    <s v="SWG1655"/>
    <d v="2024-05-07T00:00:00"/>
    <x v="5"/>
    <s v="Tue"/>
    <s v="Makhan Maar ke"/>
    <x v="3"/>
    <s v="North Indian"/>
    <x v="5"/>
    <s v="Veg"/>
    <n v="4"/>
    <n v="392"/>
    <n v="1568"/>
    <n v="4.0999999999999996"/>
    <n v="43"/>
    <m/>
    <n v="0"/>
    <x v="0"/>
    <n v="31"/>
    <s v="Female"/>
  </r>
  <r>
    <s v="SWG1656"/>
    <d v="2024-06-08T00:00:00"/>
    <x v="1"/>
    <s v="Sat"/>
    <s v="Amber Restaurant"/>
    <x v="61"/>
    <s v="Chinese, Indian, Tandoor"/>
    <x v="5"/>
    <s v="Veg"/>
    <n v="2"/>
    <n v="444"/>
    <n v="888"/>
    <n v="4.0999999999999996"/>
    <n v="44"/>
    <n v="499"/>
    <n v="0"/>
    <x v="1"/>
    <n v="20"/>
    <s v="Male"/>
  </r>
  <r>
    <s v="SWG1657"/>
    <d v="2024-08-06T00:00:00"/>
    <x v="6"/>
    <s v="Tue"/>
    <s v="The Bombay Chaat Co by Spukies"/>
    <x v="19"/>
    <s v="Chaat, South Indian, Juices, Beverages"/>
    <x v="3"/>
    <s v="Veg"/>
    <n v="2"/>
    <n v="227"/>
    <n v="454"/>
    <n v="4.3"/>
    <n v="47"/>
    <n v="800"/>
    <n v="10"/>
    <x v="2"/>
    <n v="37"/>
    <s v="Female"/>
  </r>
  <r>
    <s v="SWG1658"/>
    <d v="2024-03-24T00:00:00"/>
    <x v="3"/>
    <s v="Sun"/>
    <s v="Only Roti's"/>
    <x v="4"/>
    <s v="Desserts"/>
    <x v="4"/>
    <s v="Veg"/>
    <n v="3"/>
    <n v="258"/>
    <n v="774"/>
    <n v="4.5"/>
    <n v="68"/>
    <n v="150"/>
    <n v="30"/>
    <x v="3"/>
    <n v="33"/>
    <s v="Female"/>
  </r>
  <r>
    <s v="SWG1659"/>
    <d v="2024-05-31T00:00:00"/>
    <x v="5"/>
    <s v="Fri"/>
    <s v="Om Snacks"/>
    <x v="36"/>
    <s v="Pizzas, Pastas"/>
    <x v="1"/>
    <s v="Veg"/>
    <n v="3"/>
    <n v="469"/>
    <n v="1407"/>
    <n v="4.5"/>
    <n v="49"/>
    <m/>
    <n v="0"/>
    <x v="2"/>
    <n v="19"/>
    <s v="Male"/>
  </r>
  <r>
    <s v="SWG1660"/>
    <d v="2024-05-19T00:00:00"/>
    <x v="5"/>
    <s v="Sun"/>
    <s v="Golden Leaf Restaurant"/>
    <x v="5"/>
    <s v="Chinese, Street Food, South Indian"/>
    <x v="5"/>
    <s v="Veg"/>
    <n v="2"/>
    <n v="390"/>
    <n v="780"/>
    <n v="4.4000000000000004"/>
    <n v="50"/>
    <n v="749"/>
    <n v="0"/>
    <x v="3"/>
    <n v="27"/>
    <s v="Female"/>
  </r>
  <r>
    <s v="SWG1661"/>
    <d v="2024-06-26T00:00:00"/>
    <x v="1"/>
    <s v="Wed"/>
    <s v="The Local Eatery"/>
    <x v="4"/>
    <s v="Indian, Chinese"/>
    <x v="5"/>
    <s v="Veg"/>
    <n v="4"/>
    <n v="466"/>
    <n v="1864"/>
    <n v="4.3"/>
    <n v="50"/>
    <m/>
    <n v="0"/>
    <x v="0"/>
    <n v="20"/>
    <s v="Female"/>
  </r>
  <r>
    <s v="SWG1662"/>
    <d v="2024-06-11T00:00:00"/>
    <x v="1"/>
    <s v="Tue"/>
    <s v="Nityanand Lunch Home And Hotel"/>
    <x v="19"/>
    <s v="Biryani, Tandoor, Chinese"/>
    <x v="2"/>
    <s v="Non-Veg"/>
    <n v="3"/>
    <n v="538"/>
    <n v="1614"/>
    <n v="3.8"/>
    <n v="47"/>
    <n v="1000"/>
    <n v="10"/>
    <x v="1"/>
    <n v="28"/>
    <s v="Female"/>
  </r>
  <r>
    <s v="SWG1663"/>
    <d v="2024-05-03T00:00:00"/>
    <x v="5"/>
    <s v="Fri"/>
    <s v="Street Gourmet"/>
    <x v="3"/>
    <s v="South Indian, Indian, Chinese"/>
    <x v="5"/>
    <s v="Veg"/>
    <n v="1"/>
    <n v="408"/>
    <n v="408"/>
    <n v="4.0999999999999996"/>
    <n v="40"/>
    <m/>
    <n v="0"/>
    <x v="3"/>
    <n v="28"/>
    <s v="Female"/>
  </r>
  <r>
    <s v="SWG1664"/>
    <d v="2024-02-02T00:00:00"/>
    <x v="7"/>
    <s v="Fri"/>
    <s v="Spirit Kitchen and Bar"/>
    <x v="3"/>
    <s v="Indian, Chinese"/>
    <x v="5"/>
    <s v="Veg"/>
    <n v="1"/>
    <n v="331"/>
    <n v="331"/>
    <n v="4.4000000000000004"/>
    <n v="54"/>
    <m/>
    <n v="0"/>
    <x v="1"/>
    <n v="38"/>
    <s v="Male"/>
  </r>
  <r>
    <s v="SWG1665"/>
    <d v="2024-06-09T00:00:00"/>
    <x v="1"/>
    <s v="Sun"/>
    <s v="Hotel Shree Prabhu Niketan"/>
    <x v="22"/>
    <s v="Indian, Chinese"/>
    <x v="5"/>
    <s v="Veg"/>
    <n v="1"/>
    <n v="500"/>
    <n v="500"/>
    <n v="4.3"/>
    <n v="41"/>
    <m/>
    <n v="0"/>
    <x v="2"/>
    <n v="38"/>
    <s v="Female"/>
  </r>
  <r>
    <s v="SWG1666"/>
    <d v="2024-07-07T00:00:00"/>
    <x v="4"/>
    <s v="Sun"/>
    <s v="Image Restaurant"/>
    <x v="38"/>
    <s v="North Indian, Chinese, Kebabs, Biryani, Mangalorean, Desserts, Tandoor"/>
    <x v="2"/>
    <s v="Non-Veg"/>
    <n v="4"/>
    <n v="391"/>
    <n v="1564"/>
    <n v="4.5"/>
    <n v="55"/>
    <m/>
    <n v="0"/>
    <x v="0"/>
    <n v="39"/>
    <s v="Male"/>
  </r>
  <r>
    <s v="SWG1667"/>
    <d v="2024-06-27T00:00:00"/>
    <x v="1"/>
    <s v="Thu"/>
    <s v="J.B.Dynasty And Malwani Kalwan"/>
    <x v="4"/>
    <s v="Chinese, Malwani, Indian, Oriental"/>
    <x v="5"/>
    <s v="Veg"/>
    <n v="2"/>
    <n v="537"/>
    <n v="1074"/>
    <n v="4.4000000000000004"/>
    <n v="48"/>
    <n v="1500"/>
    <n v="10"/>
    <x v="1"/>
    <n v="30"/>
    <s v="Female"/>
  </r>
  <r>
    <s v="SWG1668"/>
    <d v="2024-06-19T00:00:00"/>
    <x v="1"/>
    <s v="Wed"/>
    <s v="The Mak Broasted Fastfood"/>
    <x v="2"/>
    <s v="Continental, Italian"/>
    <x v="5"/>
    <s v="Veg"/>
    <n v="1"/>
    <n v="185"/>
    <n v="185"/>
    <n v="3.6"/>
    <n v="63"/>
    <n v="449"/>
    <n v="0"/>
    <x v="0"/>
    <n v="24"/>
    <s v="Female"/>
  </r>
  <r>
    <s v="SWG1669"/>
    <d v="2024-04-10T00:00:00"/>
    <x v="0"/>
    <s v="Wed"/>
    <s v="The Veg Treat Celebrations"/>
    <x v="29"/>
    <s v="South Indian, Punjabi, Chinese, Italian, Mexican"/>
    <x v="5"/>
    <s v="Veg"/>
    <n v="4"/>
    <n v="543"/>
    <n v="2172"/>
    <n v="4.5"/>
    <n v="41"/>
    <m/>
    <n v="0"/>
    <x v="1"/>
    <n v="40"/>
    <s v="Female"/>
  </r>
  <r>
    <s v="SWG1670"/>
    <d v="2024-01-12T00:00:00"/>
    <x v="2"/>
    <s v="Fri"/>
    <s v="Uncle's Corner"/>
    <x v="7"/>
    <s v="Chinese, Tandoor, Seafood, Thai, Biryani, Indian"/>
    <x v="2"/>
    <s v="Non-Veg"/>
    <n v="3"/>
    <n v="367"/>
    <n v="1101"/>
    <n v="4.4000000000000004"/>
    <n v="61"/>
    <m/>
    <n v="0"/>
    <x v="2"/>
    <n v="34"/>
    <s v="Male"/>
  </r>
  <r>
    <s v="SWG1671"/>
    <d v="2024-03-07T00:00:00"/>
    <x v="3"/>
    <s v="Thu"/>
    <s v="Enrich Kulfi"/>
    <x v="4"/>
    <s v="Desserts, Ice Cream"/>
    <x v="4"/>
    <s v="Veg"/>
    <n v="2"/>
    <n v="275"/>
    <n v="550"/>
    <n v="4.5999999999999996"/>
    <n v="40"/>
    <n v="999"/>
    <n v="0"/>
    <x v="2"/>
    <n v="49"/>
    <s v="Male"/>
  </r>
  <r>
    <s v="SWG1672"/>
    <d v="2024-03-05T00:00:00"/>
    <x v="3"/>
    <s v="Tue"/>
    <s v="Fort Kochi"/>
    <x v="36"/>
    <s v="South Indian, Kerala"/>
    <x v="5"/>
    <s v="Veg"/>
    <n v="3"/>
    <n v="166"/>
    <n v="498"/>
    <n v="4.2"/>
    <n v="53"/>
    <m/>
    <n v="0"/>
    <x v="0"/>
    <n v="47"/>
    <s v="Male"/>
  </r>
  <r>
    <s v="SWG1673"/>
    <d v="2024-06-09T00:00:00"/>
    <x v="1"/>
    <s v="Sun"/>
    <s v="Samarth Sagar (Pure Veg)"/>
    <x v="9"/>
    <s v="Chinese, North Indian, South Indian, Chaat"/>
    <x v="5"/>
    <s v="Veg"/>
    <n v="4"/>
    <n v="542"/>
    <n v="2168"/>
    <n v="4.0999999999999996"/>
    <n v="50"/>
    <m/>
    <n v="0"/>
    <x v="2"/>
    <n v="49"/>
    <s v="Female"/>
  </r>
  <r>
    <s v="SWG1674"/>
    <d v="2024-06-16T00:00:00"/>
    <x v="1"/>
    <s v="Sun"/>
    <s v="Schumania"/>
    <x v="7"/>
    <s v="Indian, Chinese"/>
    <x v="5"/>
    <s v="Veg"/>
    <n v="1"/>
    <n v="573"/>
    <n v="573"/>
    <n v="4.3"/>
    <n v="52"/>
    <n v="999"/>
    <n v="0"/>
    <x v="3"/>
    <n v="19"/>
    <s v="Female"/>
  </r>
  <r>
    <s v="SWG1675"/>
    <d v="2024-03-14T00:00:00"/>
    <x v="3"/>
    <s v="Thu"/>
    <s v="Rollzilla"/>
    <x v="5"/>
    <s v="North Indian"/>
    <x v="5"/>
    <s v="Veg"/>
    <n v="1"/>
    <n v="320"/>
    <n v="320"/>
    <n v="4.2"/>
    <n v="43"/>
    <m/>
    <n v="0"/>
    <x v="1"/>
    <n v="29"/>
    <s v="Female"/>
  </r>
  <r>
    <s v="SWG1676"/>
    <d v="2024-02-12T00:00:00"/>
    <x v="7"/>
    <s v="Mon"/>
    <s v="Healing Rice Bowls"/>
    <x v="4"/>
    <s v="Indian, South Indian, Punjabi"/>
    <x v="5"/>
    <s v="Veg"/>
    <n v="4"/>
    <n v="267"/>
    <n v="1068"/>
    <n v="3.9"/>
    <n v="62"/>
    <m/>
    <n v="0"/>
    <x v="2"/>
    <n v="42"/>
    <s v="Female"/>
  </r>
  <r>
    <s v="SWG1677"/>
    <d v="2024-02-13T00:00:00"/>
    <x v="7"/>
    <s v="Tue"/>
    <s v="The Big Squeeze"/>
    <x v="4"/>
    <s v="Juices, Healthy Food, Beverages"/>
    <x v="3"/>
    <s v="Veg"/>
    <n v="1"/>
    <n v="243"/>
    <n v="243"/>
    <n v="4.0999999999999996"/>
    <n v="54"/>
    <n v="499"/>
    <n v="0"/>
    <x v="3"/>
    <n v="27"/>
    <s v="Male"/>
  </r>
  <r>
    <s v="SWG1678"/>
    <d v="2024-01-29T00:00:00"/>
    <x v="2"/>
    <s v="Mon"/>
    <s v="KBC - Kebaabs, Biryani, Curries"/>
    <x v="24"/>
    <s v="Kebabs, Biryani, North Indian, Indian, Snacks"/>
    <x v="2"/>
    <s v="Non-Veg"/>
    <n v="2"/>
    <n v="120"/>
    <n v="240"/>
    <n v="4.2"/>
    <n v="53"/>
    <n v="249"/>
    <n v="0"/>
    <x v="0"/>
    <n v="35"/>
    <s v="Female"/>
  </r>
  <r>
    <s v="SWG1679"/>
    <d v="2024-05-20T00:00:00"/>
    <x v="5"/>
    <s v="Mon"/>
    <s v="The Chai Fusion"/>
    <x v="7"/>
    <s v="Chinese, Continental"/>
    <x v="5"/>
    <s v="Veg"/>
    <n v="4"/>
    <n v="575"/>
    <n v="2300"/>
    <n v="4.3"/>
    <n v="48"/>
    <n v="100"/>
    <n v="10"/>
    <x v="3"/>
    <n v="39"/>
    <s v="Male"/>
  </r>
  <r>
    <s v="SWG1680"/>
    <d v="2024-01-12T00:00:00"/>
    <x v="2"/>
    <s v="Fri"/>
    <s v="Ether Atelier Chocolate"/>
    <x v="11"/>
    <s v="Desserts, Bakery"/>
    <x v="4"/>
    <s v="Veg"/>
    <n v="3"/>
    <n v="366"/>
    <n v="1098"/>
    <m/>
    <m/>
    <n v="100"/>
    <n v="50"/>
    <x v="0"/>
    <n v="44"/>
    <s v="Female"/>
  </r>
  <r>
    <s v="SWG1681"/>
    <d v="2024-04-04T00:00:00"/>
    <x v="0"/>
    <s v="Thu"/>
    <s v="Bombay Fast Food"/>
    <x v="7"/>
    <s v="Fast Food"/>
    <x v="5"/>
    <s v="Veg"/>
    <n v="4"/>
    <n v="462"/>
    <n v="1848"/>
    <m/>
    <m/>
    <m/>
    <n v="0"/>
    <x v="0"/>
    <n v="28"/>
    <s v="Male"/>
  </r>
  <r>
    <s v="SWG1682"/>
    <d v="2024-02-15T00:00:00"/>
    <x v="7"/>
    <s v="Thu"/>
    <s v="Cake Valley"/>
    <x v="11"/>
    <s v="Bakery, Desserts, Beverages"/>
    <x v="4"/>
    <s v="Veg"/>
    <n v="2"/>
    <n v="247"/>
    <n v="494"/>
    <n v="4"/>
    <n v="50"/>
    <n v="150"/>
    <n v="30"/>
    <x v="1"/>
    <n v="33"/>
    <s v="Male"/>
  </r>
  <r>
    <s v="SWG1683"/>
    <d v="2024-05-09T00:00:00"/>
    <x v="5"/>
    <s v="Thu"/>
    <s v="Cake &amp; Bake"/>
    <x v="3"/>
    <s v="Bakery"/>
    <x v="5"/>
    <s v="Veg"/>
    <n v="2"/>
    <n v="310"/>
    <n v="620"/>
    <n v="3.3"/>
    <n v="42"/>
    <m/>
    <n v="0"/>
    <x v="1"/>
    <n v="34"/>
    <s v="Female"/>
  </r>
  <r>
    <s v="SWG1684"/>
    <d v="2024-02-04T00:00:00"/>
    <x v="7"/>
    <s v="Sun"/>
    <s v="The Lunchbox"/>
    <x v="2"/>
    <s v="Indian, Thalis"/>
    <x v="5"/>
    <s v="Veg"/>
    <n v="4"/>
    <n v="186"/>
    <n v="744"/>
    <m/>
    <m/>
    <m/>
    <n v="0"/>
    <x v="3"/>
    <n v="36"/>
    <s v="Female"/>
  </r>
  <r>
    <s v="SWG1685"/>
    <d v="2024-08-02T00:00:00"/>
    <x v="6"/>
    <s v="Fri"/>
    <s v="Hotel Samadhan"/>
    <x v="19"/>
    <s v="Malwani, Maharashtrian, Indian"/>
    <x v="5"/>
    <s v="Veg"/>
    <n v="4"/>
    <n v="123"/>
    <n v="492"/>
    <n v="4.3"/>
    <n v="59"/>
    <m/>
    <n v="0"/>
    <x v="1"/>
    <n v="35"/>
    <s v="Male"/>
  </r>
  <r>
    <s v="SWG1686"/>
    <d v="2024-03-21T00:00:00"/>
    <x v="3"/>
    <s v="Thu"/>
    <s v="The Waffle Man From the House Of Cookieman"/>
    <x v="11"/>
    <s v="Waffle, Desserts, Ice Cream"/>
    <x v="4"/>
    <s v="Veg"/>
    <n v="1"/>
    <n v="561"/>
    <n v="561"/>
    <n v="4.0999999999999996"/>
    <n v="58"/>
    <n v="80"/>
    <n v="40"/>
    <x v="1"/>
    <n v="20"/>
    <s v="Female"/>
  </r>
  <r>
    <s v="SWG1687"/>
    <d v="2024-03-30T00:00:00"/>
    <x v="3"/>
    <s v="Sat"/>
    <s v="Sigree Global Grill"/>
    <x v="4"/>
    <s v="North Indian, Mughlai, Kebabs, Mediterranean, Greek, Turkish, Lebanese"/>
    <x v="5"/>
    <s v="Non-Veg"/>
    <n v="2"/>
    <n v="528"/>
    <n v="1056"/>
    <n v="4.3"/>
    <n v="64"/>
    <n v="1099"/>
    <n v="0"/>
    <x v="1"/>
    <n v="38"/>
    <s v="Female"/>
  </r>
  <r>
    <s v="SWG1688"/>
    <d v="2024-01-08T00:00:00"/>
    <x v="2"/>
    <s v="Mon"/>
    <s v="Only Parathas"/>
    <x v="4"/>
    <s v="North Indian, Thalis, Chaat, Chinese, Snacks, Beverages"/>
    <x v="3"/>
    <s v="Veg"/>
    <n v="4"/>
    <n v="422"/>
    <n v="1688"/>
    <n v="3.8"/>
    <n v="60"/>
    <m/>
    <n v="0"/>
    <x v="3"/>
    <n v="44"/>
    <s v="Male"/>
  </r>
  <r>
    <s v="SWG1689"/>
    <d v="2024-04-02T00:00:00"/>
    <x v="0"/>
    <s v="Tue"/>
    <s v="The King's Field"/>
    <x v="2"/>
    <s v="Indian, Chinese, Tandoor, Snacks"/>
    <x v="5"/>
    <s v="Veg"/>
    <n v="4"/>
    <n v="413"/>
    <n v="1652"/>
    <n v="4.4000000000000004"/>
    <n v="31"/>
    <m/>
    <n v="0"/>
    <x v="2"/>
    <n v="43"/>
    <s v="Male"/>
  </r>
  <r>
    <s v="SWG1690"/>
    <d v="2024-06-02T00:00:00"/>
    <x v="1"/>
    <s v="Sun"/>
    <s v="Nagrik Sweets And Farsan"/>
    <x v="29"/>
    <s v="Indian"/>
    <x v="5"/>
    <s v="Veg"/>
    <n v="2"/>
    <n v="262"/>
    <n v="524"/>
    <n v="4.5"/>
    <n v="35"/>
    <m/>
    <n v="0"/>
    <x v="1"/>
    <n v="33"/>
    <s v="Male"/>
  </r>
  <r>
    <s v="SWG1691"/>
    <d v="2024-07-20T00:00:00"/>
    <x v="4"/>
    <s v="Sat"/>
    <s v="Rashmin Dairy Farm"/>
    <x v="2"/>
    <s v="Indian"/>
    <x v="5"/>
    <s v="Veg"/>
    <n v="4"/>
    <n v="310"/>
    <n v="1240"/>
    <n v="4.0999999999999996"/>
    <n v="32"/>
    <m/>
    <n v="0"/>
    <x v="1"/>
    <n v="23"/>
    <s v="Male"/>
  </r>
  <r>
    <s v="SWG1692"/>
    <d v="2024-03-30T00:00:00"/>
    <x v="3"/>
    <s v="Sat"/>
    <s v="Bbc Express-By Borivali Biryani Centre"/>
    <x v="7"/>
    <s v="Biryani, Chinese, North Indian, Punjabi, Kebabs, Afghani"/>
    <x v="2"/>
    <s v="Non-Veg"/>
    <n v="1"/>
    <n v="140"/>
    <n v="140"/>
    <n v="4.4000000000000004"/>
    <n v="35"/>
    <m/>
    <n v="0"/>
    <x v="3"/>
    <n v="42"/>
    <s v="Female"/>
  </r>
  <r>
    <s v="SWG1693"/>
    <d v="2024-06-10T00:00:00"/>
    <x v="1"/>
    <s v="Mon"/>
    <s v="Emrik The Cake Point"/>
    <x v="11"/>
    <s v="Bakery, Snacks, Desserts"/>
    <x v="4"/>
    <s v="Veg"/>
    <n v="2"/>
    <n v="346"/>
    <n v="692"/>
    <n v="4.5"/>
    <n v="34"/>
    <n v="449"/>
    <n v="0"/>
    <x v="2"/>
    <n v="29"/>
    <s v="Male"/>
  </r>
  <r>
    <s v="SWG1694"/>
    <d v="2024-04-24T00:00:00"/>
    <x v="0"/>
    <s v="Wed"/>
    <s v="Gayatri Sweets and Farsan"/>
    <x v="7"/>
    <s v="North Indian, Fast Food, South Indian, Sweets"/>
    <x v="5"/>
    <s v="Veg"/>
    <n v="1"/>
    <n v="432"/>
    <n v="432"/>
    <n v="4.4000000000000004"/>
    <n v="35"/>
    <m/>
    <n v="0"/>
    <x v="1"/>
    <n v="28"/>
    <s v="Male"/>
  </r>
  <r>
    <s v="SWG1695"/>
    <d v="2024-04-14T00:00:00"/>
    <x v="0"/>
    <s v="Sun"/>
    <s v="Riga Chinese Corner"/>
    <x v="29"/>
    <s v="Chinese, Indian"/>
    <x v="5"/>
    <s v="Veg"/>
    <n v="1"/>
    <n v="236"/>
    <n v="236"/>
    <n v="4.2"/>
    <n v="37"/>
    <m/>
    <n v="0"/>
    <x v="0"/>
    <n v="32"/>
    <s v="Male"/>
  </r>
  <r>
    <s v="SWG1696"/>
    <d v="2024-05-14T00:00:00"/>
    <x v="5"/>
    <s v="Tue"/>
    <s v="Magari"/>
    <x v="5"/>
    <s v="Continental, Italian, Beverages"/>
    <x v="3"/>
    <s v="Veg"/>
    <n v="1"/>
    <n v="556"/>
    <n v="556"/>
    <n v="4.2"/>
    <n v="34"/>
    <n v="999"/>
    <n v="0"/>
    <x v="3"/>
    <n v="32"/>
    <s v="Female"/>
  </r>
  <r>
    <s v="SWG1697"/>
    <d v="2024-07-14T00:00:00"/>
    <x v="4"/>
    <s v="Sun"/>
    <s v="shaan hotel"/>
    <x v="2"/>
    <s v="North Indian, Indian"/>
    <x v="5"/>
    <s v="Veg"/>
    <n v="1"/>
    <n v="421"/>
    <n v="421"/>
    <n v="3.8"/>
    <n v="37"/>
    <n v="1000"/>
    <n v="50"/>
    <x v="1"/>
    <n v="33"/>
    <s v="Male"/>
  </r>
  <r>
    <s v="SWG1698"/>
    <d v="2024-02-27T00:00:00"/>
    <x v="7"/>
    <s v="Tue"/>
    <s v="Brijwasi Sweets and Snacks"/>
    <x v="5"/>
    <s v="Sweets"/>
    <x v="5"/>
    <s v="Veg"/>
    <n v="2"/>
    <n v="261"/>
    <n v="522"/>
    <n v="3.9"/>
    <n v="36"/>
    <n v="749"/>
    <n v="0"/>
    <x v="1"/>
    <n v="27"/>
    <s v="Female"/>
  </r>
  <r>
    <s v="SWG1699"/>
    <d v="2024-04-23T00:00:00"/>
    <x v="0"/>
    <s v="Tue"/>
    <s v="Pav Bhaji Klub"/>
    <x v="7"/>
    <s v="Indian"/>
    <x v="5"/>
    <s v="Veg"/>
    <n v="1"/>
    <n v="579"/>
    <n v="579"/>
    <n v="4.3"/>
    <n v="36"/>
    <n v="749"/>
    <n v="0"/>
    <x v="0"/>
    <n v="29"/>
    <s v="Male"/>
  </r>
  <r>
    <s v="SWG1700"/>
    <d v="2024-08-24T00:00:00"/>
    <x v="6"/>
    <s v="Sat"/>
    <s v="Tasty Chinese Hotel"/>
    <x v="2"/>
    <s v="Chinese"/>
    <x v="5"/>
    <s v="Veg"/>
    <n v="1"/>
    <n v="520"/>
    <n v="520"/>
    <n v="4.5"/>
    <n v="36"/>
    <n v="150"/>
    <n v="30"/>
    <x v="0"/>
    <n v="45"/>
    <s v="Male"/>
  </r>
  <r>
    <s v="SWG1701"/>
    <d v="2024-03-15T00:00:00"/>
    <x v="3"/>
    <s v="Fri"/>
    <s v="Wow Bistro - Evershine Club"/>
    <x v="0"/>
    <s v="Indian"/>
    <x v="5"/>
    <s v="Veg"/>
    <n v="4"/>
    <n v="158"/>
    <n v="632"/>
    <n v="4.8"/>
    <n v="46"/>
    <m/>
    <n v="0"/>
    <x v="3"/>
    <n v="30"/>
    <s v="Female"/>
  </r>
  <r>
    <s v="SWG1702"/>
    <d v="2024-06-05T00:00:00"/>
    <x v="1"/>
    <s v="Wed"/>
    <s v="H &amp; Charlie"/>
    <x v="3"/>
    <s v="Burgers, Steakhouse, Desserts, Beverages, Cafe, Fast Food, Pastas"/>
    <x v="0"/>
    <s v="Veg"/>
    <n v="2"/>
    <n v="512"/>
    <n v="1024"/>
    <n v="4.3"/>
    <n v="58"/>
    <n v="449"/>
    <n v="0"/>
    <x v="3"/>
    <n v="21"/>
    <s v="Male"/>
  </r>
  <r>
    <s v="SWG1703"/>
    <d v="2024-04-29T00:00:00"/>
    <x v="0"/>
    <s v="Mon"/>
    <s v="Royal Manglore"/>
    <x v="29"/>
    <s v="Meat"/>
    <x v="5"/>
    <s v="Veg"/>
    <n v="2"/>
    <n v="474"/>
    <n v="948"/>
    <n v="4"/>
    <n v="51"/>
    <m/>
    <n v="0"/>
    <x v="0"/>
    <n v="24"/>
    <s v="Male"/>
  </r>
  <r>
    <s v="SWG1704"/>
    <d v="2024-06-12T00:00:00"/>
    <x v="1"/>
    <s v="Wed"/>
    <s v="Healthy Deck"/>
    <x v="5"/>
    <s v="Continental, Beverages, Keto, Ice Cream, Salads"/>
    <x v="3"/>
    <s v="Veg"/>
    <n v="3"/>
    <n v="371"/>
    <n v="1113"/>
    <n v="4.4000000000000004"/>
    <n v="46"/>
    <n v="100"/>
    <n v="15"/>
    <x v="3"/>
    <n v="39"/>
    <s v="Female"/>
  </r>
  <r>
    <s v="SWG1705"/>
    <d v="2024-08-04T00:00:00"/>
    <x v="6"/>
    <s v="Sun"/>
    <s v="Delhi Darbar Biryani Hub"/>
    <x v="2"/>
    <s v="Biryani, North Indian"/>
    <x v="2"/>
    <s v="Non-Veg"/>
    <n v="2"/>
    <n v="452"/>
    <n v="904"/>
    <n v="4.0999999999999996"/>
    <n v="44"/>
    <m/>
    <n v="0"/>
    <x v="0"/>
    <n v="19"/>
    <s v="Male"/>
  </r>
  <r>
    <s v="SWG1706"/>
    <d v="2024-01-21T00:00:00"/>
    <x v="2"/>
    <s v="Sun"/>
    <s v="Burgizza"/>
    <x v="4"/>
    <s v="Pizzas, Italian"/>
    <x v="1"/>
    <s v="Veg"/>
    <n v="2"/>
    <n v="326"/>
    <n v="652"/>
    <n v="4.4000000000000004"/>
    <n v="56"/>
    <n v="749"/>
    <n v="0"/>
    <x v="1"/>
    <n v="43"/>
    <s v="Male"/>
  </r>
  <r>
    <s v="SWG1707"/>
    <d v="2024-06-12T00:00:00"/>
    <x v="1"/>
    <s v="Wed"/>
    <s v="Celebrations By Kilo"/>
    <x v="19"/>
    <s v="North Indian, Chinese"/>
    <x v="5"/>
    <s v="Veg"/>
    <n v="3"/>
    <n v="329"/>
    <n v="987"/>
    <n v="3.9"/>
    <n v="52"/>
    <m/>
    <n v="0"/>
    <x v="0"/>
    <n v="44"/>
    <s v="Male"/>
  </r>
  <r>
    <s v="SWG1708"/>
    <d v="2024-05-17T00:00:00"/>
    <x v="5"/>
    <s v="Fri"/>
    <s v="Houseboat Cafe"/>
    <x v="11"/>
    <s v="Kerala, South Indian"/>
    <x v="5"/>
    <s v="Veg"/>
    <n v="2"/>
    <n v="234"/>
    <n v="468"/>
    <n v="3.9"/>
    <n v="56"/>
    <m/>
    <n v="0"/>
    <x v="0"/>
    <n v="44"/>
    <s v="Male"/>
  </r>
  <r>
    <s v="SWG1709"/>
    <d v="2024-04-10T00:00:00"/>
    <x v="0"/>
    <s v="Wed"/>
    <s v="Veg Treat Regalia"/>
    <x v="3"/>
    <s v="North Indian, Indian, Chinese, Continental"/>
    <x v="5"/>
    <s v="Veg"/>
    <n v="2"/>
    <n v="344"/>
    <n v="688"/>
    <n v="4.5"/>
    <n v="42"/>
    <m/>
    <n v="0"/>
    <x v="2"/>
    <n v="44"/>
    <s v="Female"/>
  </r>
  <r>
    <s v="SWG1710"/>
    <d v="2024-07-19T00:00:00"/>
    <x v="4"/>
    <s v="Fri"/>
    <s v="Oh! It's Fishy"/>
    <x v="6"/>
    <s v="Indian, Tandoor, Seafood, Chinese"/>
    <x v="5"/>
    <s v="Veg"/>
    <n v="2"/>
    <n v="253"/>
    <n v="506"/>
    <n v="3.9"/>
    <n v="49"/>
    <m/>
    <n v="0"/>
    <x v="0"/>
    <n v="32"/>
    <s v="Male"/>
  </r>
  <r>
    <s v="SWG1711"/>
    <d v="2024-05-31T00:00:00"/>
    <x v="5"/>
    <s v="Fri"/>
    <s v="Brijwasi Snack Foods"/>
    <x v="11"/>
    <s v="Snacks, Street Food, Chaat, Fast Food"/>
    <x v="5"/>
    <s v="Veg"/>
    <n v="2"/>
    <n v="370"/>
    <n v="740"/>
    <n v="4.4000000000000004"/>
    <n v="54"/>
    <n v="120"/>
    <n v="20"/>
    <x v="0"/>
    <n v="48"/>
    <s v="Female"/>
  </r>
  <r>
    <s v="SWG1712"/>
    <d v="2024-07-10T00:00:00"/>
    <x v="4"/>
    <s v="Wed"/>
    <s v="Daffodils 23"/>
    <x v="5"/>
    <s v="Indian, Chinese, Beverages, Mexican, Continental"/>
    <x v="3"/>
    <s v="Veg"/>
    <n v="3"/>
    <n v="338"/>
    <n v="1014"/>
    <n v="4.4000000000000004"/>
    <n v="44"/>
    <n v="599"/>
    <n v="0"/>
    <x v="2"/>
    <n v="25"/>
    <s v="Male"/>
  </r>
  <r>
    <s v="SWG1713"/>
    <d v="2024-08-14T00:00:00"/>
    <x v="6"/>
    <s v="Wed"/>
    <s v="Sumeruu"/>
    <x v="41"/>
    <s v="Chinese, Indian"/>
    <x v="5"/>
    <s v="Veg"/>
    <n v="2"/>
    <n v="526"/>
    <n v="1052"/>
    <n v="4.5999999999999996"/>
    <n v="52"/>
    <m/>
    <n v="0"/>
    <x v="3"/>
    <n v="24"/>
    <s v="Female"/>
  </r>
  <r>
    <s v="SWG1714"/>
    <d v="2024-06-25T00:00:00"/>
    <x v="1"/>
    <s v="Tue"/>
    <s v="Malvaniz"/>
    <x v="2"/>
    <s v="Malwani, Seafood"/>
    <x v="5"/>
    <s v="Veg"/>
    <n v="2"/>
    <n v="562"/>
    <n v="1124"/>
    <n v="4.0999999999999996"/>
    <n v="57"/>
    <m/>
    <n v="0"/>
    <x v="2"/>
    <n v="48"/>
    <s v="Male"/>
  </r>
  <r>
    <s v="SWG1715"/>
    <d v="2024-04-08T00:00:00"/>
    <x v="0"/>
    <s v="Mon"/>
    <s v="Jayesh Food Centre"/>
    <x v="22"/>
    <s v="Chinese"/>
    <x v="5"/>
    <s v="Veg"/>
    <n v="3"/>
    <n v="210"/>
    <n v="630"/>
    <n v="4.0999999999999996"/>
    <n v="44"/>
    <m/>
    <n v="0"/>
    <x v="1"/>
    <n v="32"/>
    <s v="Female"/>
  </r>
  <r>
    <s v="SWG1716"/>
    <d v="2024-08-27T00:00:00"/>
    <x v="6"/>
    <s v="Tue"/>
    <s v="The Hangout Pizza Hub"/>
    <x v="4"/>
    <s v="Pizzas"/>
    <x v="1"/>
    <s v="Veg"/>
    <n v="4"/>
    <n v="473"/>
    <n v="1892"/>
    <n v="4.3"/>
    <n v="57"/>
    <n v="749"/>
    <n v="0"/>
    <x v="2"/>
    <n v="40"/>
    <s v="Male"/>
  </r>
  <r>
    <s v="SWG1717"/>
    <d v="2024-02-05T00:00:00"/>
    <x v="7"/>
    <s v="Mon"/>
    <s v="Royale Masterchef Finedine"/>
    <x v="41"/>
    <s v="Indian, Chinese, Continental, Mexican, Lebanese"/>
    <x v="5"/>
    <s v="Veg"/>
    <n v="1"/>
    <n v="495"/>
    <n v="495"/>
    <n v="4.5"/>
    <n v="59"/>
    <n v="1500"/>
    <n v="10"/>
    <x v="1"/>
    <n v="31"/>
    <s v="Female"/>
  </r>
  <r>
    <s v="SWG1718"/>
    <d v="2024-07-28T00:00:00"/>
    <x v="4"/>
    <s v="Sun"/>
    <s v="Subramanian Snacks"/>
    <x v="36"/>
    <s v="South Indian, Chinese, Fast Food, Arabian, Tandoor"/>
    <x v="5"/>
    <s v="Veg"/>
    <n v="4"/>
    <n v="165"/>
    <n v="660"/>
    <n v="3.8"/>
    <n v="44"/>
    <n v="999"/>
    <n v="0"/>
    <x v="3"/>
    <n v="48"/>
    <s v="Female"/>
  </r>
  <r>
    <s v="SWG1719"/>
    <d v="2024-08-18T00:00:00"/>
    <x v="6"/>
    <s v="Sun"/>
    <s v="Goaikar's goan Cuisine"/>
    <x v="7"/>
    <s v="North Indian, Seafood, Snacks"/>
    <x v="5"/>
    <s v="Veg"/>
    <n v="3"/>
    <n v="157"/>
    <n v="471"/>
    <n v="4.0999999999999996"/>
    <n v="41"/>
    <m/>
    <n v="0"/>
    <x v="2"/>
    <n v="25"/>
    <s v="Male"/>
  </r>
  <r>
    <s v="SWG1720"/>
    <d v="2024-04-05T00:00:00"/>
    <x v="0"/>
    <s v="Fri"/>
    <s v="The Gratitude Kitchen"/>
    <x v="7"/>
    <s v="Indian, Burgers, Snacks, Fast Food, Salads, Desserts"/>
    <x v="0"/>
    <s v="Veg"/>
    <n v="1"/>
    <n v="261"/>
    <n v="261"/>
    <n v="4.3"/>
    <n v="51"/>
    <n v="999"/>
    <n v="0"/>
    <x v="2"/>
    <n v="45"/>
    <s v="Female"/>
  </r>
  <r>
    <s v="SWG1721"/>
    <d v="2024-05-31T00:00:00"/>
    <x v="5"/>
    <s v="Fri"/>
    <s v="KHA - Burgers, Fries, Fried Chicken"/>
    <x v="11"/>
    <s v="Burgers, American, Fast Food"/>
    <x v="0"/>
    <s v="Veg"/>
    <n v="3"/>
    <n v="219"/>
    <n v="657"/>
    <n v="4.3"/>
    <n v="47"/>
    <m/>
    <n v="0"/>
    <x v="3"/>
    <n v="29"/>
    <s v="Male"/>
  </r>
  <r>
    <s v="SWG1722"/>
    <d v="2024-05-30T00:00:00"/>
    <x v="5"/>
    <s v="Thu"/>
    <s v="Hotel Sampoorna Samadhan (By Hotel Apala Samadhan)"/>
    <x v="7"/>
    <s v="Malwani, Indian, North Indian, Chinese"/>
    <x v="5"/>
    <s v="Veg"/>
    <n v="3"/>
    <n v="447"/>
    <n v="1341"/>
    <n v="4.2"/>
    <n v="53"/>
    <m/>
    <n v="0"/>
    <x v="1"/>
    <n v="30"/>
    <s v="Male"/>
  </r>
  <r>
    <s v="SWG1723"/>
    <d v="2024-07-08T00:00:00"/>
    <x v="4"/>
    <s v="Mon"/>
    <s v="Zyka E Lajawab"/>
    <x v="11"/>
    <s v="Chinese, Street Food, Indian, Kebabs, Tandoor"/>
    <x v="5"/>
    <s v="Non-Veg"/>
    <n v="2"/>
    <n v="309"/>
    <n v="618"/>
    <n v="3.9"/>
    <n v="65"/>
    <n v="125"/>
    <n v="25"/>
    <x v="2"/>
    <n v="47"/>
    <s v="Male"/>
  </r>
  <r>
    <s v="SWG1724"/>
    <d v="2024-08-11T00:00:00"/>
    <x v="6"/>
    <s v="Sun"/>
    <s v="Maldrin's Chinese Restaurant"/>
    <x v="4"/>
    <s v="Chinese"/>
    <x v="5"/>
    <s v="Veg"/>
    <n v="1"/>
    <n v="154"/>
    <n v="154"/>
    <n v="4.2"/>
    <n v="53"/>
    <n v="449"/>
    <n v="0"/>
    <x v="1"/>
    <n v="28"/>
    <s v="Male"/>
  </r>
  <r>
    <s v="SWG1725"/>
    <d v="2024-02-06T00:00:00"/>
    <x v="7"/>
    <s v="Tue"/>
    <s v="Mishmashbakery"/>
    <x v="19"/>
    <s v="Bakery"/>
    <x v="5"/>
    <s v="Veg"/>
    <n v="2"/>
    <n v="266"/>
    <n v="532"/>
    <n v="4.7"/>
    <n v="53"/>
    <n v="999"/>
    <n v="0"/>
    <x v="2"/>
    <n v="34"/>
    <s v="Male"/>
  </r>
  <r>
    <s v="SWG1726"/>
    <d v="2024-01-12T00:00:00"/>
    <x v="2"/>
    <s v="Fri"/>
    <s v="Goan Katta"/>
    <x v="29"/>
    <s v="Goan, Seafood, Indian, Beverages"/>
    <x v="3"/>
    <s v="Veg"/>
    <n v="1"/>
    <n v="149"/>
    <n v="149"/>
    <n v="4.3"/>
    <n v="44"/>
    <m/>
    <n v="0"/>
    <x v="0"/>
    <n v="48"/>
    <s v="Female"/>
  </r>
  <r>
    <s v="SWG1727"/>
    <d v="2024-04-22T00:00:00"/>
    <x v="0"/>
    <s v="Mon"/>
    <s v="The Moveable Feast"/>
    <x v="3"/>
    <s v="North Indian, Chinese, Mughlai, Beverages, Biryani"/>
    <x v="2"/>
    <s v="Non-Veg"/>
    <n v="3"/>
    <n v="453"/>
    <n v="1359"/>
    <n v="4.3"/>
    <n v="51"/>
    <n v="999"/>
    <n v="0"/>
    <x v="2"/>
    <n v="46"/>
    <s v="Male"/>
  </r>
  <r>
    <s v="SWG1728"/>
    <d v="2024-07-01T00:00:00"/>
    <x v="4"/>
    <s v="Mon"/>
    <s v="Sisho - Oriental Pure Veg /Jain"/>
    <x v="19"/>
    <s v="Chinese"/>
    <x v="5"/>
    <s v="Veg"/>
    <n v="3"/>
    <n v="203"/>
    <n v="609"/>
    <n v="4"/>
    <n v="46"/>
    <m/>
    <n v="0"/>
    <x v="3"/>
    <n v="34"/>
    <s v="Male"/>
  </r>
  <r>
    <s v="SWG1729"/>
    <d v="2024-01-13T00:00:00"/>
    <x v="2"/>
    <s v="Sat"/>
    <s v="Little West Pizza"/>
    <x v="29"/>
    <s v="Pizzas, Italian, Beverages"/>
    <x v="1"/>
    <s v="Veg"/>
    <n v="4"/>
    <n v="488"/>
    <n v="1952"/>
    <n v="4.3"/>
    <n v="50"/>
    <n v="749"/>
    <n v="0"/>
    <x v="3"/>
    <n v="41"/>
    <s v="Male"/>
  </r>
  <r>
    <s v="SWG1730"/>
    <d v="2024-01-23T00:00:00"/>
    <x v="2"/>
    <s v="Tue"/>
    <s v="Flavours 21"/>
    <x v="22"/>
    <s v="Chinese, Lebanese, Biryani, Thai"/>
    <x v="2"/>
    <s v="Non-Veg"/>
    <n v="1"/>
    <n v="400"/>
    <n v="400"/>
    <n v="4"/>
    <n v="42"/>
    <n v="700"/>
    <n v="20"/>
    <x v="1"/>
    <n v="21"/>
    <s v="Male"/>
  </r>
  <r>
    <s v="SWG1731"/>
    <d v="2024-08-04T00:00:00"/>
    <x v="6"/>
    <s v="Sun"/>
    <s v="Top Star"/>
    <x v="5"/>
    <s v="Indian, Chinese, Tandoor, Biryani"/>
    <x v="2"/>
    <s v="Non-Veg"/>
    <n v="2"/>
    <n v="543"/>
    <n v="1086"/>
    <n v="3.7"/>
    <n v="49"/>
    <m/>
    <n v="0"/>
    <x v="2"/>
    <n v="38"/>
    <s v="Male"/>
  </r>
  <r>
    <s v="SWG1732"/>
    <d v="2024-04-08T00:00:00"/>
    <x v="0"/>
    <s v="Mon"/>
    <s v="Fussion"/>
    <x v="22"/>
    <s v="North Indian, Tandoor, Mughlai, Parsi, Indian, American, Desserts, Ice Cream"/>
    <x v="4"/>
    <s v="Veg"/>
    <n v="4"/>
    <n v="463"/>
    <n v="1852"/>
    <n v="3.7"/>
    <n v="43"/>
    <n v="449"/>
    <n v="0"/>
    <x v="1"/>
    <n v="25"/>
    <s v="Male"/>
  </r>
  <r>
    <s v="SWG1733"/>
    <d v="2024-04-14T00:00:00"/>
    <x v="0"/>
    <s v="Sun"/>
    <s v="Crab Kolambi Pomfret &amp; More"/>
    <x v="62"/>
    <s v="Maharashtrian, Seafood, Biryani, Desserts, Thalis"/>
    <x v="2"/>
    <s v="Non-Veg"/>
    <n v="4"/>
    <n v="389"/>
    <n v="1556"/>
    <n v="4.3"/>
    <n v="54"/>
    <m/>
    <n v="0"/>
    <x v="1"/>
    <n v="22"/>
    <s v="Female"/>
  </r>
  <r>
    <s v="SWG1734"/>
    <d v="2024-01-30T00:00:00"/>
    <x v="2"/>
    <s v="Tue"/>
    <s v="Amma's"/>
    <x v="63"/>
    <s v="North Indian, Chinese, Tandoor, Beverages"/>
    <x v="3"/>
    <s v="Veg"/>
    <n v="4"/>
    <n v="273"/>
    <n v="1092"/>
    <n v="4.4000000000000004"/>
    <n v="46"/>
    <m/>
    <n v="0"/>
    <x v="0"/>
    <n v="43"/>
    <s v="Female"/>
  </r>
  <r>
    <s v="SWG1735"/>
    <d v="2024-01-17T00:00:00"/>
    <x v="2"/>
    <s v="Wed"/>
    <s v="Classic Comfort"/>
    <x v="19"/>
    <s v="Beverages, Indian, Chinese, South Indian, Fast Food"/>
    <x v="3"/>
    <s v="Veg"/>
    <n v="2"/>
    <n v="221"/>
    <n v="442"/>
    <n v="4.2"/>
    <n v="49"/>
    <m/>
    <n v="0"/>
    <x v="0"/>
    <n v="33"/>
    <s v="Male"/>
  </r>
  <r>
    <s v="SWG1736"/>
    <d v="2024-04-22T00:00:00"/>
    <x v="0"/>
    <s v="Mon"/>
    <s v="Papa'S Multi Cuisine"/>
    <x v="11"/>
    <s v="Indian"/>
    <x v="5"/>
    <s v="Veg"/>
    <n v="4"/>
    <n v="334"/>
    <n v="1336"/>
    <n v="4.0999999999999996"/>
    <n v="57"/>
    <m/>
    <n v="0"/>
    <x v="3"/>
    <n v="21"/>
    <s v="Female"/>
  </r>
  <r>
    <s v="SWG1737"/>
    <d v="2024-03-02T00:00:00"/>
    <x v="3"/>
    <s v="Sat"/>
    <s v="Royal Challenge"/>
    <x v="36"/>
    <s v="Indian, Chinese"/>
    <x v="5"/>
    <s v="Veg"/>
    <n v="2"/>
    <n v="269"/>
    <n v="538"/>
    <n v="4.5999999999999996"/>
    <n v="52"/>
    <m/>
    <n v="0"/>
    <x v="1"/>
    <n v="45"/>
    <s v="Male"/>
  </r>
  <r>
    <s v="SWG1738"/>
    <d v="2024-03-24T00:00:00"/>
    <x v="3"/>
    <s v="Sun"/>
    <s v="The Game Ranch"/>
    <x v="11"/>
    <s v="Pizzas, North Indian, Burgers, Asian, Chinese"/>
    <x v="1"/>
    <s v="Veg"/>
    <n v="4"/>
    <n v="551"/>
    <n v="2204"/>
    <n v="4.4000000000000004"/>
    <n v="55"/>
    <n v="120"/>
    <n v="60"/>
    <x v="3"/>
    <n v="39"/>
    <s v="Male"/>
  </r>
  <r>
    <s v="SWG1739"/>
    <d v="2024-04-21T00:00:00"/>
    <x v="0"/>
    <s v="Sun"/>
    <s v="Bajrang Bhel Puri"/>
    <x v="4"/>
    <s v="Snacks, Chaat"/>
    <x v="5"/>
    <s v="Veg"/>
    <n v="2"/>
    <n v="202"/>
    <n v="404"/>
    <n v="4.3"/>
    <n v="43"/>
    <m/>
    <n v="0"/>
    <x v="2"/>
    <n v="46"/>
    <s v="Male"/>
  </r>
  <r>
    <s v="SWG1740"/>
    <d v="2024-08-04T00:00:00"/>
    <x v="6"/>
    <s v="Sun"/>
    <s v="Sapna Veg Restaurant"/>
    <x v="4"/>
    <s v="North Indian, South Indian"/>
    <x v="5"/>
    <s v="Veg"/>
    <n v="3"/>
    <n v="229"/>
    <n v="687"/>
    <n v="4.2"/>
    <n v="48"/>
    <m/>
    <n v="0"/>
    <x v="1"/>
    <n v="32"/>
    <s v="Male"/>
  </r>
  <r>
    <s v="SWG1741"/>
    <d v="2024-03-26T00:00:00"/>
    <x v="3"/>
    <s v="Tue"/>
    <s v="The Shawarma fellow"/>
    <x v="4"/>
    <s v="Arabian"/>
    <x v="5"/>
    <s v="Veg"/>
    <n v="3"/>
    <n v="554"/>
    <n v="1662"/>
    <n v="4.2"/>
    <n v="45"/>
    <n v="999"/>
    <n v="0"/>
    <x v="1"/>
    <n v="29"/>
    <s v="Male"/>
  </r>
  <r>
    <s v="SWG1742"/>
    <d v="2024-05-20T00:00:00"/>
    <x v="5"/>
    <s v="Mon"/>
    <s v="Olive Bistro &amp; Bar"/>
    <x v="24"/>
    <s v="Indian, Italian"/>
    <x v="5"/>
    <s v="Veg"/>
    <n v="3"/>
    <n v="506"/>
    <n v="1518"/>
    <n v="4.0999999999999996"/>
    <n v="55"/>
    <n v="799"/>
    <n v="0"/>
    <x v="2"/>
    <n v="22"/>
    <s v="Female"/>
  </r>
  <r>
    <s v="SWG1743"/>
    <d v="2024-07-05T00:00:00"/>
    <x v="4"/>
    <s v="Fri"/>
    <s v="Waffle Town"/>
    <x v="11"/>
    <s v="Waffle, Desserts, Beverages"/>
    <x v="4"/>
    <s v="Veg"/>
    <n v="3"/>
    <n v="545"/>
    <n v="1635"/>
    <m/>
    <m/>
    <m/>
    <n v="0"/>
    <x v="2"/>
    <n v="47"/>
    <s v="Female"/>
  </r>
  <r>
    <s v="SWG1744"/>
    <d v="2024-01-19T00:00:00"/>
    <x v="2"/>
    <s v="Fri"/>
    <s v="Garden Court Restaurant"/>
    <x v="4"/>
    <s v="Indian, Chinese"/>
    <x v="5"/>
    <s v="Veg"/>
    <n v="3"/>
    <n v="394"/>
    <n v="1182"/>
    <n v="4.3"/>
    <n v="60"/>
    <m/>
    <n v="0"/>
    <x v="3"/>
    <n v="40"/>
    <s v="Female"/>
  </r>
  <r>
    <s v="SWG1745"/>
    <d v="2024-06-25T00:00:00"/>
    <x v="1"/>
    <s v="Tue"/>
    <s v="Adelkars Kitchen"/>
    <x v="38"/>
    <s v="Malwani"/>
    <x v="5"/>
    <s v="Veg"/>
    <n v="4"/>
    <n v="320"/>
    <n v="1280"/>
    <n v="4.4000000000000004"/>
    <n v="47"/>
    <m/>
    <n v="0"/>
    <x v="3"/>
    <n v="33"/>
    <s v="Female"/>
  </r>
  <r>
    <s v="SWG1746"/>
    <d v="2024-04-09T00:00:00"/>
    <x v="0"/>
    <s v="Tue"/>
    <s v="Hill View"/>
    <x v="41"/>
    <s v="Indian, Chinese"/>
    <x v="5"/>
    <s v="Veg"/>
    <n v="4"/>
    <n v="403"/>
    <n v="1612"/>
    <n v="4.3"/>
    <n v="53"/>
    <m/>
    <n v="0"/>
    <x v="2"/>
    <n v="31"/>
    <s v="Male"/>
  </r>
  <r>
    <s v="SWG1747"/>
    <d v="2024-05-19T00:00:00"/>
    <x v="5"/>
    <s v="Sun"/>
    <s v="70's Frogurt Hood"/>
    <x v="4"/>
    <s v="Desserts, Ice Cream"/>
    <x v="4"/>
    <s v="Veg"/>
    <n v="4"/>
    <n v="587"/>
    <n v="2348"/>
    <n v="4.3"/>
    <n v="48"/>
    <n v="449"/>
    <n v="0"/>
    <x v="3"/>
    <n v="27"/>
    <s v="Female"/>
  </r>
  <r>
    <s v="SWG1748"/>
    <d v="2024-07-07T00:00:00"/>
    <x v="4"/>
    <s v="Sun"/>
    <s v="SMP Express"/>
    <x v="24"/>
    <s v="Chinese, Tandoor, Indian, Continental"/>
    <x v="5"/>
    <s v="Veg"/>
    <n v="2"/>
    <n v="292"/>
    <n v="584"/>
    <n v="4.4000000000000004"/>
    <n v="50"/>
    <n v="449"/>
    <n v="0"/>
    <x v="2"/>
    <n v="24"/>
    <s v="Male"/>
  </r>
  <r>
    <s v="SWG1749"/>
    <d v="2024-08-20T00:00:00"/>
    <x v="6"/>
    <s v="Tue"/>
    <s v="Gupta Panipuri Center"/>
    <x v="5"/>
    <s v="Chaat, Snacks"/>
    <x v="5"/>
    <s v="Veg"/>
    <n v="2"/>
    <n v="446"/>
    <n v="892"/>
    <n v="4"/>
    <n v="42"/>
    <m/>
    <n v="0"/>
    <x v="1"/>
    <n v="30"/>
    <s v="Female"/>
  </r>
  <r>
    <s v="SWG1750"/>
    <d v="2024-05-26T00:00:00"/>
    <x v="5"/>
    <s v="Sun"/>
    <s v="Malad Marathi Katta"/>
    <x v="4"/>
    <s v="Maharashtrian, Biryani, Indian"/>
    <x v="2"/>
    <s v="Non-Veg"/>
    <n v="2"/>
    <n v="325"/>
    <n v="650"/>
    <n v="4.0999999999999996"/>
    <n v="79"/>
    <n v="1000"/>
    <n v="40"/>
    <x v="1"/>
    <n v="37"/>
    <s v="Female"/>
  </r>
  <r>
    <s v="SWG1751"/>
    <d v="2024-03-16T00:00:00"/>
    <x v="3"/>
    <s v="Sat"/>
    <s v="Cream Lounge"/>
    <x v="3"/>
    <s v="Snacks, Desserts, Beverages, Ice Cream"/>
    <x v="4"/>
    <s v="Veg"/>
    <n v="2"/>
    <n v="182"/>
    <n v="364"/>
    <n v="4.2"/>
    <n v="42"/>
    <m/>
    <n v="0"/>
    <x v="0"/>
    <n v="45"/>
    <s v="Female"/>
  </r>
  <r>
    <s v="SWG1752"/>
    <d v="2024-01-09T00:00:00"/>
    <x v="2"/>
    <s v="Tue"/>
    <s v="Lassi &amp; Falooda Co"/>
    <x v="4"/>
    <s v="Ice Cream, Beverages, Juices, Indian, Snacks, Healthy Food"/>
    <x v="3"/>
    <s v="Veg"/>
    <n v="3"/>
    <n v="192"/>
    <n v="576"/>
    <n v="3.9"/>
    <n v="56"/>
    <m/>
    <n v="0"/>
    <x v="1"/>
    <n v="46"/>
    <s v="Female"/>
  </r>
  <r>
    <s v="SWG1753"/>
    <d v="2024-07-17T00:00:00"/>
    <x v="4"/>
    <s v="Wed"/>
    <s v="All About salads"/>
    <x v="11"/>
    <s v="Continental, Healthy Food, Salads"/>
    <x v="5"/>
    <s v="Veg"/>
    <n v="3"/>
    <n v="370"/>
    <n v="1110"/>
    <n v="3.9"/>
    <n v="48"/>
    <n v="599"/>
    <n v="0"/>
    <x v="2"/>
    <n v="22"/>
    <s v="Male"/>
  </r>
  <r>
    <s v="SWG1754"/>
    <d v="2024-01-28T00:00:00"/>
    <x v="2"/>
    <s v="Sun"/>
    <s v="Gorai Kinara"/>
    <x v="3"/>
    <s v="Malwani, Chinese, North Indian, Beverages"/>
    <x v="3"/>
    <s v="Veg"/>
    <n v="3"/>
    <n v="243"/>
    <n v="729"/>
    <n v="4.2"/>
    <n v="44"/>
    <m/>
    <n v="0"/>
    <x v="3"/>
    <n v="46"/>
    <s v="Female"/>
  </r>
  <r>
    <s v="SWG1755"/>
    <d v="2024-07-24T00:00:00"/>
    <x v="4"/>
    <s v="Wed"/>
    <s v="High On Wok - Sassy N Saucy"/>
    <x v="64"/>
    <s v="Asian, Chinese, Salads"/>
    <x v="5"/>
    <s v="Veg"/>
    <n v="1"/>
    <n v="494"/>
    <n v="494"/>
    <n v="4.0999999999999996"/>
    <n v="48"/>
    <m/>
    <n v="0"/>
    <x v="0"/>
    <n v="20"/>
    <s v="Female"/>
  </r>
  <r>
    <s v="SWG1756"/>
    <d v="2024-08-10T00:00:00"/>
    <x v="6"/>
    <s v="Sat"/>
    <s v="Flag's"/>
    <x v="4"/>
    <s v="North Indian, Chinese, Italian, Thai, Mexican"/>
    <x v="5"/>
    <s v="Veg"/>
    <n v="4"/>
    <n v="240"/>
    <n v="960"/>
    <n v="4.2"/>
    <n v="47"/>
    <n v="1200"/>
    <n v="10"/>
    <x v="3"/>
    <n v="32"/>
    <s v="Male"/>
  </r>
  <r>
    <s v="SWG1757"/>
    <d v="2024-05-07T00:00:00"/>
    <x v="5"/>
    <s v="Tue"/>
    <s v="Namaskar"/>
    <x v="3"/>
    <s v="Indian, Chinese, Tandoor, Biryani"/>
    <x v="2"/>
    <s v="Non-Veg"/>
    <n v="2"/>
    <n v="394"/>
    <n v="788"/>
    <n v="4.5999999999999996"/>
    <n v="52"/>
    <n v="500"/>
    <n v="10"/>
    <x v="2"/>
    <n v="21"/>
    <s v="Male"/>
  </r>
  <r>
    <s v="SWG1758"/>
    <d v="2024-02-21T00:00:00"/>
    <x v="7"/>
    <s v="Wed"/>
    <s v="Neelams pride"/>
    <x v="3"/>
    <s v="Chinese, Indian, Snacks"/>
    <x v="5"/>
    <s v="Veg"/>
    <n v="2"/>
    <n v="550"/>
    <n v="1100"/>
    <n v="4.5"/>
    <n v="49"/>
    <m/>
    <n v="0"/>
    <x v="1"/>
    <n v="32"/>
    <s v="Female"/>
  </r>
  <r>
    <s v="SWG1759"/>
    <d v="2024-03-23T00:00:00"/>
    <x v="3"/>
    <s v="Sat"/>
    <s v="Natural Fresh Ice Cream"/>
    <x v="2"/>
    <s v="Ice Cream, Beverages"/>
    <x v="3"/>
    <s v="Veg"/>
    <n v="3"/>
    <n v="517"/>
    <n v="1551"/>
    <n v="3.5"/>
    <n v="43"/>
    <m/>
    <n v="0"/>
    <x v="0"/>
    <n v="31"/>
    <s v="Male"/>
  </r>
  <r>
    <s v="SWG1760"/>
    <d v="2024-04-20T00:00:00"/>
    <x v="0"/>
    <s v="Sat"/>
    <s v="Hotel Amantran"/>
    <x v="2"/>
    <s v="Indian"/>
    <x v="5"/>
    <s v="Veg"/>
    <n v="2"/>
    <n v="239"/>
    <n v="478"/>
    <n v="4.2"/>
    <n v="41"/>
    <m/>
    <n v="0"/>
    <x v="2"/>
    <n v="37"/>
    <s v="Male"/>
  </r>
  <r>
    <s v="SWG1761"/>
    <d v="2024-05-23T00:00:00"/>
    <x v="5"/>
    <s v="Thu"/>
    <s v="Agent Jack's Bar"/>
    <x v="3"/>
    <s v="Tandoor, Chinese, Pizzas, Salads, Indian, North Indian, Healthy Food, Pastas, Jain"/>
    <x v="1"/>
    <s v="Veg"/>
    <n v="2"/>
    <n v="541"/>
    <n v="1082"/>
    <n v="4.2"/>
    <n v="52"/>
    <m/>
    <n v="0"/>
    <x v="0"/>
    <n v="36"/>
    <s v="Male"/>
  </r>
  <r>
    <s v="SWG1762"/>
    <d v="2024-04-26T00:00:00"/>
    <x v="0"/>
    <s v="Fri"/>
    <s v="New Chopsticks"/>
    <x v="0"/>
    <s v="Chinese"/>
    <x v="5"/>
    <s v="Veg"/>
    <n v="4"/>
    <n v="556"/>
    <n v="2224"/>
    <n v="4.4000000000000004"/>
    <n v="31"/>
    <m/>
    <n v="0"/>
    <x v="0"/>
    <n v="30"/>
    <s v="Female"/>
  </r>
  <r>
    <s v="SWG1763"/>
    <d v="2024-03-09T00:00:00"/>
    <x v="3"/>
    <s v="Sat"/>
    <s v="Sagar Sweets"/>
    <x v="7"/>
    <s v="Sweets, Snacks, Bakery"/>
    <x v="5"/>
    <s v="Veg"/>
    <n v="3"/>
    <n v="436"/>
    <n v="1308"/>
    <n v="4.4000000000000004"/>
    <n v="30"/>
    <m/>
    <n v="0"/>
    <x v="1"/>
    <n v="27"/>
    <s v="Male"/>
  </r>
  <r>
    <s v="SWG1764"/>
    <d v="2024-04-08T00:00:00"/>
    <x v="0"/>
    <s v="Mon"/>
    <s v="City Samosa"/>
    <x v="2"/>
    <s v="Snacks, Beverages"/>
    <x v="3"/>
    <s v="Veg"/>
    <n v="4"/>
    <n v="283"/>
    <n v="1132"/>
    <n v="3.9"/>
    <n v="33"/>
    <m/>
    <n v="0"/>
    <x v="2"/>
    <n v="38"/>
    <s v="Female"/>
  </r>
  <r>
    <s v="SWG1765"/>
    <d v="2024-05-19T00:00:00"/>
    <x v="5"/>
    <s v="Sun"/>
    <s v="Cake Basket"/>
    <x v="65"/>
    <s v="Bakery, Desserts"/>
    <x v="4"/>
    <s v="Veg"/>
    <n v="1"/>
    <n v="543"/>
    <n v="543"/>
    <n v="4.4000000000000004"/>
    <n v="27"/>
    <n v="449"/>
    <n v="0"/>
    <x v="3"/>
    <n v="49"/>
    <s v="Female"/>
  </r>
  <r>
    <s v="SWG1766"/>
    <d v="2024-01-25T00:00:00"/>
    <x v="2"/>
    <s v="Thu"/>
    <s v="MovieMax"/>
    <x v="11"/>
    <s v="Beverages, Burgers"/>
    <x v="0"/>
    <s v="Veg"/>
    <n v="1"/>
    <n v="584"/>
    <n v="584"/>
    <m/>
    <m/>
    <m/>
    <n v="0"/>
    <x v="0"/>
    <n v="22"/>
    <s v="Female"/>
  </r>
  <r>
    <s v="SWG1767"/>
    <d v="2024-06-28T00:00:00"/>
    <x v="1"/>
    <s v="Fri"/>
    <s v="Welcome Fast Food"/>
    <x v="2"/>
    <s v="Fast Food, Snacks"/>
    <x v="5"/>
    <s v="Veg"/>
    <n v="1"/>
    <n v="405"/>
    <n v="405"/>
    <n v="4.5"/>
    <n v="33"/>
    <m/>
    <n v="0"/>
    <x v="0"/>
    <n v="44"/>
    <s v="Female"/>
  </r>
  <r>
    <s v="SWG1768"/>
    <d v="2024-05-02T00:00:00"/>
    <x v="5"/>
    <s v="Thu"/>
    <s v="Haagen Dazs Ice Cream &amp; Desserts"/>
    <x v="66"/>
    <s v="Ice Cream, Desserts"/>
    <x v="4"/>
    <s v="Veg"/>
    <n v="3"/>
    <n v="384"/>
    <n v="1152"/>
    <m/>
    <m/>
    <n v="399"/>
    <n v="0"/>
    <x v="3"/>
    <n v="40"/>
    <s v="Male"/>
  </r>
  <r>
    <s v="SWG1769"/>
    <d v="2024-07-31T00:00:00"/>
    <x v="4"/>
    <s v="Wed"/>
    <s v="Tea Square Bar"/>
    <x v="2"/>
    <s v="Pizzas, Fast Food, Street Food, Juices, Beverages"/>
    <x v="1"/>
    <s v="Veg"/>
    <n v="2"/>
    <n v="439"/>
    <n v="878"/>
    <n v="4.4000000000000004"/>
    <n v="40"/>
    <m/>
    <n v="0"/>
    <x v="2"/>
    <n v="37"/>
    <s v="Female"/>
  </r>
  <r>
    <s v="SWG1770"/>
    <d v="2024-08-15T00:00:00"/>
    <x v="6"/>
    <s v="Thu"/>
    <s v="Makabo By Juice Time"/>
    <x v="7"/>
    <s v="North Indian, Chinese, Beverages"/>
    <x v="3"/>
    <s v="Veg"/>
    <n v="3"/>
    <n v="280"/>
    <n v="840"/>
    <n v="4.3"/>
    <n v="32"/>
    <n v="449"/>
    <n v="0"/>
    <x v="0"/>
    <n v="46"/>
    <s v="Male"/>
  </r>
  <r>
    <s v="SWG1771"/>
    <d v="2024-02-22T00:00:00"/>
    <x v="7"/>
    <s v="Thu"/>
    <s v="New Sheetal Dugdhalaya"/>
    <x v="11"/>
    <s v="Desserts, Sweets"/>
    <x v="4"/>
    <s v="Veg"/>
    <n v="3"/>
    <n v="495"/>
    <n v="1485"/>
    <n v="4.5999999999999996"/>
    <n v="35"/>
    <m/>
    <n v="0"/>
    <x v="0"/>
    <n v="37"/>
    <s v="Female"/>
  </r>
  <r>
    <s v="SWG1772"/>
    <d v="2024-05-30T00:00:00"/>
    <x v="5"/>
    <s v="Thu"/>
    <s v="Malvani swad"/>
    <x v="2"/>
    <s v="Indian, North Indian"/>
    <x v="5"/>
    <s v="Veg"/>
    <n v="2"/>
    <n v="427"/>
    <n v="854"/>
    <n v="4.2"/>
    <n v="41"/>
    <n v="50"/>
    <n v="20"/>
    <x v="0"/>
    <n v="42"/>
    <s v="Male"/>
  </r>
  <r>
    <s v="SWG1773"/>
    <d v="2024-05-23T00:00:00"/>
    <x v="5"/>
    <s v="Thu"/>
    <s v="Snack Shack"/>
    <x v="3"/>
    <s v="North Indian, Snacks"/>
    <x v="5"/>
    <s v="Veg"/>
    <n v="4"/>
    <n v="208"/>
    <n v="832"/>
    <n v="4.4000000000000004"/>
    <n v="53"/>
    <m/>
    <n v="0"/>
    <x v="2"/>
    <n v="23"/>
    <s v="Female"/>
  </r>
  <r>
    <s v="SWG1774"/>
    <d v="2024-02-26T00:00:00"/>
    <x v="7"/>
    <s v="Mon"/>
    <s v="Shanghai Kitchen"/>
    <x v="4"/>
    <s v="Chinese, Asian, Thai, Seafood, Beverages"/>
    <x v="3"/>
    <s v="Veg"/>
    <n v="1"/>
    <n v="261"/>
    <n v="261"/>
    <n v="4.0999999999999996"/>
    <n v="53"/>
    <m/>
    <n v="0"/>
    <x v="2"/>
    <n v="48"/>
    <s v="Male"/>
  </r>
  <r>
    <s v="SWG1775"/>
    <d v="2024-02-08T00:00:00"/>
    <x v="7"/>
    <s v="Thu"/>
    <s v="Burrp Pizza"/>
    <x v="11"/>
    <s v="Italian, Pizzas"/>
    <x v="1"/>
    <s v="Veg"/>
    <n v="4"/>
    <n v="322"/>
    <n v="1288"/>
    <n v="4.3"/>
    <n v="66"/>
    <n v="399"/>
    <n v="0"/>
    <x v="3"/>
    <n v="21"/>
    <s v="Female"/>
  </r>
  <r>
    <s v="SWG1776"/>
    <d v="2024-04-18T00:00:00"/>
    <x v="0"/>
    <s v="Thu"/>
    <s v="American Pie - Butter Crust Pizza"/>
    <x v="11"/>
    <s v="Pizzas, Italian, Pastas"/>
    <x v="1"/>
    <s v="Veg"/>
    <n v="1"/>
    <n v="428"/>
    <n v="428"/>
    <n v="4.5999999999999996"/>
    <n v="57"/>
    <n v="120"/>
    <n v="60"/>
    <x v="2"/>
    <n v="19"/>
    <s v="Female"/>
  </r>
  <r>
    <s v="SWG1777"/>
    <d v="2024-06-29T00:00:00"/>
    <x v="1"/>
    <s v="Sat"/>
    <s v="Pohewala"/>
    <x v="67"/>
    <s v="Snacks, Fast Food"/>
    <x v="5"/>
    <s v="Veg"/>
    <n v="3"/>
    <n v="346"/>
    <n v="1038"/>
    <m/>
    <m/>
    <m/>
    <n v="0"/>
    <x v="2"/>
    <n v="39"/>
    <s v="Male"/>
  </r>
  <r>
    <s v="SWG1778"/>
    <d v="2024-02-11T00:00:00"/>
    <x v="7"/>
    <s v="Sun"/>
    <s v="Momo's Mealbox"/>
    <x v="7"/>
    <s v="Chinese, Arabian, Fast Food, Burgers, Snacks, Pastas"/>
    <x v="0"/>
    <s v="Veg"/>
    <n v="1"/>
    <n v="562"/>
    <n v="562"/>
    <n v="4.2"/>
    <n v="43"/>
    <n v="499"/>
    <n v="0"/>
    <x v="1"/>
    <n v="49"/>
    <s v="Female"/>
  </r>
  <r>
    <s v="SWG1779"/>
    <d v="2024-07-04T00:00:00"/>
    <x v="4"/>
    <s v="Thu"/>
    <s v="Love &amp; Latte"/>
    <x v="4"/>
    <s v="Beverages, Desserts, Cafe, Pizzas, Snacks, Waffle, Pastas"/>
    <x v="1"/>
    <s v="Veg"/>
    <n v="3"/>
    <n v="453"/>
    <n v="1359"/>
    <n v="4.2"/>
    <n v="51"/>
    <n v="449"/>
    <n v="0"/>
    <x v="3"/>
    <n v="33"/>
    <s v="Female"/>
  </r>
  <r>
    <s v="SWG1780"/>
    <d v="2024-06-15T00:00:00"/>
    <x v="1"/>
    <s v="Sat"/>
    <s v="Sardaar Ji"/>
    <x v="2"/>
    <s v="North Indian, Snacks, Chinese, Desserts"/>
    <x v="4"/>
    <s v="Veg"/>
    <n v="4"/>
    <n v="341"/>
    <n v="1364"/>
    <n v="4.3"/>
    <n v="60"/>
    <m/>
    <n v="0"/>
    <x v="0"/>
    <n v="35"/>
    <s v="Female"/>
  </r>
  <r>
    <s v="SWG1781"/>
    <d v="2024-05-21T00:00:00"/>
    <x v="5"/>
    <s v="Tue"/>
    <s v="Cake Heaven"/>
    <x v="7"/>
    <s v="Bakery, Snacks"/>
    <x v="5"/>
    <s v="Veg"/>
    <n v="3"/>
    <n v="160"/>
    <n v="480"/>
    <n v="3.5"/>
    <n v="40"/>
    <m/>
    <n v="0"/>
    <x v="2"/>
    <n v="22"/>
    <s v="Male"/>
  </r>
  <r>
    <s v="SWG1782"/>
    <d v="2024-08-10T00:00:00"/>
    <x v="6"/>
    <s v="Sat"/>
    <s v="Bamboo Kitchen"/>
    <x v="22"/>
    <s v="North Indian, Chinese, Biryani, Indian, Tandoor, Thai, Continental"/>
    <x v="2"/>
    <s v="Non-Veg"/>
    <n v="4"/>
    <n v="315"/>
    <n v="1260"/>
    <n v="3.7"/>
    <n v="42"/>
    <n v="200"/>
    <n v="40"/>
    <x v="0"/>
    <n v="39"/>
    <s v="Female"/>
  </r>
  <r>
    <s v="SWG1783"/>
    <d v="2024-05-01T00:00:00"/>
    <x v="5"/>
    <s v="Wed"/>
    <s v="Lassi Wala"/>
    <x v="11"/>
    <s v="Beverages"/>
    <x v="3"/>
    <s v="Veg"/>
    <n v="2"/>
    <n v="187"/>
    <n v="374"/>
    <m/>
    <m/>
    <n v="125"/>
    <n v="25"/>
    <x v="0"/>
    <n v="21"/>
    <s v="Female"/>
  </r>
  <r>
    <s v="SWG1784"/>
    <d v="2024-05-12T00:00:00"/>
    <x v="5"/>
    <s v="Sun"/>
    <s v="Dharma's Sandwich"/>
    <x v="7"/>
    <s v="Italian, American, Grill, Pizzas, Pastas, Snacks, Beverages"/>
    <x v="1"/>
    <s v="Veg"/>
    <n v="2"/>
    <n v="595"/>
    <n v="1190"/>
    <n v="3.6"/>
    <n v="48"/>
    <m/>
    <n v="0"/>
    <x v="1"/>
    <n v="47"/>
    <s v="Male"/>
  </r>
  <r>
    <s v="SWG1785"/>
    <d v="2024-06-11T00:00:00"/>
    <x v="1"/>
    <s v="Tue"/>
    <s v="Hotel Ballaleshwar"/>
    <x v="22"/>
    <s v="South Indian"/>
    <x v="5"/>
    <s v="Veg"/>
    <n v="2"/>
    <n v="383"/>
    <n v="766"/>
    <n v="3.8"/>
    <n v="43"/>
    <m/>
    <n v="0"/>
    <x v="2"/>
    <n v="30"/>
    <s v="Male"/>
  </r>
  <r>
    <s v="SWG1786"/>
    <d v="2024-08-02T00:00:00"/>
    <x v="6"/>
    <s v="Fri"/>
    <s v="Baithack"/>
    <x v="11"/>
    <s v="Beverages, Fast Food, Snacks, Burgers"/>
    <x v="0"/>
    <s v="Veg"/>
    <n v="3"/>
    <n v="121"/>
    <n v="363"/>
    <n v="3.7"/>
    <n v="44"/>
    <n v="499"/>
    <n v="0"/>
    <x v="3"/>
    <n v="36"/>
    <s v="Male"/>
  </r>
  <r>
    <s v="SWG1787"/>
    <d v="2024-08-08T00:00:00"/>
    <x v="6"/>
    <s v="Thu"/>
    <s v="Great Indian Meals"/>
    <x v="36"/>
    <s v="Mangalorean, North Indian, South Indian, Malwani"/>
    <x v="5"/>
    <s v="Veg"/>
    <n v="2"/>
    <n v="480"/>
    <n v="960"/>
    <n v="3.8"/>
    <n v="55"/>
    <n v="800"/>
    <n v="15"/>
    <x v="2"/>
    <n v="40"/>
    <s v="Male"/>
  </r>
  <r>
    <s v="SWG1788"/>
    <d v="2024-08-22T00:00:00"/>
    <x v="6"/>
    <s v="Thu"/>
    <s v="Gelato Italiano - Ice Cream"/>
    <x v="24"/>
    <s v="Desserts, Ice Cream"/>
    <x v="4"/>
    <s v="Veg"/>
    <n v="1"/>
    <n v="244"/>
    <n v="244"/>
    <n v="3.3"/>
    <n v="41"/>
    <n v="699"/>
    <n v="0"/>
    <x v="0"/>
    <n v="19"/>
    <s v="Male"/>
  </r>
  <r>
    <s v="SWG1789"/>
    <d v="2024-03-15T00:00:00"/>
    <x v="3"/>
    <s v="Fri"/>
    <s v="Brunch n Munch"/>
    <x v="4"/>
    <s v="European, American, Continental, Italian"/>
    <x v="5"/>
    <s v="Veg"/>
    <n v="4"/>
    <n v="229"/>
    <n v="916"/>
    <n v="4.5"/>
    <n v="50"/>
    <m/>
    <n v="0"/>
    <x v="3"/>
    <n v="30"/>
    <s v="Female"/>
  </r>
  <r>
    <s v="SWG1790"/>
    <d v="2024-05-25T00:00:00"/>
    <x v="5"/>
    <s v="Sat"/>
    <s v="Ruchi Restaurant"/>
    <x v="68"/>
    <s v="Italian, Burgers, Pizzas, Pastas, Continental"/>
    <x v="1"/>
    <s v="Veg"/>
    <n v="4"/>
    <n v="205"/>
    <n v="820"/>
    <n v="4.9000000000000004"/>
    <n v="59"/>
    <n v="449"/>
    <n v="0"/>
    <x v="2"/>
    <n v="28"/>
    <s v="Female"/>
  </r>
  <r>
    <s v="SWG1791"/>
    <d v="2024-08-26T00:00:00"/>
    <x v="6"/>
    <s v="Mon"/>
    <s v="Farzi Cafe"/>
    <x v="24"/>
    <s v="Indian"/>
    <x v="5"/>
    <s v="Veg"/>
    <n v="1"/>
    <n v="544"/>
    <n v="544"/>
    <n v="4.2"/>
    <n v="50"/>
    <n v="799"/>
    <n v="0"/>
    <x v="0"/>
    <n v="47"/>
    <s v="Female"/>
  </r>
  <r>
    <s v="SWG1792"/>
    <d v="2024-03-16T00:00:00"/>
    <x v="3"/>
    <s v="Sat"/>
    <s v="Cococart"/>
    <x v="19"/>
    <s v="Desserts, Sweets"/>
    <x v="4"/>
    <s v="Veg"/>
    <n v="3"/>
    <n v="239"/>
    <n v="717"/>
    <n v="4.5999999999999996"/>
    <n v="48"/>
    <n v="899"/>
    <n v="0"/>
    <x v="0"/>
    <n v="39"/>
    <s v="Male"/>
  </r>
  <r>
    <s v="SWG1793"/>
    <d v="2024-01-09T00:00:00"/>
    <x v="2"/>
    <s v="Tue"/>
    <s v="Kings Kulfi"/>
    <x v="24"/>
    <s v="Desserts"/>
    <x v="4"/>
    <s v="Veg"/>
    <n v="3"/>
    <n v="246"/>
    <n v="738"/>
    <n v="4.7"/>
    <n v="40"/>
    <m/>
    <n v="0"/>
    <x v="1"/>
    <n v="46"/>
    <s v="Female"/>
  </r>
  <r>
    <s v="SWG1794"/>
    <d v="2024-03-14T00:00:00"/>
    <x v="3"/>
    <s v="Thu"/>
    <s v="6th Street Yogurt"/>
    <x v="11"/>
    <s v="Desserts, Ice Cream"/>
    <x v="4"/>
    <s v="Veg"/>
    <n v="4"/>
    <n v="374"/>
    <n v="1496"/>
    <n v="4.2"/>
    <n v="55"/>
    <n v="449"/>
    <n v="0"/>
    <x v="1"/>
    <n v="21"/>
    <s v="Male"/>
  </r>
  <r>
    <s v="SWG1795"/>
    <d v="2024-07-04T00:00:00"/>
    <x v="4"/>
    <s v="Thu"/>
    <s v="Diya's Kitchen"/>
    <x v="41"/>
    <s v="South Indian, Snacks, Juices, Desserts"/>
    <x v="4"/>
    <s v="Veg"/>
    <n v="2"/>
    <n v="302"/>
    <n v="604"/>
    <n v="4.3"/>
    <n v="48"/>
    <n v="100"/>
    <n v="20"/>
    <x v="1"/>
    <n v="39"/>
    <s v="Male"/>
  </r>
  <r>
    <s v="SWG1796"/>
    <d v="2024-08-23T00:00:00"/>
    <x v="6"/>
    <s v="Fri"/>
    <s v="Shamazing Sugarfree Desserts"/>
    <x v="57"/>
    <s v="Desserts, Ice Cream"/>
    <x v="4"/>
    <s v="Veg"/>
    <n v="3"/>
    <n v="135"/>
    <n v="405"/>
    <n v="4"/>
    <n v="49"/>
    <n v="900"/>
    <n v="10"/>
    <x v="0"/>
    <n v="37"/>
    <s v="Female"/>
  </r>
  <r>
    <s v="SWG1797"/>
    <d v="2024-05-24T00:00:00"/>
    <x v="5"/>
    <s v="Fri"/>
    <s v="Rosh &amp; Ron"/>
    <x v="69"/>
    <s v="Chinese, Thai"/>
    <x v="5"/>
    <s v="Veg"/>
    <n v="3"/>
    <n v="596"/>
    <n v="1788"/>
    <n v="4.2"/>
    <n v="54"/>
    <n v="80"/>
    <n v="15"/>
    <x v="2"/>
    <n v="37"/>
    <s v="Male"/>
  </r>
  <r>
    <s v="SWG1798"/>
    <d v="2024-08-17T00:00:00"/>
    <x v="6"/>
    <s v="Sat"/>
    <s v="Sahara Hotel"/>
    <x v="24"/>
    <s v="Chinese, Continental"/>
    <x v="5"/>
    <s v="Veg"/>
    <n v="1"/>
    <n v="181"/>
    <n v="181"/>
    <n v="4.2"/>
    <n v="45"/>
    <m/>
    <n v="0"/>
    <x v="1"/>
    <n v="32"/>
    <s v="Male"/>
  </r>
  <r>
    <s v="SWG1799"/>
    <d v="2024-01-07T00:00:00"/>
    <x v="2"/>
    <s v="Sun"/>
    <s v="Vedant kitchen"/>
    <x v="2"/>
    <s v="Indian"/>
    <x v="5"/>
    <s v="Veg"/>
    <n v="1"/>
    <n v="488"/>
    <n v="488"/>
    <n v="4.5"/>
    <n v="44"/>
    <m/>
    <n v="0"/>
    <x v="2"/>
    <n v="21"/>
    <s v="Female"/>
  </r>
  <r>
    <s v="SWG1800"/>
    <d v="2024-06-22T00:00:00"/>
    <x v="1"/>
    <s v="Sat"/>
    <s v="Chai Vibhaag"/>
    <x v="64"/>
    <s v="Indian, Beverages, Snacks"/>
    <x v="3"/>
    <s v="Veg"/>
    <n v="2"/>
    <n v="551"/>
    <n v="1102"/>
    <n v="4.4000000000000004"/>
    <n v="44"/>
    <m/>
    <n v="0"/>
    <x v="1"/>
    <n v="26"/>
    <s v="Male"/>
  </r>
  <r>
    <s v="SWG1801"/>
    <d v="2024-05-20T00:00:00"/>
    <x v="5"/>
    <s v="Mon"/>
    <s v="Potlibabas Kitchen"/>
    <x v="7"/>
    <s v="Malwani, Biryani, Seafood, Salads"/>
    <x v="2"/>
    <s v="Non-Veg"/>
    <n v="3"/>
    <n v="277"/>
    <n v="831"/>
    <n v="4.2"/>
    <n v="53"/>
    <m/>
    <n v="0"/>
    <x v="3"/>
    <n v="24"/>
    <s v="Male"/>
  </r>
  <r>
    <s v="SWG1802"/>
    <d v="2024-06-16T00:00:00"/>
    <x v="1"/>
    <s v="Sun"/>
    <s v="Food Lord - The Dining Bar"/>
    <x v="3"/>
    <s v="Chinese, Continental, Indian"/>
    <x v="5"/>
    <s v="Veg"/>
    <n v="3"/>
    <n v="387"/>
    <n v="1161"/>
    <n v="4.3"/>
    <n v="43"/>
    <n v="600"/>
    <n v="10"/>
    <x v="3"/>
    <n v="36"/>
    <s v="Female"/>
  </r>
  <r>
    <s v="SWG1803"/>
    <d v="2024-06-18T00:00:00"/>
    <x v="1"/>
    <s v="Tue"/>
    <s v="Sweet heart cakes and more"/>
    <x v="5"/>
    <s v="Desserts"/>
    <x v="4"/>
    <s v="Veg"/>
    <n v="1"/>
    <n v="154"/>
    <n v="154"/>
    <n v="3.6"/>
    <n v="50"/>
    <n v="999"/>
    <n v="0"/>
    <x v="1"/>
    <n v="36"/>
    <s v="Male"/>
  </r>
  <r>
    <s v="SWG1804"/>
    <d v="2024-05-16T00:00:00"/>
    <x v="5"/>
    <s v="Thu"/>
    <s v="Anna Dosa Point"/>
    <x v="38"/>
    <s v="South Indian"/>
    <x v="5"/>
    <s v="Veg"/>
    <n v="3"/>
    <n v="386"/>
    <n v="1158"/>
    <n v="3.3"/>
    <n v="46"/>
    <m/>
    <n v="0"/>
    <x v="0"/>
    <n v="23"/>
    <s v="Male"/>
  </r>
  <r>
    <s v="SWG1805"/>
    <d v="2024-06-26T00:00:00"/>
    <x v="1"/>
    <s v="Wed"/>
    <s v="Joyful Pizza"/>
    <x v="7"/>
    <s v="Pizzas, Italian, Desserts, Beverages"/>
    <x v="1"/>
    <s v="Veg"/>
    <n v="4"/>
    <n v="183"/>
    <n v="732"/>
    <n v="4.0999999999999996"/>
    <n v="40"/>
    <n v="449"/>
    <n v="0"/>
    <x v="1"/>
    <n v="23"/>
    <s v="Female"/>
  </r>
  <r>
    <s v="SWG1806"/>
    <d v="2024-01-27T00:00:00"/>
    <x v="2"/>
    <s v="Sat"/>
    <s v="The Chinese Corner"/>
    <x v="19"/>
    <s v="Chinese, Lebanese"/>
    <x v="5"/>
    <s v="Veg"/>
    <n v="1"/>
    <n v="169"/>
    <n v="169"/>
    <n v="2.6"/>
    <n v="50"/>
    <m/>
    <n v="0"/>
    <x v="1"/>
    <n v="37"/>
    <s v="Female"/>
  </r>
  <r>
    <s v="SWG1807"/>
    <d v="2024-05-01T00:00:00"/>
    <x v="5"/>
    <s v="Wed"/>
    <s v="Bao Bao"/>
    <x v="11"/>
    <s v="Asian, Chinese, Beverages"/>
    <x v="3"/>
    <s v="Veg"/>
    <n v="2"/>
    <n v="588"/>
    <n v="1176"/>
    <n v="4.5"/>
    <n v="49"/>
    <n v="749"/>
    <n v="0"/>
    <x v="0"/>
    <n v="32"/>
    <s v="Female"/>
  </r>
  <r>
    <s v="SWG1808"/>
    <d v="2024-07-12T00:00:00"/>
    <x v="4"/>
    <s v="Fri"/>
    <s v="Egg Station"/>
    <x v="11"/>
    <s v="Indian, Snacks"/>
    <x v="5"/>
    <s v="Veg"/>
    <n v="1"/>
    <n v="374"/>
    <n v="374"/>
    <n v="4.7"/>
    <n v="50"/>
    <m/>
    <n v="0"/>
    <x v="3"/>
    <n v="32"/>
    <s v="Female"/>
  </r>
  <r>
    <s v="SWG1809"/>
    <d v="2024-01-05T00:00:00"/>
    <x v="2"/>
    <s v="Fri"/>
    <s v="Purohit Sweets"/>
    <x v="7"/>
    <s v="Sweets, Fast Food, Desserts"/>
    <x v="4"/>
    <s v="Veg"/>
    <n v="3"/>
    <n v="268"/>
    <n v="804"/>
    <n v="4.5"/>
    <n v="27"/>
    <n v="999"/>
    <n v="0"/>
    <x v="2"/>
    <n v="42"/>
    <s v="Male"/>
  </r>
  <r>
    <s v="SWG1810"/>
    <d v="2024-01-29T00:00:00"/>
    <x v="2"/>
    <s v="Mon"/>
    <s v="Rajus fast food"/>
    <x v="29"/>
    <s v="Fast Food"/>
    <x v="5"/>
    <s v="Veg"/>
    <n v="2"/>
    <n v="444"/>
    <n v="888"/>
    <n v="5"/>
    <n v="33"/>
    <m/>
    <n v="0"/>
    <x v="1"/>
    <n v="37"/>
    <s v="Male"/>
  </r>
  <r>
    <s v="SWG1811"/>
    <d v="2024-06-13T00:00:00"/>
    <x v="1"/>
    <s v="Thu"/>
    <s v="Yummy cake"/>
    <x v="41"/>
    <s v="Bakery, Desserts"/>
    <x v="4"/>
    <s v="Veg"/>
    <n v="1"/>
    <n v="423"/>
    <n v="423"/>
    <n v="4.0999999999999996"/>
    <n v="39"/>
    <m/>
    <n v="0"/>
    <x v="0"/>
    <n v="26"/>
    <s v="Female"/>
  </r>
  <r>
    <s v="SWG1812"/>
    <d v="2024-06-14T00:00:00"/>
    <x v="1"/>
    <s v="Fri"/>
    <s v="Maxus Cakes"/>
    <x v="11"/>
    <s v="Bakery"/>
    <x v="5"/>
    <s v="Veg"/>
    <n v="4"/>
    <n v="395"/>
    <n v="1580"/>
    <n v="3.6"/>
    <n v="30"/>
    <m/>
    <n v="0"/>
    <x v="1"/>
    <n v="49"/>
    <s v="Male"/>
  </r>
  <r>
    <s v="SWG1813"/>
    <d v="2024-03-23T00:00:00"/>
    <x v="3"/>
    <s v="Sat"/>
    <s v="World Famous Paratha"/>
    <x v="7"/>
    <s v="Indian, Beverages"/>
    <x v="3"/>
    <s v="Veg"/>
    <n v="4"/>
    <n v="476"/>
    <n v="1904"/>
    <n v="4.8"/>
    <n v="35"/>
    <m/>
    <n v="0"/>
    <x v="0"/>
    <n v="21"/>
    <s v="Male"/>
  </r>
  <r>
    <s v="SWG1814"/>
    <d v="2024-05-15T00:00:00"/>
    <x v="5"/>
    <s v="Wed"/>
    <s v="Swadesi Dairy Products"/>
    <x v="5"/>
    <s v="Desserts, Sweets"/>
    <x v="4"/>
    <s v="Veg"/>
    <n v="1"/>
    <n v="570"/>
    <n v="570"/>
    <n v="4.5"/>
    <n v="30"/>
    <m/>
    <n v="0"/>
    <x v="2"/>
    <n v="35"/>
    <s v="Female"/>
  </r>
  <r>
    <s v="SWG1815"/>
    <d v="2024-08-27T00:00:00"/>
    <x v="6"/>
    <s v="Tue"/>
    <s v="Detox Cold Pressed Juice Bar"/>
    <x v="6"/>
    <s v="Beverages, Juices"/>
    <x v="3"/>
    <s v="Veg"/>
    <n v="4"/>
    <n v="291"/>
    <n v="1164"/>
    <n v="4.7"/>
    <n v="35"/>
    <n v="999"/>
    <n v="0"/>
    <x v="2"/>
    <n v="35"/>
    <s v="Female"/>
  </r>
  <r>
    <s v="SWG1816"/>
    <d v="2024-04-18T00:00:00"/>
    <x v="0"/>
    <s v="Thu"/>
    <s v="Sri Ram Kulfi And Ice Creams"/>
    <x v="11"/>
    <s v="Desserts, Ice Cream"/>
    <x v="4"/>
    <s v="Veg"/>
    <n v="4"/>
    <n v="536"/>
    <n v="2144"/>
    <m/>
    <m/>
    <m/>
    <n v="0"/>
    <x v="3"/>
    <n v="22"/>
    <s v="Male"/>
  </r>
  <r>
    <s v="SWG1817"/>
    <d v="2024-03-05T00:00:00"/>
    <x v="3"/>
    <s v="Tue"/>
    <s v="Lavista Cake Shop"/>
    <x v="22"/>
    <s v="Desserts"/>
    <x v="4"/>
    <s v="Veg"/>
    <n v="4"/>
    <n v="320"/>
    <n v="1280"/>
    <n v="3.4"/>
    <n v="32"/>
    <m/>
    <n v="0"/>
    <x v="0"/>
    <n v="37"/>
    <s v="Female"/>
  </r>
  <r>
    <s v="SWG1818"/>
    <d v="2024-03-26T00:00:00"/>
    <x v="3"/>
    <s v="Tue"/>
    <s v="Davat Fast Food"/>
    <x v="2"/>
    <s v="Arabian, Chinese"/>
    <x v="5"/>
    <s v="Veg"/>
    <n v="2"/>
    <n v="564"/>
    <n v="1128"/>
    <n v="4.5"/>
    <n v="35"/>
    <n v="50"/>
    <n v="20"/>
    <x v="0"/>
    <n v="40"/>
    <s v="Female"/>
  </r>
  <r>
    <s v="SWG1819"/>
    <d v="2024-05-24T00:00:00"/>
    <x v="5"/>
    <s v="Fri"/>
    <s v="Golden Family Restaurant"/>
    <x v="7"/>
    <s v="Continental, Oriental, Asian"/>
    <x v="5"/>
    <s v="Veg"/>
    <n v="4"/>
    <n v="512"/>
    <n v="2048"/>
    <n v="2.2000000000000002"/>
    <n v="37"/>
    <m/>
    <n v="0"/>
    <x v="3"/>
    <n v="47"/>
    <s v="Female"/>
  </r>
  <r>
    <s v="SWG1820"/>
    <d v="2024-03-11T00:00:00"/>
    <x v="3"/>
    <s v="Mon"/>
    <s v="Ek Batta Do"/>
    <x v="7"/>
    <s v="Beverages, Snacks, Burgers, Pastas"/>
    <x v="0"/>
    <s v="Veg"/>
    <n v="4"/>
    <n v="443"/>
    <n v="1772"/>
    <n v="4.5"/>
    <n v="38"/>
    <m/>
    <n v="0"/>
    <x v="3"/>
    <n v="28"/>
    <s v="Male"/>
  </r>
  <r>
    <s v="SWG1821"/>
    <d v="2024-08-04T00:00:00"/>
    <x v="6"/>
    <s v="Sun"/>
    <s v="Centre Point Dhaba"/>
    <x v="7"/>
    <s v="North Indian, Chinese, Snacks"/>
    <x v="5"/>
    <s v="Veg"/>
    <n v="4"/>
    <n v="154"/>
    <n v="616"/>
    <n v="4.3"/>
    <n v="34"/>
    <n v="1000"/>
    <n v="10"/>
    <x v="0"/>
    <n v="22"/>
    <s v="Female"/>
  </r>
  <r>
    <s v="SWG1822"/>
    <d v="2024-02-14T00:00:00"/>
    <x v="7"/>
    <s v="Wed"/>
    <s v="Red Indian Sizzlers"/>
    <x v="5"/>
    <s v="Pizzas, Chinese, Continental"/>
    <x v="1"/>
    <s v="Veg"/>
    <n v="2"/>
    <n v="584"/>
    <n v="1168"/>
    <n v="4.5"/>
    <n v="37"/>
    <m/>
    <n v="0"/>
    <x v="3"/>
    <n v="39"/>
    <s v="Male"/>
  </r>
  <r>
    <s v="SWG1823"/>
    <d v="2024-05-11T00:00:00"/>
    <x v="5"/>
    <s v="Sat"/>
    <s v="Brownie Point Cakes Shop Frenchaies"/>
    <x v="7"/>
    <s v="Indian, Bakery, Desserts"/>
    <x v="4"/>
    <s v="Veg"/>
    <n v="1"/>
    <n v="335"/>
    <n v="335"/>
    <n v="4.4000000000000004"/>
    <n v="26"/>
    <n v="999"/>
    <n v="0"/>
    <x v="2"/>
    <n v="43"/>
    <s v="Male"/>
  </r>
  <r>
    <s v="SWG1824"/>
    <d v="2024-02-05T00:00:00"/>
    <x v="7"/>
    <s v="Mon"/>
    <s v="Super (Borivali)"/>
    <x v="29"/>
    <s v="Chinese, Fast Food"/>
    <x v="5"/>
    <s v="Veg"/>
    <n v="3"/>
    <n v="599"/>
    <n v="1797"/>
    <n v="4.3"/>
    <n v="39"/>
    <m/>
    <n v="0"/>
    <x v="1"/>
    <n v="21"/>
    <s v="Male"/>
  </r>
  <r>
    <s v="SWG1825"/>
    <d v="2024-03-10T00:00:00"/>
    <x v="3"/>
    <s v="Sun"/>
    <s v="The Italian Oven"/>
    <x v="11"/>
    <s v="Pizzas"/>
    <x v="1"/>
    <s v="Veg"/>
    <n v="4"/>
    <n v="184"/>
    <n v="736"/>
    <m/>
    <m/>
    <n v="999"/>
    <n v="0"/>
    <x v="2"/>
    <n v="46"/>
    <s v="Female"/>
  </r>
  <r>
    <s v="SWG1826"/>
    <d v="2024-06-07T00:00:00"/>
    <x v="1"/>
    <s v="Fri"/>
    <s v="Maa Laads Kitchen"/>
    <x v="4"/>
    <s v="Home Food, Rajasthani, North Indian, Indian"/>
    <x v="5"/>
    <s v="Veg"/>
    <n v="1"/>
    <n v="127"/>
    <n v="127"/>
    <n v="4"/>
    <n v="75"/>
    <m/>
    <n v="0"/>
    <x v="3"/>
    <n v="29"/>
    <s v="Female"/>
  </r>
  <r>
    <s v="SWG1827"/>
    <d v="2024-01-19T00:00:00"/>
    <x v="2"/>
    <s v="Fri"/>
    <s v="The Dragon House"/>
    <x v="11"/>
    <s v="Chinese, Asian, Thai, Seafood"/>
    <x v="5"/>
    <s v="Veg"/>
    <n v="4"/>
    <n v="420"/>
    <n v="1680"/>
    <n v="4.3"/>
    <n v="51"/>
    <m/>
    <n v="0"/>
    <x v="0"/>
    <n v="19"/>
    <s v="Female"/>
  </r>
  <r>
    <s v="SWG1828"/>
    <d v="2024-07-07T00:00:00"/>
    <x v="4"/>
    <s v="Sun"/>
    <s v="Crazy Dough Pizza"/>
    <x v="3"/>
    <s v="Continental, Italian"/>
    <x v="5"/>
    <s v="Veg"/>
    <n v="2"/>
    <n v="462"/>
    <n v="924"/>
    <n v="4.0999999999999996"/>
    <n v="43"/>
    <m/>
    <n v="0"/>
    <x v="0"/>
    <n v="30"/>
    <s v="Female"/>
  </r>
  <r>
    <s v="SWG1829"/>
    <d v="2024-04-17T00:00:00"/>
    <x v="0"/>
    <s v="Wed"/>
    <s v="Charlie's Chimney"/>
    <x v="11"/>
    <s v="Chinese, Biryani"/>
    <x v="2"/>
    <s v="Non-Veg"/>
    <n v="1"/>
    <n v="550"/>
    <n v="550"/>
    <n v="4"/>
    <n v="43"/>
    <m/>
    <n v="0"/>
    <x v="2"/>
    <n v="27"/>
    <s v="Female"/>
  </r>
  <r>
    <s v="SWG1830"/>
    <d v="2024-06-30T00:00:00"/>
    <x v="1"/>
    <s v="Sun"/>
    <s v="Panchmukhi"/>
    <x v="70"/>
    <s v="Indian, North Indian, Chinese, Tandoor"/>
    <x v="5"/>
    <s v="Veg"/>
    <n v="2"/>
    <n v="543"/>
    <n v="1086"/>
    <n v="4.5999999999999996"/>
    <n v="55"/>
    <m/>
    <n v="0"/>
    <x v="0"/>
    <n v="26"/>
    <s v="Male"/>
  </r>
  <r>
    <s v="SWG1831"/>
    <d v="2024-06-15T00:00:00"/>
    <x v="1"/>
    <s v="Sat"/>
    <s v="Hotel Side Walk"/>
    <x v="6"/>
    <s v="Indian, Chinese"/>
    <x v="5"/>
    <s v="Veg"/>
    <n v="4"/>
    <n v="451"/>
    <n v="1804"/>
    <n v="4.3"/>
    <n v="40"/>
    <m/>
    <n v="0"/>
    <x v="3"/>
    <n v="27"/>
    <s v="Male"/>
  </r>
  <r>
    <s v="SWG1832"/>
    <d v="2024-03-31T00:00:00"/>
    <x v="3"/>
    <s v="Sun"/>
    <s v="Rustam Darbar"/>
    <x v="11"/>
    <s v="Chinese, North Indian, Mughlai"/>
    <x v="5"/>
    <s v="Veg"/>
    <n v="4"/>
    <n v="557"/>
    <n v="2228"/>
    <n v="3.6"/>
    <n v="48"/>
    <n v="749"/>
    <n v="0"/>
    <x v="2"/>
    <n v="48"/>
    <s v="Male"/>
  </r>
  <r>
    <s v="SWG1833"/>
    <d v="2024-07-20T00:00:00"/>
    <x v="4"/>
    <s v="Sat"/>
    <s v="First Bytes Of Home"/>
    <x v="7"/>
    <s v="Maharashtrian, Street Food, Fast Food"/>
    <x v="5"/>
    <s v="Veg"/>
    <n v="2"/>
    <n v="195"/>
    <n v="390"/>
    <n v="4.4000000000000004"/>
    <n v="50"/>
    <m/>
    <n v="0"/>
    <x v="0"/>
    <n v="24"/>
    <s v="Female"/>
  </r>
  <r>
    <s v="SWG1834"/>
    <d v="2024-03-30T00:00:00"/>
    <x v="3"/>
    <s v="Sat"/>
    <s v="Aadu's Kitchen"/>
    <x v="0"/>
    <s v="Chinese, Thai, Indian, Snacks"/>
    <x v="5"/>
    <s v="Veg"/>
    <n v="3"/>
    <n v="293"/>
    <n v="879"/>
    <n v="4.5"/>
    <n v="41"/>
    <n v="1500"/>
    <n v="10"/>
    <x v="1"/>
    <n v="21"/>
    <s v="Male"/>
  </r>
  <r>
    <s v="SWG1835"/>
    <d v="2024-01-19T00:00:00"/>
    <x v="2"/>
    <s v="Fri"/>
    <s v="Pappis Kitchen"/>
    <x v="3"/>
    <s v="Indian, Chinese"/>
    <x v="5"/>
    <s v="Veg"/>
    <n v="2"/>
    <n v="166"/>
    <n v="332"/>
    <n v="4.3"/>
    <n v="42"/>
    <m/>
    <n v="0"/>
    <x v="1"/>
    <n v="36"/>
    <s v="Male"/>
  </r>
  <r>
    <s v="SWG1836"/>
    <d v="2024-02-08T00:00:00"/>
    <x v="7"/>
    <s v="Thu"/>
    <s v="Hotel Kokan Kinara"/>
    <x v="7"/>
    <s v="North Indian, Seafood, Chinese, Tandoor"/>
    <x v="5"/>
    <s v="Veg"/>
    <n v="4"/>
    <n v="134"/>
    <n v="536"/>
    <n v="4.2"/>
    <n v="53"/>
    <m/>
    <n v="0"/>
    <x v="3"/>
    <n v="27"/>
    <s v="Female"/>
  </r>
  <r>
    <s v="SWG1837"/>
    <d v="2024-05-05T00:00:00"/>
    <x v="5"/>
    <s v="Sun"/>
    <s v="Urban Bawarchi"/>
    <x v="29"/>
    <s v="Snacks, Biryani, Desserts"/>
    <x v="2"/>
    <s v="Non-Veg"/>
    <n v="2"/>
    <n v="480"/>
    <n v="960"/>
    <n v="4.5999999999999996"/>
    <n v="45"/>
    <m/>
    <n v="0"/>
    <x v="0"/>
    <n v="47"/>
    <s v="Female"/>
  </r>
  <r>
    <s v="SWG1838"/>
    <d v="2024-07-13T00:00:00"/>
    <x v="4"/>
    <s v="Sat"/>
    <s v="Bubble Tea (Badabing Badaboom)"/>
    <x v="11"/>
    <s v="Beverages"/>
    <x v="3"/>
    <s v="Veg"/>
    <n v="3"/>
    <n v="266"/>
    <n v="798"/>
    <n v="4.3"/>
    <n v="54"/>
    <m/>
    <n v="0"/>
    <x v="3"/>
    <n v="48"/>
    <s v="Male"/>
  </r>
  <r>
    <s v="SWG1839"/>
    <d v="2024-06-21T00:00:00"/>
    <x v="1"/>
    <s v="Fri"/>
    <s v="Break Fast Choice"/>
    <x v="36"/>
    <s v="Snacks"/>
    <x v="5"/>
    <s v="Veg"/>
    <n v="2"/>
    <n v="145"/>
    <n v="290"/>
    <n v="3.7"/>
    <n v="56"/>
    <m/>
    <n v="0"/>
    <x v="2"/>
    <n v="49"/>
    <s v="Male"/>
  </r>
  <r>
    <s v="SWG1840"/>
    <d v="2024-05-20T00:00:00"/>
    <x v="5"/>
    <s v="Mon"/>
    <s v="Al's Kitchen &amp; Grill"/>
    <x v="4"/>
    <s v="Indian, Chinese, Thai, Tandoor, Fast Food"/>
    <x v="5"/>
    <s v="Veg"/>
    <n v="3"/>
    <n v="427"/>
    <n v="1281"/>
    <n v="4.5999999999999996"/>
    <n v="54"/>
    <m/>
    <n v="0"/>
    <x v="1"/>
    <n v="20"/>
    <s v="Female"/>
  </r>
  <r>
    <s v="SWG1841"/>
    <d v="2024-08-07T00:00:00"/>
    <x v="6"/>
    <s v="Wed"/>
    <s v="Geeta Z Veg Hub &amp; Tiffin Service"/>
    <x v="29"/>
    <s v="Indian, Snacks, North Indian"/>
    <x v="5"/>
    <s v="Veg"/>
    <n v="3"/>
    <n v="212"/>
    <n v="636"/>
    <n v="4.5"/>
    <n v="48"/>
    <m/>
    <n v="0"/>
    <x v="2"/>
    <n v="42"/>
    <s v="Female"/>
  </r>
  <r>
    <s v="SWG1842"/>
    <d v="2024-05-05T00:00:00"/>
    <x v="5"/>
    <s v="Sun"/>
    <s v="Q Fussion"/>
    <x v="7"/>
    <s v="Chinese"/>
    <x v="5"/>
    <s v="Veg"/>
    <n v="2"/>
    <n v="525"/>
    <n v="1050"/>
    <n v="5"/>
    <n v="58"/>
    <m/>
    <n v="0"/>
    <x v="0"/>
    <n v="38"/>
    <s v="Female"/>
  </r>
  <r>
    <s v="SWG1843"/>
    <d v="2024-02-27T00:00:00"/>
    <x v="7"/>
    <s v="Tue"/>
    <s v="Urban Aladdin"/>
    <x v="4"/>
    <s v="Tandoor, Mughlai, Chinese, Thai, Biryani, North Indian, Pizzas"/>
    <x v="1"/>
    <s v="Non-Veg"/>
    <n v="2"/>
    <n v="351"/>
    <n v="702"/>
    <n v="4.3"/>
    <n v="54"/>
    <m/>
    <n v="0"/>
    <x v="3"/>
    <n v="46"/>
    <s v="Female"/>
  </r>
  <r>
    <s v="SWG1844"/>
    <d v="2024-05-27T00:00:00"/>
    <x v="5"/>
    <s v="Mon"/>
    <s v="Sultanate Biryani By Purple Foods"/>
    <x v="22"/>
    <s v="Biryani, North Indian, Indian"/>
    <x v="2"/>
    <s v="Non-Veg"/>
    <n v="1"/>
    <n v="140"/>
    <n v="140"/>
    <m/>
    <m/>
    <n v="599"/>
    <n v="0"/>
    <x v="3"/>
    <n v="48"/>
    <s v="Male"/>
  </r>
  <r>
    <s v="SWG1845"/>
    <d v="2024-08-07T00:00:00"/>
    <x v="6"/>
    <s v="Wed"/>
    <s v="Royal Chinese Corner"/>
    <x v="29"/>
    <s v="Chinese"/>
    <x v="5"/>
    <s v="Veg"/>
    <n v="4"/>
    <n v="426"/>
    <n v="1704"/>
    <n v="3"/>
    <n v="40"/>
    <m/>
    <n v="0"/>
    <x v="3"/>
    <n v="36"/>
    <s v="Male"/>
  </r>
  <r>
    <s v="SWG1846"/>
    <d v="2024-07-18T00:00:00"/>
    <x v="4"/>
    <s v="Thu"/>
    <s v="Star Biryani"/>
    <x v="2"/>
    <s v="Biryani"/>
    <x v="2"/>
    <s v="Non-Veg"/>
    <n v="3"/>
    <n v="157"/>
    <n v="471"/>
    <m/>
    <m/>
    <m/>
    <n v="0"/>
    <x v="2"/>
    <n v="48"/>
    <s v="Female"/>
  </r>
  <r>
    <s v="SWG1847"/>
    <d v="2024-03-01T00:00:00"/>
    <x v="3"/>
    <s v="Fri"/>
    <s v="Mad Over Momos"/>
    <x v="19"/>
    <s v="Chinese"/>
    <x v="5"/>
    <s v="Veg"/>
    <n v="1"/>
    <n v="395"/>
    <n v="395"/>
    <m/>
    <m/>
    <m/>
    <n v="0"/>
    <x v="1"/>
    <n v="38"/>
    <s v="Male"/>
  </r>
  <r>
    <s v="SWG1848"/>
    <d v="2024-05-06T00:00:00"/>
    <x v="5"/>
    <s v="Mon"/>
    <s v="Marhaba"/>
    <x v="11"/>
    <s v="Chinese"/>
    <x v="5"/>
    <s v="Veg"/>
    <n v="2"/>
    <n v="276"/>
    <n v="552"/>
    <n v="4.5999999999999996"/>
    <n v="60"/>
    <m/>
    <n v="0"/>
    <x v="2"/>
    <n v="49"/>
    <s v="Male"/>
  </r>
  <r>
    <s v="SWG1849"/>
    <d v="2024-04-14T00:00:00"/>
    <x v="0"/>
    <s v="Sun"/>
    <s v="Firangi Burgers"/>
    <x v="67"/>
    <s v="Fast Food, Pizzas, Chinese, Beverages"/>
    <x v="1"/>
    <s v="Veg"/>
    <n v="4"/>
    <n v="298"/>
    <n v="1192"/>
    <m/>
    <m/>
    <m/>
    <n v="0"/>
    <x v="2"/>
    <n v="19"/>
    <s v="Female"/>
  </r>
  <r>
    <s v="SWG1850"/>
    <d v="2024-06-15T00:00:00"/>
    <x v="1"/>
    <s v="Sat"/>
    <s v="Huber And Holly"/>
    <x v="4"/>
    <s v="Ice Cream, Desserts"/>
    <x v="4"/>
    <s v="Veg"/>
    <n v="1"/>
    <n v="251"/>
    <n v="251"/>
    <n v="5"/>
    <n v="50"/>
    <m/>
    <n v="0"/>
    <x v="0"/>
    <n v="44"/>
    <s v="Male"/>
  </r>
  <r>
    <s v="SWG1851"/>
    <d v="2024-01-01T00:00:00"/>
    <x v="2"/>
    <s v="Mon"/>
    <s v="The Bihari Studio"/>
    <x v="71"/>
    <s v="Indian"/>
    <x v="5"/>
    <s v="Veg"/>
    <n v="3"/>
    <n v="430"/>
    <n v="1290"/>
    <n v="4.4000000000000004"/>
    <n v="51"/>
    <m/>
    <n v="0"/>
    <x v="0"/>
    <n v="37"/>
    <s v="Male"/>
  </r>
  <r>
    <s v="SWG1852"/>
    <d v="2024-05-10T00:00:00"/>
    <x v="5"/>
    <s v="Fri"/>
    <s v="Franco's Pizzeria"/>
    <x v="5"/>
    <s v="Pizzas, Pastas, Fast Food, Italian"/>
    <x v="1"/>
    <s v="Veg"/>
    <n v="1"/>
    <n v="574"/>
    <n v="574"/>
    <n v="4.2"/>
    <n v="40"/>
    <n v="150"/>
    <n v="30"/>
    <x v="0"/>
    <n v="27"/>
    <s v="Male"/>
  </r>
  <r>
    <s v="SWG1853"/>
    <d v="2024-07-23T00:00:00"/>
    <x v="4"/>
    <s v="Tue"/>
    <s v="Farmhouse Brass Anchor"/>
    <x v="7"/>
    <s v="Asian, Continental"/>
    <x v="5"/>
    <s v="Veg"/>
    <n v="3"/>
    <n v="467"/>
    <n v="1401"/>
    <n v="4.4000000000000004"/>
    <n v="42"/>
    <m/>
    <n v="0"/>
    <x v="1"/>
    <n v="19"/>
    <s v="Female"/>
  </r>
  <r>
    <s v="SWG1854"/>
    <d v="2024-04-01T00:00:00"/>
    <x v="0"/>
    <s v="Mon"/>
    <s v="Pednekar Kitchen"/>
    <x v="0"/>
    <s v="Seafood"/>
    <x v="5"/>
    <s v="Veg"/>
    <n v="2"/>
    <n v="147"/>
    <n v="294"/>
    <n v="3.9"/>
    <n v="49"/>
    <m/>
    <n v="0"/>
    <x v="1"/>
    <n v="19"/>
    <s v="Female"/>
  </r>
  <r>
    <s v="SWG1855"/>
    <d v="2024-07-08T00:00:00"/>
    <x v="4"/>
    <s v="Mon"/>
    <s v="The Fusion Express"/>
    <x v="16"/>
    <s v="North Indian, Chinese, Tandoor, Biryani"/>
    <x v="2"/>
    <s v="Non-Veg"/>
    <n v="4"/>
    <n v="379"/>
    <n v="1516"/>
    <n v="4.0999999999999996"/>
    <n v="50"/>
    <n v="150"/>
    <n v="30"/>
    <x v="0"/>
    <n v="45"/>
    <s v="Male"/>
  </r>
  <r>
    <s v="SWG1856"/>
    <d v="2024-07-09T00:00:00"/>
    <x v="4"/>
    <s v="Tue"/>
    <s v="Olive Garden"/>
    <x v="3"/>
    <s v="North Indian, Italian, Mexican"/>
    <x v="5"/>
    <s v="Veg"/>
    <n v="4"/>
    <n v="525"/>
    <n v="2100"/>
    <n v="3.9"/>
    <n v="40"/>
    <m/>
    <n v="0"/>
    <x v="0"/>
    <n v="41"/>
    <s v="Female"/>
  </r>
  <r>
    <s v="SWG1857"/>
    <d v="2024-04-22T00:00:00"/>
    <x v="0"/>
    <s v="Mon"/>
    <s v="Has Juice &amp; More"/>
    <x v="24"/>
    <s v="South Indian, North Indian, Chinese, Desserts"/>
    <x v="4"/>
    <s v="Veg"/>
    <n v="4"/>
    <n v="195"/>
    <n v="780"/>
    <n v="4.0999999999999996"/>
    <n v="42"/>
    <m/>
    <n v="0"/>
    <x v="1"/>
    <n v="34"/>
    <s v="Female"/>
  </r>
  <r>
    <s v="SWG1858"/>
    <d v="2024-06-01T00:00:00"/>
    <x v="1"/>
    <s v="Sat"/>
    <s v="B for Biryani"/>
    <x v="4"/>
    <s v="North Indian, Biryani, Kebabs, Chinese, Asian, Thai, Mughlai"/>
    <x v="2"/>
    <s v="Non-Veg"/>
    <n v="2"/>
    <n v="548"/>
    <n v="1096"/>
    <n v="4.3"/>
    <n v="55"/>
    <m/>
    <n v="0"/>
    <x v="3"/>
    <n v="49"/>
    <s v="Female"/>
  </r>
  <r>
    <s v="SWG1859"/>
    <d v="2024-02-25T00:00:00"/>
    <x v="7"/>
    <s v="Sun"/>
    <s v="Kwanz"/>
    <x v="2"/>
    <s v="Chinese, Indian, Biryani"/>
    <x v="2"/>
    <s v="Non-Veg"/>
    <n v="3"/>
    <n v="186"/>
    <n v="558"/>
    <n v="4.5999999999999996"/>
    <n v="25"/>
    <m/>
    <n v="0"/>
    <x v="1"/>
    <n v="33"/>
    <s v="Male"/>
  </r>
  <r>
    <s v="SWG1860"/>
    <d v="2024-06-09T00:00:00"/>
    <x v="1"/>
    <s v="Sun"/>
    <s v="Moyra Da"/>
    <x v="2"/>
    <s v="Bengali, Sweets, Snacks"/>
    <x v="5"/>
    <s v="Veg"/>
    <n v="2"/>
    <n v="461"/>
    <n v="922"/>
    <n v="2.8"/>
    <n v="17"/>
    <n v="50"/>
    <n v="20"/>
    <x v="1"/>
    <n v="33"/>
    <s v="Male"/>
  </r>
  <r>
    <s v="SWG1861"/>
    <d v="2024-06-14T00:00:00"/>
    <x v="1"/>
    <s v="Fri"/>
    <s v="Bhimji And Sons"/>
    <x v="2"/>
    <s v="Sweets"/>
    <x v="5"/>
    <s v="Veg"/>
    <n v="4"/>
    <n v="313"/>
    <n v="1252"/>
    <m/>
    <m/>
    <n v="75"/>
    <n v="30"/>
    <x v="1"/>
    <n v="31"/>
    <s v="Female"/>
  </r>
  <r>
    <s v="SWG1862"/>
    <d v="2024-04-26T00:00:00"/>
    <x v="0"/>
    <s v="Fri"/>
    <s v="Hapningzs"/>
    <x v="72"/>
    <s v="Chinese, Indian, Tandoor, Biryani"/>
    <x v="2"/>
    <s v="Non-Veg"/>
    <n v="2"/>
    <n v="591"/>
    <n v="1182"/>
    <n v="4.7"/>
    <n v="49"/>
    <m/>
    <n v="0"/>
    <x v="0"/>
    <n v="24"/>
    <s v="Male"/>
  </r>
  <r>
    <s v="SWG1863"/>
    <d v="2024-05-13T00:00:00"/>
    <x v="5"/>
    <s v="Mon"/>
    <s v="Tandoor Cafe"/>
    <x v="0"/>
    <s v="Beverages"/>
    <x v="3"/>
    <s v="Veg"/>
    <n v="2"/>
    <n v="281"/>
    <n v="562"/>
    <n v="2.7"/>
    <n v="33"/>
    <m/>
    <n v="0"/>
    <x v="3"/>
    <n v="38"/>
    <s v="Male"/>
  </r>
  <r>
    <s v="SWG1864"/>
    <d v="2024-02-27T00:00:00"/>
    <x v="7"/>
    <s v="Tue"/>
    <s v="From The Wok"/>
    <x v="2"/>
    <s v="Chinese"/>
    <x v="5"/>
    <s v="Veg"/>
    <n v="2"/>
    <n v="466"/>
    <n v="932"/>
    <n v="4.7"/>
    <n v="23"/>
    <n v="700"/>
    <n v="20"/>
    <x v="1"/>
    <n v="48"/>
    <s v="Male"/>
  </r>
  <r>
    <s v="SWG1865"/>
    <d v="2024-02-13T00:00:00"/>
    <x v="7"/>
    <s v="Tue"/>
    <s v="Little Cherry"/>
    <x v="2"/>
    <s v="Desserts"/>
    <x v="4"/>
    <s v="Veg"/>
    <n v="3"/>
    <n v="558"/>
    <n v="1674"/>
    <n v="4"/>
    <n v="23"/>
    <m/>
    <n v="0"/>
    <x v="0"/>
    <n v="28"/>
    <s v="Male"/>
  </r>
  <r>
    <s v="SWG1866"/>
    <d v="2024-06-21T00:00:00"/>
    <x v="1"/>
    <s v="Fri"/>
    <s v="Fizzy Thakur Village"/>
    <x v="2"/>
    <s v="Beverages, Desserts, Fast Food"/>
    <x v="4"/>
    <s v="Veg"/>
    <n v="1"/>
    <n v="480"/>
    <n v="480"/>
    <m/>
    <m/>
    <m/>
    <n v="0"/>
    <x v="2"/>
    <n v="41"/>
    <s v="Male"/>
  </r>
  <r>
    <s v="SWG1867"/>
    <d v="2024-06-08T00:00:00"/>
    <x v="1"/>
    <s v="Sat"/>
    <s v="Kulhad Rani"/>
    <x v="2"/>
    <s v="Beverages, Snacks, Chinese"/>
    <x v="3"/>
    <s v="Veg"/>
    <n v="1"/>
    <n v="376"/>
    <n v="376"/>
    <n v="3.9"/>
    <n v="27"/>
    <n v="200"/>
    <n v="40"/>
    <x v="2"/>
    <n v="18"/>
    <s v="Female"/>
  </r>
  <r>
    <s v="SWG1868"/>
    <d v="2024-06-21T00:00:00"/>
    <x v="1"/>
    <s v="Fri"/>
    <s v="Bottle Booth"/>
    <x v="2"/>
    <s v="Beverages"/>
    <x v="3"/>
    <s v="Veg"/>
    <n v="2"/>
    <n v="191"/>
    <n v="382"/>
    <n v="2.8"/>
    <n v="23"/>
    <m/>
    <n v="0"/>
    <x v="1"/>
    <n v="28"/>
    <s v="Male"/>
  </r>
  <r>
    <s v="SWG1869"/>
    <d v="2024-03-01T00:00:00"/>
    <x v="3"/>
    <s v="Fri"/>
    <s v="99 Waffles"/>
    <x v="27"/>
    <s v="Waffle, Desserts, Beverages"/>
    <x v="4"/>
    <s v="Veg"/>
    <n v="1"/>
    <n v="206"/>
    <n v="206"/>
    <n v="3.9"/>
    <n v="31"/>
    <n v="499"/>
    <n v="0"/>
    <x v="2"/>
    <n v="40"/>
    <s v="Male"/>
  </r>
  <r>
    <s v="SWG1870"/>
    <d v="2024-02-16T00:00:00"/>
    <x v="7"/>
    <s v="Fri"/>
    <s v="Akkad Bakkad Bombay Boom"/>
    <x v="0"/>
    <s v="Fast Food, Italian, Beverages"/>
    <x v="3"/>
    <s v="Veg"/>
    <n v="1"/>
    <n v="541"/>
    <n v="541"/>
    <n v="3.8"/>
    <n v="33"/>
    <m/>
    <n v="0"/>
    <x v="3"/>
    <n v="38"/>
    <s v="Male"/>
  </r>
  <r>
    <s v="SWG1871"/>
    <d v="2024-05-28T00:00:00"/>
    <x v="5"/>
    <s v="Tue"/>
    <s v="The Foodstagram"/>
    <x v="0"/>
    <s v="Indian, Chinese, Biryani, Beverages"/>
    <x v="2"/>
    <s v="Non-Veg"/>
    <n v="2"/>
    <n v="381"/>
    <n v="762"/>
    <n v="4.3"/>
    <n v="33"/>
    <n v="50"/>
    <n v="20"/>
    <x v="2"/>
    <n v="21"/>
    <s v="Female"/>
  </r>
  <r>
    <s v="SWG1872"/>
    <d v="2024-03-20T00:00:00"/>
    <x v="3"/>
    <s v="Wed"/>
    <s v="Dessero Cake Shop"/>
    <x v="7"/>
    <s v="Bakery, Desserts, Waffle, Beverages, Burgers"/>
    <x v="0"/>
    <s v="Veg"/>
    <n v="2"/>
    <n v="333"/>
    <n v="666"/>
    <n v="4.5"/>
    <n v="42"/>
    <m/>
    <n v="0"/>
    <x v="2"/>
    <n v="24"/>
    <s v="Female"/>
  </r>
  <r>
    <s v="SWG1873"/>
    <d v="2024-04-27T00:00:00"/>
    <x v="0"/>
    <s v="Sat"/>
    <s v="CHINA WOK"/>
    <x v="29"/>
    <s v="Chinese, North Indian"/>
    <x v="5"/>
    <s v="Veg"/>
    <n v="4"/>
    <n v="272"/>
    <n v="1088"/>
    <m/>
    <m/>
    <m/>
    <n v="0"/>
    <x v="3"/>
    <n v="43"/>
    <s v="Female"/>
  </r>
  <r>
    <s v="SWG1874"/>
    <d v="2024-07-31T00:00:00"/>
    <x v="4"/>
    <s v="Wed"/>
    <s v="Chef's Corner"/>
    <x v="19"/>
    <s v="Italian-American, Mexican, Snacks"/>
    <x v="5"/>
    <s v="Veg"/>
    <n v="1"/>
    <n v="329"/>
    <n v="329"/>
    <m/>
    <m/>
    <m/>
    <n v="0"/>
    <x v="1"/>
    <n v="32"/>
    <s v="Male"/>
  </r>
  <r>
    <s v="SWG1875"/>
    <d v="2024-07-21T00:00:00"/>
    <x v="4"/>
    <s v="Sun"/>
    <s v="Tasty Corner"/>
    <x v="2"/>
    <s v="Indian"/>
    <x v="5"/>
    <s v="Veg"/>
    <n v="3"/>
    <n v="520"/>
    <n v="1560"/>
    <m/>
    <m/>
    <m/>
    <n v="0"/>
    <x v="1"/>
    <n v="35"/>
    <s v="Female"/>
  </r>
  <r>
    <s v="SWG1876"/>
    <d v="2024-08-16T00:00:00"/>
    <x v="6"/>
    <s v="Fri"/>
    <s v="Effingut"/>
    <x v="4"/>
    <s v="Continental, Italian"/>
    <x v="5"/>
    <s v="Veg"/>
    <n v="2"/>
    <n v="180"/>
    <n v="360"/>
    <m/>
    <m/>
    <m/>
    <n v="0"/>
    <x v="3"/>
    <n v="29"/>
    <s v="Female"/>
  </r>
  <r>
    <s v="SWG1877"/>
    <d v="2024-06-12T00:00:00"/>
    <x v="1"/>
    <s v="Wed"/>
    <s v="Swad deshi mataka"/>
    <x v="8"/>
    <s v="Biryani, Indian"/>
    <x v="2"/>
    <s v="Non-Veg"/>
    <n v="4"/>
    <n v="387"/>
    <n v="1548"/>
    <n v="4.5"/>
    <n v="45"/>
    <m/>
    <n v="0"/>
    <x v="3"/>
    <n v="48"/>
    <s v="Female"/>
  </r>
  <r>
    <s v="SWG1878"/>
    <d v="2024-08-14T00:00:00"/>
    <x v="6"/>
    <s v="Wed"/>
    <s v="Crave Kitchen"/>
    <x v="2"/>
    <s v="Burgers, Beverages, Snacks"/>
    <x v="0"/>
    <s v="Veg"/>
    <n v="3"/>
    <n v="381"/>
    <n v="1143"/>
    <m/>
    <m/>
    <m/>
    <n v="0"/>
    <x v="3"/>
    <n v="34"/>
    <s v="Female"/>
  </r>
  <r>
    <s v="SWG1879"/>
    <d v="2024-05-26T00:00:00"/>
    <x v="5"/>
    <s v="Sun"/>
    <s v="Boba And Mocha"/>
    <x v="2"/>
    <s v="Beverages"/>
    <x v="3"/>
    <s v="Veg"/>
    <n v="1"/>
    <n v="337"/>
    <n v="337"/>
    <n v="4.8"/>
    <n v="15"/>
    <m/>
    <n v="0"/>
    <x v="2"/>
    <n v="18"/>
    <s v="Male"/>
  </r>
  <r>
    <s v="SWG1880"/>
    <d v="2024-01-20T00:00:00"/>
    <x v="2"/>
    <s v="Sat"/>
    <s v="Dharma's sandwich - Thakur Village"/>
    <x v="0"/>
    <s v="Pizzas, North Indian, Grill, Beverages"/>
    <x v="1"/>
    <s v="Veg"/>
    <n v="4"/>
    <n v="402"/>
    <n v="1608"/>
    <n v="4.0999999999999996"/>
    <n v="31"/>
    <n v="50"/>
    <n v="20"/>
    <x v="3"/>
    <n v="28"/>
    <s v="Female"/>
  </r>
  <r>
    <s v="SWG1881"/>
    <d v="2024-07-03T00:00:00"/>
    <x v="4"/>
    <s v="Wed"/>
    <s v="Subhash Pan Bhandar And Coldrinks"/>
    <x v="2"/>
    <s v="Paan"/>
    <x v="5"/>
    <s v="Veg"/>
    <n v="2"/>
    <n v="255"/>
    <n v="510"/>
    <n v="4.5"/>
    <n v="21"/>
    <n v="749"/>
    <n v="0"/>
    <x v="0"/>
    <n v="45"/>
    <s v="Female"/>
  </r>
  <r>
    <s v="SWG1882"/>
    <d v="2024-05-25T00:00:00"/>
    <x v="5"/>
    <s v="Sat"/>
    <s v="Santushti Shakes And More"/>
    <x v="2"/>
    <s v="Desserts, Waffle, Ice Cream"/>
    <x v="4"/>
    <s v="Veg"/>
    <n v="3"/>
    <n v="586"/>
    <n v="1758"/>
    <n v="4.5"/>
    <n v="19"/>
    <m/>
    <n v="0"/>
    <x v="2"/>
    <n v="49"/>
    <s v="Male"/>
  </r>
  <r>
    <s v="SWG1883"/>
    <d v="2024-02-16T00:00:00"/>
    <x v="7"/>
    <s v="Fri"/>
    <s v="Spicy Dajiba"/>
    <x v="73"/>
    <s v="Indian, Snacks, Beverages"/>
    <x v="3"/>
    <s v="Veg"/>
    <n v="2"/>
    <n v="499"/>
    <n v="998"/>
    <m/>
    <m/>
    <n v="50"/>
    <n v="20"/>
    <x v="1"/>
    <n v="18"/>
    <s v="Male"/>
  </r>
  <r>
    <s v="SWG1884"/>
    <d v="2024-08-20T00:00:00"/>
    <x v="6"/>
    <s v="Tue"/>
    <s v="Shahi Caterers"/>
    <x v="7"/>
    <s v="Biryani, Indian"/>
    <x v="2"/>
    <s v="Non-Veg"/>
    <n v="1"/>
    <n v="481"/>
    <n v="481"/>
    <n v="3.9"/>
    <n v="31"/>
    <m/>
    <n v="0"/>
    <x v="1"/>
    <n v="32"/>
    <s v="Female"/>
  </r>
  <r>
    <s v="SWG1885"/>
    <d v="2024-02-18T00:00:00"/>
    <x v="7"/>
    <s v="Sun"/>
    <s v="Janta Farsan And Sweets"/>
    <x v="22"/>
    <s v="Sweets, Snacks, Indian"/>
    <x v="5"/>
    <s v="Veg"/>
    <n v="3"/>
    <n v="568"/>
    <n v="1704"/>
    <n v="4.4000000000000004"/>
    <n v="34"/>
    <m/>
    <n v="0"/>
    <x v="1"/>
    <n v="45"/>
    <s v="Male"/>
  </r>
  <r>
    <s v="SWG1886"/>
    <d v="2024-01-14T00:00:00"/>
    <x v="2"/>
    <s v="Sun"/>
    <s v="Surti Egg Point"/>
    <x v="7"/>
    <s v="Indian"/>
    <x v="5"/>
    <s v="Veg"/>
    <n v="1"/>
    <n v="560"/>
    <n v="560"/>
    <n v="3.9"/>
    <n v="34"/>
    <m/>
    <n v="0"/>
    <x v="2"/>
    <n v="38"/>
    <s v="Female"/>
  </r>
  <r>
    <s v="SWG1887"/>
    <d v="2024-05-22T00:00:00"/>
    <x v="5"/>
    <s v="Wed"/>
    <s v="MH11 Assal Missal"/>
    <x v="29"/>
    <s v="Street Food, Maharashtrian, Indian"/>
    <x v="5"/>
    <s v="Veg"/>
    <n v="1"/>
    <n v="212"/>
    <n v="212"/>
    <n v="4.0999999999999996"/>
    <n v="30"/>
    <n v="120"/>
    <n v="20"/>
    <x v="0"/>
    <n v="27"/>
    <s v="Male"/>
  </r>
  <r>
    <s v="SWG1888"/>
    <d v="2024-06-07T00:00:00"/>
    <x v="1"/>
    <s v="Fri"/>
    <s v="Momos Canteen"/>
    <x v="74"/>
    <s v="Chinese, Tibetan"/>
    <x v="5"/>
    <s v="Veg"/>
    <n v="4"/>
    <n v="228"/>
    <n v="912"/>
    <n v="5"/>
    <n v="38"/>
    <m/>
    <n v="0"/>
    <x v="3"/>
    <n v="24"/>
    <s v="Male"/>
  </r>
  <r>
    <s v="SWG1889"/>
    <d v="2024-01-01T00:00:00"/>
    <x v="2"/>
    <s v="Mon"/>
    <s v="Nuvola Gelato"/>
    <x v="75"/>
    <s v="Ice Cream"/>
    <x v="5"/>
    <s v="Veg"/>
    <n v="2"/>
    <n v="360"/>
    <n v="720"/>
    <n v="4.5999999999999996"/>
    <n v="14"/>
    <m/>
    <n v="0"/>
    <x v="3"/>
    <n v="19"/>
    <s v="Female"/>
  </r>
  <r>
    <s v="SWG1890"/>
    <d v="2024-04-26T00:00:00"/>
    <x v="0"/>
    <s v="Fri"/>
    <s v="Western Tadka"/>
    <x v="3"/>
    <s v="Italian, North Indian, South Indian, Beverages, Snacks, American, Chinese, Salads, Rajasthani, Tandoor, Lebanese, Hyderabadi, Kebabs, Juices, Biryani"/>
    <x v="2"/>
    <s v="Non-Veg"/>
    <n v="3"/>
    <n v="474"/>
    <n v="1422"/>
    <n v="3.8"/>
    <n v="39"/>
    <n v="175"/>
    <n v="35"/>
    <x v="1"/>
    <n v="27"/>
    <s v="Male"/>
  </r>
  <r>
    <s v="SWG1891"/>
    <d v="2024-02-23T00:00:00"/>
    <x v="7"/>
    <s v="Fri"/>
    <s v="Kanha Sweets Snacks And Dryfruit"/>
    <x v="7"/>
    <s v="Snacks, Chaat, Sweets, Beverages, Desserts"/>
    <x v="4"/>
    <s v="Veg"/>
    <n v="1"/>
    <n v="543"/>
    <n v="543"/>
    <n v="3.7"/>
    <n v="34"/>
    <m/>
    <n v="0"/>
    <x v="1"/>
    <n v="41"/>
    <s v="Female"/>
  </r>
  <r>
    <s v="SWG1892"/>
    <d v="2024-04-27T00:00:00"/>
    <x v="0"/>
    <s v="Sat"/>
    <s v="Momo Guy"/>
    <x v="7"/>
    <s v="Chinese, Fast Food, Beverages"/>
    <x v="3"/>
    <s v="Veg"/>
    <n v="1"/>
    <n v="261"/>
    <n v="261"/>
    <n v="3.7"/>
    <n v="46"/>
    <n v="449"/>
    <n v="0"/>
    <x v="2"/>
    <n v="21"/>
    <s v="Male"/>
  </r>
  <r>
    <s v="SWG1893"/>
    <d v="2024-01-03T00:00:00"/>
    <x v="2"/>
    <s v="Wed"/>
    <s v="# Vegan"/>
    <x v="7"/>
    <s v="North Indian, Chinese"/>
    <x v="5"/>
    <s v="Veg"/>
    <n v="3"/>
    <n v="410"/>
    <n v="1230"/>
    <n v="4.7"/>
    <n v="46"/>
    <n v="449"/>
    <n v="0"/>
    <x v="0"/>
    <n v="29"/>
    <s v="Female"/>
  </r>
  <r>
    <s v="SWG1894"/>
    <d v="2024-05-23T00:00:00"/>
    <x v="5"/>
    <s v="Thu"/>
    <s v="Bhau Cha Dhakka"/>
    <x v="41"/>
    <s v="Indian, Chinese, North Indian"/>
    <x v="5"/>
    <s v="Veg"/>
    <n v="1"/>
    <n v="551"/>
    <n v="551"/>
    <n v="3.8"/>
    <n v="50"/>
    <m/>
    <n v="0"/>
    <x v="3"/>
    <n v="36"/>
    <s v="Male"/>
  </r>
  <r>
    <s v="SWG1895"/>
    <d v="2024-08-02T00:00:00"/>
    <x v="6"/>
    <s v="Fri"/>
    <s v="Viola Patisserie"/>
    <x v="76"/>
    <s v="Desserts"/>
    <x v="4"/>
    <s v="Veg"/>
    <n v="4"/>
    <n v="356"/>
    <n v="1424"/>
    <n v="5"/>
    <n v="50"/>
    <m/>
    <n v="0"/>
    <x v="2"/>
    <n v="43"/>
    <s v="Male"/>
  </r>
  <r>
    <s v="SWG1896"/>
    <d v="2024-07-03T00:00:00"/>
    <x v="4"/>
    <s v="Wed"/>
    <s v="My Little Cafe"/>
    <x v="19"/>
    <s v="Cafe, Pizzas"/>
    <x v="1"/>
    <s v="Veg"/>
    <n v="4"/>
    <n v="459"/>
    <n v="1836"/>
    <n v="4"/>
    <n v="53"/>
    <m/>
    <n v="0"/>
    <x v="3"/>
    <n v="28"/>
    <s v="Male"/>
  </r>
  <r>
    <s v="SWG1897"/>
    <d v="2024-07-21T00:00:00"/>
    <x v="4"/>
    <s v="Sun"/>
    <s v="Hotel sekar"/>
    <x v="7"/>
    <s v="South Indian"/>
    <x v="5"/>
    <s v="Veg"/>
    <n v="4"/>
    <n v="431"/>
    <n v="1724"/>
    <n v="4.8"/>
    <n v="45"/>
    <m/>
    <n v="0"/>
    <x v="1"/>
    <n v="25"/>
    <s v="Male"/>
  </r>
  <r>
    <s v="SWG1898"/>
    <d v="2024-01-12T00:00:00"/>
    <x v="2"/>
    <s v="Fri"/>
    <s v="Sultans Deli"/>
    <x v="4"/>
    <s v="Arabian, Lebanese"/>
    <x v="5"/>
    <s v="Veg"/>
    <n v="4"/>
    <n v="296"/>
    <n v="1184"/>
    <n v="4.3"/>
    <n v="57"/>
    <n v="100"/>
    <n v="20"/>
    <x v="3"/>
    <n v="35"/>
    <s v="Male"/>
  </r>
  <r>
    <s v="SWG1899"/>
    <d v="2024-03-14T00:00:00"/>
    <x v="3"/>
    <s v="Thu"/>
    <s v="MexiChino"/>
    <x v="3"/>
    <s v="Mexican, Chinese"/>
    <x v="5"/>
    <s v="Veg"/>
    <n v="1"/>
    <n v="260"/>
    <n v="260"/>
    <n v="4.4000000000000004"/>
    <n v="41"/>
    <m/>
    <n v="0"/>
    <x v="0"/>
    <n v="28"/>
    <s v="Female"/>
  </r>
  <r>
    <s v="SWG1900"/>
    <d v="2024-08-11T00:00:00"/>
    <x v="6"/>
    <s v="Sun"/>
    <s v="RTC 2 - Rolls and Chicken Grills"/>
    <x v="41"/>
    <s v="Snacks, Fast Food, North Indian, Street Food"/>
    <x v="5"/>
    <s v="Veg"/>
    <n v="3"/>
    <n v="308"/>
    <n v="924"/>
    <n v="4.0999999999999996"/>
    <n v="45"/>
    <n v="449"/>
    <n v="0"/>
    <x v="0"/>
    <n v="28"/>
    <s v="Male"/>
  </r>
  <r>
    <s v="SWG1901"/>
    <d v="2024-01-16T00:00:00"/>
    <x v="2"/>
    <s v="Tue"/>
    <s v="Soda Frankie Hub"/>
    <x v="11"/>
    <s v="Indian, Fast Food"/>
    <x v="5"/>
    <s v="Veg"/>
    <n v="3"/>
    <n v="168"/>
    <n v="504"/>
    <n v="4.0999999999999996"/>
    <n v="49"/>
    <m/>
    <n v="0"/>
    <x v="1"/>
    <n v="30"/>
    <s v="Female"/>
  </r>
  <r>
    <s v="SWG1902"/>
    <d v="2024-07-18T00:00:00"/>
    <x v="4"/>
    <s v="Thu"/>
    <s v="SHEIK'S Shawarma"/>
    <x v="19"/>
    <s v="Lebanese, Mediterranean, Arabian, Middle Eastern, Beverages, Desserts, Bakery, Jain"/>
    <x v="4"/>
    <s v="Veg"/>
    <n v="3"/>
    <n v="421"/>
    <n v="1263"/>
    <n v="4.3"/>
    <n v="47"/>
    <n v="449"/>
    <n v="0"/>
    <x v="0"/>
    <n v="20"/>
    <s v="Female"/>
  </r>
  <r>
    <s v="SWG1903"/>
    <d v="2024-04-11T00:00:00"/>
    <x v="0"/>
    <s v="Thu"/>
    <s v="Mastee"/>
    <x v="3"/>
    <s v="Italian, Continental"/>
    <x v="5"/>
    <s v="Veg"/>
    <n v="3"/>
    <n v="488"/>
    <n v="1464"/>
    <n v="4"/>
    <n v="53"/>
    <m/>
    <n v="0"/>
    <x v="0"/>
    <n v="29"/>
    <s v="Female"/>
  </r>
  <r>
    <s v="SWG1904"/>
    <d v="2024-07-22T00:00:00"/>
    <x v="4"/>
    <s v="Mon"/>
    <s v="The Veg Treat Legacy"/>
    <x v="7"/>
    <s v="Chinese, South Indian, Biryani, Indian"/>
    <x v="2"/>
    <s v="Non-Veg"/>
    <n v="2"/>
    <n v="309"/>
    <n v="618"/>
    <n v="4.4000000000000004"/>
    <n v="40"/>
    <n v="600"/>
    <n v="10"/>
    <x v="2"/>
    <n v="20"/>
    <s v="Male"/>
  </r>
  <r>
    <s v="SWG1905"/>
    <d v="2024-05-31T00:00:00"/>
    <x v="5"/>
    <s v="Fri"/>
    <s v="The China Kitchen"/>
    <x v="19"/>
    <s v="Chinese, Indian"/>
    <x v="5"/>
    <s v="Veg"/>
    <n v="3"/>
    <n v="255"/>
    <n v="765"/>
    <m/>
    <m/>
    <m/>
    <n v="0"/>
    <x v="3"/>
    <n v="27"/>
    <s v="Female"/>
  </r>
  <r>
    <s v="SWG1906"/>
    <d v="2024-06-04T00:00:00"/>
    <x v="1"/>
    <s v="Tue"/>
    <s v="Monopoly Restaurant &amp; Juice House"/>
    <x v="4"/>
    <s v="Continental, Beverages"/>
    <x v="3"/>
    <s v="Veg"/>
    <n v="2"/>
    <n v="162"/>
    <n v="324"/>
    <n v="3.7"/>
    <n v="51"/>
    <m/>
    <n v="0"/>
    <x v="1"/>
    <n v="44"/>
    <s v="Male"/>
  </r>
  <r>
    <s v="SWG1907"/>
    <d v="2024-04-26T00:00:00"/>
    <x v="0"/>
    <s v="Fri"/>
    <s v="Laxmi Vilas"/>
    <x v="77"/>
    <s v="North Indian, Chinese, Seafood"/>
    <x v="5"/>
    <s v="Veg"/>
    <n v="2"/>
    <n v="523"/>
    <n v="1046"/>
    <n v="4.3"/>
    <n v="49"/>
    <n v="100"/>
    <n v="15"/>
    <x v="1"/>
    <n v="34"/>
    <s v="Female"/>
  </r>
  <r>
    <s v="SWG1908"/>
    <d v="2024-01-08T00:00:00"/>
    <x v="2"/>
    <s v="Mon"/>
    <s v="Pritam Fast Food"/>
    <x v="19"/>
    <s v="Chinese, Beverages, South Indian, Indian, Fast Food"/>
    <x v="3"/>
    <s v="Veg"/>
    <n v="4"/>
    <n v="499"/>
    <n v="1996"/>
    <n v="4.2"/>
    <n v="44"/>
    <m/>
    <n v="0"/>
    <x v="1"/>
    <n v="39"/>
    <s v="Female"/>
  </r>
  <r>
    <s v="SWG1909"/>
    <d v="2024-05-01T00:00:00"/>
    <x v="5"/>
    <s v="Wed"/>
    <s v="Smoothie Bar Inc"/>
    <x v="4"/>
    <s v="Juices, Beverages"/>
    <x v="3"/>
    <s v="Veg"/>
    <n v="2"/>
    <n v="472"/>
    <n v="944"/>
    <n v="4.0999999999999996"/>
    <n v="50"/>
    <n v="499"/>
    <n v="0"/>
    <x v="1"/>
    <n v="19"/>
    <s v="Female"/>
  </r>
  <r>
    <s v="SWG1910"/>
    <d v="2024-04-01T00:00:00"/>
    <x v="0"/>
    <s v="Mon"/>
    <s v="Bombay Cycle Cafe"/>
    <x v="7"/>
    <s v="Pizzas"/>
    <x v="1"/>
    <s v="Veg"/>
    <n v="1"/>
    <n v="209"/>
    <n v="209"/>
    <n v="4.4000000000000004"/>
    <n v="45"/>
    <n v="125"/>
    <n v="25"/>
    <x v="1"/>
    <n v="34"/>
    <s v="Female"/>
  </r>
  <r>
    <s v="SWG1911"/>
    <d v="2024-06-12T00:00:00"/>
    <x v="1"/>
    <s v="Wed"/>
    <s v="White House Cafe"/>
    <x v="7"/>
    <s v="Italian, Beverages"/>
    <x v="3"/>
    <s v="Veg"/>
    <n v="2"/>
    <n v="414"/>
    <n v="828"/>
    <n v="4.0999999999999996"/>
    <n v="58"/>
    <n v="999"/>
    <n v="0"/>
    <x v="0"/>
    <n v="33"/>
    <s v="Female"/>
  </r>
  <r>
    <s v="SWG1912"/>
    <d v="2024-03-30T00:00:00"/>
    <x v="3"/>
    <s v="Sat"/>
    <s v="Shuddhi"/>
    <x v="4"/>
    <s v="North Indian, Chinese"/>
    <x v="5"/>
    <s v="Veg"/>
    <n v="4"/>
    <n v="460"/>
    <n v="1840"/>
    <n v="4.4000000000000004"/>
    <n v="61"/>
    <m/>
    <n v="0"/>
    <x v="2"/>
    <n v="19"/>
    <s v="Male"/>
  </r>
  <r>
    <s v="SWG1913"/>
    <d v="2024-05-15T00:00:00"/>
    <x v="5"/>
    <s v="Wed"/>
    <s v="Muchhad Paanwala"/>
    <x v="3"/>
    <s v="Paan"/>
    <x v="5"/>
    <s v="Veg"/>
    <n v="2"/>
    <n v="364"/>
    <n v="728"/>
    <n v="4.5"/>
    <n v="44"/>
    <m/>
    <n v="0"/>
    <x v="1"/>
    <n v="45"/>
    <s v="Female"/>
  </r>
  <r>
    <s v="SWG1914"/>
    <d v="2024-07-04T00:00:00"/>
    <x v="4"/>
    <s v="Thu"/>
    <s v="Parathas And Meals"/>
    <x v="78"/>
    <s v="Indian"/>
    <x v="5"/>
    <s v="Veg"/>
    <n v="1"/>
    <n v="552"/>
    <n v="552"/>
    <n v="4.5999999999999996"/>
    <n v="58"/>
    <m/>
    <n v="0"/>
    <x v="2"/>
    <n v="39"/>
    <s v="Female"/>
  </r>
  <r>
    <s v="SWG1915"/>
    <d v="2024-02-29T00:00:00"/>
    <x v="7"/>
    <s v="Thu"/>
    <s v="Bangalore Iyyangars Bakery"/>
    <x v="11"/>
    <s v="Bakery"/>
    <x v="5"/>
    <s v="Veg"/>
    <n v="1"/>
    <n v="311"/>
    <n v="311"/>
    <n v="4.4000000000000004"/>
    <n v="45"/>
    <m/>
    <n v="0"/>
    <x v="2"/>
    <n v="47"/>
    <s v="Male"/>
  </r>
  <r>
    <s v="SWG1916"/>
    <d v="2024-06-26T00:00:00"/>
    <x v="1"/>
    <s v="Wed"/>
    <s v="Suriya's Kitchen"/>
    <x v="7"/>
    <s v="Thai, Chinese, Asian"/>
    <x v="5"/>
    <s v="Veg"/>
    <n v="1"/>
    <n v="437"/>
    <n v="437"/>
    <n v="4.3"/>
    <n v="53"/>
    <n v="749"/>
    <n v="0"/>
    <x v="0"/>
    <n v="37"/>
    <s v="Male"/>
  </r>
  <r>
    <s v="SWG1917"/>
    <d v="2024-01-28T00:00:00"/>
    <x v="2"/>
    <s v="Sun"/>
    <s v="The Hangout Burger Hub"/>
    <x v="4"/>
    <s v="Fast Food, Snacks, American"/>
    <x v="5"/>
    <s v="Veg"/>
    <n v="4"/>
    <n v="225"/>
    <n v="900"/>
    <n v="4.5"/>
    <n v="57"/>
    <m/>
    <n v="0"/>
    <x v="1"/>
    <n v="23"/>
    <s v="Male"/>
  </r>
  <r>
    <s v="SWG1918"/>
    <d v="2024-08-07T00:00:00"/>
    <x v="6"/>
    <s v="Wed"/>
    <s v="The Grove Kitchen And Bar"/>
    <x v="29"/>
    <s v="Indian"/>
    <x v="5"/>
    <s v="Veg"/>
    <n v="4"/>
    <n v="482"/>
    <n v="1928"/>
    <n v="4"/>
    <n v="49"/>
    <n v="150"/>
    <n v="30"/>
    <x v="0"/>
    <n v="45"/>
    <s v="Female"/>
  </r>
  <r>
    <s v="SWG1919"/>
    <d v="2024-04-10T00:00:00"/>
    <x v="0"/>
    <s v="Wed"/>
    <s v="SHREE SEVA FOODS"/>
    <x v="7"/>
    <s v="Bakery, Desserts, Snacks"/>
    <x v="4"/>
    <s v="Veg"/>
    <n v="3"/>
    <n v="429"/>
    <n v="1287"/>
    <m/>
    <m/>
    <m/>
    <n v="0"/>
    <x v="1"/>
    <n v="42"/>
    <s v="Female"/>
  </r>
  <r>
    <s v="SWG1920"/>
    <d v="2024-02-10T00:00:00"/>
    <x v="7"/>
    <s v="Sat"/>
    <s v="Aaradhya Family Chinese Corner"/>
    <x v="3"/>
    <s v="Chinese"/>
    <x v="5"/>
    <s v="Veg"/>
    <n v="4"/>
    <n v="501"/>
    <n v="2004"/>
    <n v="3.9"/>
    <n v="47"/>
    <m/>
    <n v="0"/>
    <x v="0"/>
    <n v="49"/>
    <s v="Female"/>
  </r>
  <r>
    <s v="SWG1921"/>
    <d v="2024-08-15T00:00:00"/>
    <x v="6"/>
    <s v="Thu"/>
    <s v="Sam Snacks"/>
    <x v="22"/>
    <s v="Indian, South Indian"/>
    <x v="5"/>
    <s v="Veg"/>
    <n v="1"/>
    <n v="352"/>
    <n v="352"/>
    <n v="4.5999999999999996"/>
    <n v="60"/>
    <m/>
    <n v="0"/>
    <x v="2"/>
    <n v="46"/>
    <s v="Female"/>
  </r>
  <r>
    <s v="SWG1922"/>
    <d v="2024-07-10T00:00:00"/>
    <x v="4"/>
    <s v="Wed"/>
    <s v="Bollywood Burger &amp; Waffles CO"/>
    <x v="41"/>
    <s v="Indian"/>
    <x v="5"/>
    <s v="Veg"/>
    <n v="1"/>
    <n v="384"/>
    <n v="384"/>
    <n v="3.9"/>
    <n v="45"/>
    <n v="449"/>
    <n v="0"/>
    <x v="1"/>
    <n v="27"/>
    <s v="Female"/>
  </r>
  <r>
    <s v="SWG1923"/>
    <d v="2024-06-03T00:00:00"/>
    <x v="1"/>
    <s v="Mon"/>
    <s v="Sweet Touch By Landmark"/>
    <x v="11"/>
    <s v="Desserts, Sweets"/>
    <x v="4"/>
    <s v="Veg"/>
    <n v="4"/>
    <n v="463"/>
    <n v="1852"/>
    <n v="3.7"/>
    <n v="59"/>
    <n v="599"/>
    <n v="0"/>
    <x v="3"/>
    <n v="45"/>
    <s v="Female"/>
  </r>
  <r>
    <s v="SWG1924"/>
    <d v="2024-07-09T00:00:00"/>
    <x v="4"/>
    <s v="Tue"/>
    <s v="Moktu"/>
    <x v="11"/>
    <s v="Chinese"/>
    <x v="5"/>
    <s v="Veg"/>
    <n v="2"/>
    <n v="156"/>
    <n v="312"/>
    <n v="4.7"/>
    <n v="56"/>
    <m/>
    <n v="0"/>
    <x v="2"/>
    <n v="27"/>
    <s v="Male"/>
  </r>
  <r>
    <s v="SWG1925"/>
    <d v="2024-05-24T00:00:00"/>
    <x v="5"/>
    <s v="Fri"/>
    <s v="Natural juice center"/>
    <x v="11"/>
    <s v="Beverages, Ice Cream"/>
    <x v="3"/>
    <s v="Veg"/>
    <n v="4"/>
    <n v="424"/>
    <n v="1696"/>
    <n v="2.9"/>
    <n v="46"/>
    <m/>
    <n v="0"/>
    <x v="3"/>
    <n v="25"/>
    <s v="Male"/>
  </r>
  <r>
    <s v="SWG1926"/>
    <d v="2024-07-19T00:00:00"/>
    <x v="4"/>
    <s v="Fri"/>
    <s v="The Boat Club"/>
    <x v="6"/>
    <s v="Indian, Thai"/>
    <x v="5"/>
    <s v="Veg"/>
    <n v="4"/>
    <n v="160"/>
    <n v="640"/>
    <n v="4.3"/>
    <n v="53"/>
    <m/>
    <n v="0"/>
    <x v="2"/>
    <n v="18"/>
    <s v="Female"/>
  </r>
  <r>
    <s v="SWG1927"/>
    <d v="2024-06-09T00:00:00"/>
    <x v="1"/>
    <s v="Sun"/>
    <s v="Masala Mastee"/>
    <x v="3"/>
    <s v="Maharashtrian, North Indian, Chinese, Fast Food"/>
    <x v="5"/>
    <s v="Veg"/>
    <n v="1"/>
    <n v="136"/>
    <n v="136"/>
    <n v="4.5999999999999996"/>
    <n v="50"/>
    <m/>
    <n v="0"/>
    <x v="0"/>
    <n v="30"/>
    <s v="Female"/>
  </r>
  <r>
    <s v="SWG1928"/>
    <d v="2024-07-30T00:00:00"/>
    <x v="4"/>
    <s v="Tue"/>
    <s v="Hotel Navbharat"/>
    <x v="22"/>
    <s v="Chinese, Indian, Beverages"/>
    <x v="3"/>
    <s v="Veg"/>
    <n v="3"/>
    <n v="463"/>
    <n v="1389"/>
    <n v="4.3"/>
    <n v="45"/>
    <m/>
    <n v="0"/>
    <x v="1"/>
    <n v="41"/>
    <s v="Female"/>
  </r>
  <r>
    <s v="SWG1929"/>
    <d v="2024-07-23T00:00:00"/>
    <x v="4"/>
    <s v="Tue"/>
    <s v="Coastal Food and Spirits"/>
    <x v="4"/>
    <s v="Indian, Chinese"/>
    <x v="5"/>
    <s v="Veg"/>
    <n v="1"/>
    <n v="396"/>
    <n v="396"/>
    <n v="4.4000000000000004"/>
    <n v="63"/>
    <m/>
    <n v="0"/>
    <x v="2"/>
    <n v="26"/>
    <s v="Female"/>
  </r>
  <r>
    <s v="SWG1930"/>
    <d v="2024-08-07T00:00:00"/>
    <x v="6"/>
    <s v="Wed"/>
    <s v="Hotel Lotus Court"/>
    <x v="29"/>
    <s v="Indian, Chinese"/>
    <x v="5"/>
    <s v="Veg"/>
    <n v="3"/>
    <n v="426"/>
    <n v="1278"/>
    <n v="4.3"/>
    <n v="54"/>
    <m/>
    <n v="0"/>
    <x v="0"/>
    <n v="39"/>
    <s v="Female"/>
  </r>
  <r>
    <s v="SWG1931"/>
    <d v="2024-08-27T00:00:00"/>
    <x v="6"/>
    <s v="Tue"/>
    <s v="SoonLi Chinese Restaurant"/>
    <x v="4"/>
    <s v="Chinese"/>
    <x v="5"/>
    <s v="Veg"/>
    <n v="1"/>
    <n v="178"/>
    <n v="178"/>
    <n v="4.4000000000000004"/>
    <n v="60"/>
    <m/>
    <n v="0"/>
    <x v="1"/>
    <n v="27"/>
    <s v="Male"/>
  </r>
  <r>
    <s v="SWG1932"/>
    <d v="2024-06-05T00:00:00"/>
    <x v="1"/>
    <s v="Wed"/>
    <s v="Raju's Asian Corner"/>
    <x v="7"/>
    <s v="Indian, Chinese, Tandoor"/>
    <x v="5"/>
    <s v="Veg"/>
    <n v="4"/>
    <n v="542"/>
    <n v="2168"/>
    <n v="4.0999999999999996"/>
    <n v="41"/>
    <n v="449"/>
    <n v="0"/>
    <x v="1"/>
    <n v="32"/>
    <s v="Male"/>
  </r>
  <r>
    <s v="SWG1933"/>
    <d v="2024-05-20T00:00:00"/>
    <x v="5"/>
    <s v="Mon"/>
    <s v="Maratha Biryani Center"/>
    <x v="19"/>
    <s v="Biryani, Chinese, Mughlai, North Indian, Tandoor"/>
    <x v="2"/>
    <s v="Non-Veg"/>
    <n v="1"/>
    <n v="302"/>
    <n v="302"/>
    <n v="4"/>
    <n v="48"/>
    <m/>
    <n v="0"/>
    <x v="2"/>
    <n v="22"/>
    <s v="Female"/>
  </r>
  <r>
    <s v="SWG1934"/>
    <d v="2024-02-15T00:00:00"/>
    <x v="7"/>
    <s v="Thu"/>
    <s v="Flag's Iii"/>
    <x v="7"/>
    <s v="Indian, Continental, Chinese, Italian"/>
    <x v="5"/>
    <s v="Veg"/>
    <n v="1"/>
    <n v="160"/>
    <n v="160"/>
    <n v="3.8"/>
    <n v="49"/>
    <n v="1300"/>
    <n v="10"/>
    <x v="1"/>
    <n v="39"/>
    <s v="Male"/>
  </r>
  <r>
    <s v="SWG1935"/>
    <d v="2024-02-04T00:00:00"/>
    <x v="7"/>
    <s v="Sun"/>
    <s v="Aai Krupa Fast Food"/>
    <x v="7"/>
    <s v="Snacks"/>
    <x v="5"/>
    <s v="Veg"/>
    <n v="1"/>
    <n v="158"/>
    <n v="158"/>
    <n v="3.8"/>
    <n v="42"/>
    <m/>
    <n v="0"/>
    <x v="2"/>
    <n v="33"/>
    <s v="Female"/>
  </r>
  <r>
    <s v="SWG1936"/>
    <d v="2024-05-13T00:00:00"/>
    <x v="5"/>
    <s v="Mon"/>
    <s v="Ashoka Restaurant &amp; Bar"/>
    <x v="4"/>
    <s v="Indian"/>
    <x v="5"/>
    <s v="Veg"/>
    <n v="4"/>
    <n v="516"/>
    <n v="2064"/>
    <n v="4.3"/>
    <n v="51"/>
    <m/>
    <n v="0"/>
    <x v="1"/>
    <n v="30"/>
    <s v="Female"/>
  </r>
  <r>
    <s v="SWG1937"/>
    <d v="2024-03-22T00:00:00"/>
    <x v="3"/>
    <s v="Fri"/>
    <s v="Mizuna The Oriental Place"/>
    <x v="5"/>
    <s v="Chinese, Fast Food, Snacks, Asian"/>
    <x v="5"/>
    <s v="Veg"/>
    <n v="4"/>
    <n v="311"/>
    <n v="1244"/>
    <n v="4.3"/>
    <n v="60"/>
    <n v="150"/>
    <n v="30"/>
    <x v="3"/>
    <n v="39"/>
    <s v="Female"/>
  </r>
  <r>
    <s v="SWG1938"/>
    <d v="2024-04-24T00:00:00"/>
    <x v="0"/>
    <s v="Wed"/>
    <s v="Jaya's Kitchen"/>
    <x v="11"/>
    <s v="Chinese, Indian"/>
    <x v="5"/>
    <s v="Veg"/>
    <n v="4"/>
    <n v="386"/>
    <n v="1544"/>
    <n v="3.9"/>
    <n v="49"/>
    <m/>
    <n v="0"/>
    <x v="0"/>
    <n v="42"/>
    <s v="Male"/>
  </r>
  <r>
    <s v="SWG1939"/>
    <d v="2024-07-15T00:00:00"/>
    <x v="4"/>
    <s v="Mon"/>
    <s v="Crazy Cakes"/>
    <x v="0"/>
    <s v="Desserts, Bakery"/>
    <x v="4"/>
    <s v="Veg"/>
    <n v="4"/>
    <n v="266"/>
    <n v="1064"/>
    <m/>
    <m/>
    <n v="159"/>
    <n v="10"/>
    <x v="3"/>
    <n v="37"/>
    <s v="Male"/>
  </r>
  <r>
    <s v="SWG1940"/>
    <d v="2024-02-16T00:00:00"/>
    <x v="7"/>
    <s v="Fri"/>
    <s v="Happy Moments"/>
    <x v="7"/>
    <s v="Bakery"/>
    <x v="5"/>
    <s v="Veg"/>
    <n v="3"/>
    <n v="514"/>
    <n v="1542"/>
    <m/>
    <m/>
    <m/>
    <n v="0"/>
    <x v="2"/>
    <n v="35"/>
    <s v="Female"/>
  </r>
  <r>
    <s v="SWG1941"/>
    <d v="2024-06-01T00:00:00"/>
    <x v="1"/>
    <s v="Sat"/>
    <s v="The Shivaay"/>
    <x v="0"/>
    <s v="Indian, Chinese, Continental"/>
    <x v="5"/>
    <s v="Veg"/>
    <n v="3"/>
    <n v="452"/>
    <n v="1356"/>
    <n v="4"/>
    <n v="34"/>
    <m/>
    <n v="0"/>
    <x v="3"/>
    <n v="28"/>
    <s v="Male"/>
  </r>
  <r>
    <s v="SWG1942"/>
    <d v="2024-07-12T00:00:00"/>
    <x v="4"/>
    <s v="Fri"/>
    <s v="Bombay Sweets"/>
    <x v="7"/>
    <s v="Sweets, Desserts"/>
    <x v="4"/>
    <s v="Veg"/>
    <n v="2"/>
    <n v="246"/>
    <n v="492"/>
    <n v="3.5"/>
    <n v="28"/>
    <m/>
    <n v="0"/>
    <x v="2"/>
    <n v="44"/>
    <s v="Male"/>
  </r>
  <r>
    <s v="SWG1943"/>
    <d v="2024-01-10T00:00:00"/>
    <x v="2"/>
    <s v="Wed"/>
    <s v="Banglore Iyangar'S Bekery"/>
    <x v="29"/>
    <s v="Bakery"/>
    <x v="5"/>
    <s v="Veg"/>
    <n v="4"/>
    <n v="165"/>
    <n v="660"/>
    <n v="4.5999999999999996"/>
    <n v="23"/>
    <m/>
    <n v="0"/>
    <x v="1"/>
    <n v="26"/>
    <s v="Female"/>
  </r>
  <r>
    <s v="SWG1944"/>
    <d v="2024-02-25T00:00:00"/>
    <x v="7"/>
    <s v="Sun"/>
    <s v="Radha Krishna Hotel"/>
    <x v="7"/>
    <s v="Indian, Tandoor"/>
    <x v="5"/>
    <s v="Veg"/>
    <n v="3"/>
    <n v="164"/>
    <n v="492"/>
    <n v="3.6"/>
    <n v="26"/>
    <m/>
    <n v="0"/>
    <x v="1"/>
    <n v="33"/>
    <s v="Male"/>
  </r>
  <r>
    <s v="SWG1945"/>
    <d v="2024-01-30T00:00:00"/>
    <x v="2"/>
    <s v="Tue"/>
    <s v="Da Krem - Home of fresh baking."/>
    <x v="7"/>
    <s v="Bakery, Desserts"/>
    <x v="4"/>
    <s v="Veg"/>
    <n v="1"/>
    <n v="120"/>
    <n v="120"/>
    <n v="4.2"/>
    <n v="29"/>
    <m/>
    <n v="0"/>
    <x v="2"/>
    <n v="19"/>
    <s v="Male"/>
  </r>
  <r>
    <s v="SWG1946"/>
    <d v="2024-04-18T00:00:00"/>
    <x v="0"/>
    <s v="Thu"/>
    <s v="Laxmi Sweets and Thaali"/>
    <x v="7"/>
    <s v="North Indian"/>
    <x v="5"/>
    <s v="Veg"/>
    <n v="4"/>
    <n v="287"/>
    <n v="1148"/>
    <n v="4.5999999999999996"/>
    <n v="34"/>
    <m/>
    <n v="0"/>
    <x v="3"/>
    <n v="49"/>
    <s v="Female"/>
  </r>
  <r>
    <s v="SWG1947"/>
    <d v="2024-01-05T00:00:00"/>
    <x v="2"/>
    <s v="Fri"/>
    <s v="Madhav Fast Food And juice Center"/>
    <x v="7"/>
    <s v="Beverages, Indian, Fast Food, South Indian, Burgers, Pizzas, Snacks"/>
    <x v="1"/>
    <s v="Veg"/>
    <n v="2"/>
    <n v="227"/>
    <n v="454"/>
    <n v="4.3"/>
    <n v="34"/>
    <n v="350"/>
    <n v="20"/>
    <x v="1"/>
    <n v="43"/>
    <s v="Female"/>
  </r>
  <r>
    <s v="SWG1948"/>
    <d v="2024-04-28T00:00:00"/>
    <x v="0"/>
    <s v="Sun"/>
    <s v="Pooja Pav Bhaji And Snacks Corner"/>
    <x v="2"/>
    <s v="Fast Food, Indian, Chinese"/>
    <x v="5"/>
    <s v="Veg"/>
    <n v="2"/>
    <n v="138"/>
    <n v="276"/>
    <m/>
    <m/>
    <n v="100"/>
    <n v="50"/>
    <x v="0"/>
    <n v="42"/>
    <s v="Male"/>
  </r>
  <r>
    <s v="SWG1949"/>
    <d v="2024-02-02T00:00:00"/>
    <x v="7"/>
    <s v="Fri"/>
    <s v="Shetty tea and snacks center"/>
    <x v="2"/>
    <s v="Snacks, South Indian"/>
    <x v="5"/>
    <s v="Veg"/>
    <n v="2"/>
    <n v="451"/>
    <n v="902"/>
    <n v="4.2"/>
    <n v="44"/>
    <m/>
    <n v="0"/>
    <x v="1"/>
    <n v="19"/>
    <s v="Female"/>
  </r>
  <r>
    <s v="SWG1950"/>
    <d v="2024-04-27T00:00:00"/>
    <x v="0"/>
    <s v="Sat"/>
    <s v="Cherry &amp; Chocolatte"/>
    <x v="79"/>
    <s v="Bakery, Desserts"/>
    <x v="4"/>
    <s v="Veg"/>
    <n v="1"/>
    <n v="191"/>
    <n v="191"/>
    <m/>
    <m/>
    <n v="50"/>
    <n v="20"/>
    <x v="0"/>
    <n v="29"/>
    <s v="Male"/>
  </r>
  <r>
    <s v="SWG1951"/>
    <d v="2024-03-05T00:00:00"/>
    <x v="3"/>
    <s v="Tue"/>
    <s v="Maharaja Darbar"/>
    <x v="80"/>
    <s v="North Indian, Chinese, South Indian, Burgers, Pizzas, Bakery, Beverages"/>
    <x v="1"/>
    <s v="Veg"/>
    <n v="3"/>
    <n v="575"/>
    <n v="1725"/>
    <m/>
    <m/>
    <n v="150"/>
    <n v="30"/>
    <x v="3"/>
    <n v="25"/>
    <s v="Female"/>
  </r>
  <r>
    <s v="SWG1952"/>
    <d v="2024-05-25T00:00:00"/>
    <x v="5"/>
    <s v="Sat"/>
    <s v="Meal By Kilo"/>
    <x v="7"/>
    <s v="North Indian, South Indian, Chinese"/>
    <x v="5"/>
    <s v="Veg"/>
    <n v="1"/>
    <n v="564"/>
    <n v="564"/>
    <n v="3.9"/>
    <n v="40"/>
    <m/>
    <n v="0"/>
    <x v="0"/>
    <n v="26"/>
    <s v="Female"/>
  </r>
  <r>
    <s v="SWG1953"/>
    <d v="2024-08-11T00:00:00"/>
    <x v="6"/>
    <s v="Sun"/>
    <s v="Bhajiyawala &amp; Co"/>
    <x v="3"/>
    <s v="Indian, Italian-American, Continental, Lebanese"/>
    <x v="5"/>
    <s v="Veg"/>
    <n v="4"/>
    <n v="228"/>
    <n v="912"/>
    <n v="3.9"/>
    <n v="40"/>
    <n v="150"/>
    <n v="30"/>
    <x v="0"/>
    <n v="29"/>
    <s v="Female"/>
  </r>
  <r>
    <s v="SWG1954"/>
    <d v="2024-08-26T00:00:00"/>
    <x v="6"/>
    <s v="Mon"/>
    <s v="North Punjabi Kitchen"/>
    <x v="0"/>
    <s v="North Indian, Punjabi, Maharashtrian, Indian"/>
    <x v="5"/>
    <s v="Veg"/>
    <n v="2"/>
    <n v="387"/>
    <n v="774"/>
    <n v="3.8"/>
    <n v="41"/>
    <n v="40"/>
    <n v="10"/>
    <x v="0"/>
    <n v="43"/>
    <s v="Female"/>
  </r>
  <r>
    <s v="SWG1955"/>
    <d v="2024-06-25T00:00:00"/>
    <x v="1"/>
    <s v="Tue"/>
    <s v="Prasadam"/>
    <x v="7"/>
    <s v="Indian"/>
    <x v="5"/>
    <s v="Veg"/>
    <n v="1"/>
    <n v="564"/>
    <n v="564"/>
    <n v="3.4"/>
    <n v="37"/>
    <m/>
    <n v="0"/>
    <x v="0"/>
    <n v="26"/>
    <s v="Male"/>
  </r>
  <r>
    <s v="SWG1956"/>
    <d v="2024-01-11T00:00:00"/>
    <x v="2"/>
    <s v="Thu"/>
    <s v="Mumbai Fast Food"/>
    <x v="7"/>
    <s v="Fast Food, Snacks, Pizzas, Beverages"/>
    <x v="1"/>
    <s v="Veg"/>
    <n v="1"/>
    <n v="359"/>
    <n v="359"/>
    <n v="4.0999999999999996"/>
    <n v="39"/>
    <m/>
    <n v="0"/>
    <x v="1"/>
    <n v="27"/>
    <s v="Female"/>
  </r>
  <r>
    <s v="SWG1957"/>
    <d v="2024-03-25T00:00:00"/>
    <x v="3"/>
    <s v="Mon"/>
    <s v="Joye's Pizzeria"/>
    <x v="0"/>
    <s v="Chinese, Desserts, Burgers, Pizzas, Italian"/>
    <x v="1"/>
    <s v="Veg"/>
    <n v="3"/>
    <n v="536"/>
    <n v="1608"/>
    <n v="3.7"/>
    <n v="38"/>
    <n v="100"/>
    <n v="50"/>
    <x v="0"/>
    <n v="49"/>
    <s v="Female"/>
  </r>
  <r>
    <s v="SWG1958"/>
    <d v="2024-01-26T00:00:00"/>
    <x v="2"/>
    <s v="Fri"/>
    <s v="Hotel Regency"/>
    <x v="19"/>
    <s v="Chinese"/>
    <x v="5"/>
    <s v="Veg"/>
    <n v="3"/>
    <n v="420"/>
    <n v="1260"/>
    <m/>
    <m/>
    <m/>
    <n v="0"/>
    <x v="1"/>
    <n v="42"/>
    <s v="Female"/>
  </r>
  <r>
    <s v="SWG1959"/>
    <d v="2024-03-03T00:00:00"/>
    <x v="3"/>
    <s v="Sun"/>
    <s v="Savory Kitchen"/>
    <x v="8"/>
    <s v="Indian, Bengali"/>
    <x v="5"/>
    <s v="Veg"/>
    <n v="2"/>
    <n v="209"/>
    <n v="418"/>
    <n v="4.2"/>
    <n v="35"/>
    <m/>
    <n v="0"/>
    <x v="0"/>
    <n v="19"/>
    <s v="Male"/>
  </r>
  <r>
    <s v="SWG1960"/>
    <d v="2024-08-04T00:00:00"/>
    <x v="6"/>
    <s v="Sun"/>
    <s v="Tavola restaurant"/>
    <x v="7"/>
    <s v="Indian, Biryani, Chinese, Pizzas, Seafood"/>
    <x v="1"/>
    <s v="Non-Veg"/>
    <n v="1"/>
    <n v="222"/>
    <n v="222"/>
    <n v="4.3"/>
    <n v="30"/>
    <m/>
    <n v="0"/>
    <x v="2"/>
    <n v="33"/>
    <s v="Male"/>
  </r>
  <r>
    <s v="SWG1961"/>
    <d v="2024-03-26T00:00:00"/>
    <x v="3"/>
    <s v="Tue"/>
    <s v="Vijay Pure Veg"/>
    <x v="0"/>
    <s v="Chinese"/>
    <x v="5"/>
    <s v="Veg"/>
    <n v="1"/>
    <n v="595"/>
    <n v="595"/>
    <n v="4.5999999999999996"/>
    <n v="31"/>
    <m/>
    <n v="0"/>
    <x v="3"/>
    <n v="37"/>
    <s v="Female"/>
  </r>
  <r>
    <s v="SWG1962"/>
    <d v="2024-02-28T00:00:00"/>
    <x v="7"/>
    <s v="Wed"/>
    <s v="Konkan Kubera"/>
    <x v="7"/>
    <s v="Chinese, North Indian, Seafood"/>
    <x v="5"/>
    <s v="Veg"/>
    <n v="3"/>
    <n v="369"/>
    <n v="1107"/>
    <n v="4.0999999999999996"/>
    <n v="36"/>
    <m/>
    <n v="0"/>
    <x v="0"/>
    <n v="24"/>
    <s v="Female"/>
  </r>
  <r>
    <s v="SWG1963"/>
    <d v="2024-01-27T00:00:00"/>
    <x v="2"/>
    <s v="Sat"/>
    <s v="Spaghetto"/>
    <x v="2"/>
    <s v="Italian, Beverages"/>
    <x v="3"/>
    <s v="Veg"/>
    <n v="1"/>
    <n v="572"/>
    <n v="572"/>
    <m/>
    <m/>
    <n v="100"/>
    <n v="50"/>
    <x v="2"/>
    <n v="45"/>
    <s v="Female"/>
  </r>
  <r>
    <s v="SWG1964"/>
    <d v="2024-06-25T00:00:00"/>
    <x v="1"/>
    <s v="Tue"/>
    <s v="Froozo"/>
    <x v="4"/>
    <s v="Pizzas, Beverages, Burgers, Desserts"/>
    <x v="1"/>
    <s v="Veg"/>
    <n v="1"/>
    <n v="127"/>
    <n v="127"/>
    <n v="3.7"/>
    <n v="50"/>
    <n v="150"/>
    <n v="30"/>
    <x v="0"/>
    <n v="19"/>
    <s v="Female"/>
  </r>
  <r>
    <s v="SWG1965"/>
    <d v="2024-07-23T00:00:00"/>
    <x v="4"/>
    <s v="Tue"/>
    <s v="Chinese Foodie"/>
    <x v="22"/>
    <s v="Chinese, Thai"/>
    <x v="5"/>
    <s v="Veg"/>
    <n v="1"/>
    <n v="272"/>
    <n v="272"/>
    <n v="3.7"/>
    <n v="43"/>
    <n v="200"/>
    <n v="40"/>
    <x v="0"/>
    <n v="18"/>
    <s v="Female"/>
  </r>
  <r>
    <s v="SWG1966"/>
    <d v="2024-06-09T00:00:00"/>
    <x v="1"/>
    <s v="Sun"/>
    <s v="Chinese Katta"/>
    <x v="29"/>
    <s v="Chinese, Snacks"/>
    <x v="5"/>
    <s v="Veg"/>
    <n v="3"/>
    <n v="466"/>
    <n v="1398"/>
    <m/>
    <m/>
    <n v="999"/>
    <n v="0"/>
    <x v="0"/>
    <n v="36"/>
    <s v="Female"/>
  </r>
  <r>
    <s v="SWG1967"/>
    <d v="2024-04-07T00:00:00"/>
    <x v="0"/>
    <s v="Sun"/>
    <s v="Cake Culture"/>
    <x v="3"/>
    <s v="Bakery"/>
    <x v="5"/>
    <s v="Veg"/>
    <n v="2"/>
    <n v="293"/>
    <n v="586"/>
    <n v="2.6"/>
    <n v="42"/>
    <m/>
    <n v="0"/>
    <x v="2"/>
    <n v="45"/>
    <s v="Male"/>
  </r>
  <r>
    <s v="SWG1968"/>
    <d v="2024-04-14T00:00:00"/>
    <x v="0"/>
    <s v="Sun"/>
    <s v="Phat Fork Chinese"/>
    <x v="11"/>
    <s v="Chinese, Asian, Thai"/>
    <x v="5"/>
    <s v="Veg"/>
    <n v="4"/>
    <n v="462"/>
    <n v="1848"/>
    <n v="4.5"/>
    <n v="55"/>
    <n v="499"/>
    <n v="0"/>
    <x v="3"/>
    <n v="21"/>
    <s v="Female"/>
  </r>
  <r>
    <s v="SWG1969"/>
    <d v="2024-04-08T00:00:00"/>
    <x v="0"/>
    <s v="Mon"/>
    <s v="Yummy Shawarma"/>
    <x v="11"/>
    <s v="Arabian, Burgers, Kebabs, Snacks, Beverages"/>
    <x v="0"/>
    <s v="Non-Veg"/>
    <n v="2"/>
    <n v="277"/>
    <n v="554"/>
    <m/>
    <m/>
    <n v="250"/>
    <n v="50"/>
    <x v="2"/>
    <n v="41"/>
    <s v="Female"/>
  </r>
  <r>
    <s v="SWG1970"/>
    <d v="2024-05-08T00:00:00"/>
    <x v="5"/>
    <s v="Wed"/>
    <s v="Panda Momos"/>
    <x v="7"/>
    <s v="Asian, Chinese, Tibetan, Beverages, Desserts"/>
    <x v="4"/>
    <s v="Veg"/>
    <n v="4"/>
    <n v="550"/>
    <n v="2200"/>
    <n v="3.9"/>
    <n v="42"/>
    <n v="449"/>
    <n v="0"/>
    <x v="3"/>
    <n v="39"/>
    <s v="Female"/>
  </r>
  <r>
    <s v="SWG1971"/>
    <d v="2024-05-28T00:00:00"/>
    <x v="5"/>
    <s v="Tue"/>
    <s v="The Chinese House"/>
    <x v="19"/>
    <s v="Chinese"/>
    <x v="5"/>
    <s v="Veg"/>
    <n v="1"/>
    <n v="334"/>
    <n v="334"/>
    <m/>
    <m/>
    <n v="999"/>
    <n v="0"/>
    <x v="0"/>
    <n v="44"/>
    <s v="Female"/>
  </r>
  <r>
    <s v="SWG1972"/>
    <d v="2024-08-27T00:00:00"/>
    <x v="6"/>
    <s v="Tue"/>
    <s v="London Dairy"/>
    <x v="29"/>
    <s v="Punjabi"/>
    <x v="5"/>
    <s v="Veg"/>
    <n v="2"/>
    <n v="296"/>
    <n v="592"/>
    <n v="3.8"/>
    <n v="36"/>
    <m/>
    <n v="0"/>
    <x v="1"/>
    <n v="19"/>
    <s v="Female"/>
  </r>
  <r>
    <s v="SWG1973"/>
    <d v="2024-02-24T00:00:00"/>
    <x v="7"/>
    <s v="Sat"/>
    <s v="Pure Veg Bowls &amp; Meals"/>
    <x v="23"/>
    <s v="Healthy Food, Pizzas, North Indian, Thalis, Biryani, Chinese"/>
    <x v="1"/>
    <s v="Non-Veg"/>
    <n v="4"/>
    <n v="294"/>
    <n v="1176"/>
    <n v="3"/>
    <n v="36"/>
    <m/>
    <n v="0"/>
    <x v="0"/>
    <n v="48"/>
    <s v="Female"/>
  </r>
  <r>
    <s v="SWG1974"/>
    <d v="2024-01-06T00:00:00"/>
    <x v="2"/>
    <s v="Sat"/>
    <s v="The Cake House"/>
    <x v="5"/>
    <s v="Desserts"/>
    <x v="4"/>
    <s v="Veg"/>
    <n v="3"/>
    <n v="459"/>
    <n v="1377"/>
    <n v="3.8"/>
    <n v="39"/>
    <m/>
    <n v="0"/>
    <x v="3"/>
    <n v="42"/>
    <s v="Male"/>
  </r>
  <r>
    <s v="SWG1975"/>
    <d v="2024-08-07T00:00:00"/>
    <x v="6"/>
    <s v="Wed"/>
    <s v="Wack Waffles &amp; Brownies"/>
    <x v="7"/>
    <s v="Waffle, Bakery, Desserts, Beverages, Ice Cream"/>
    <x v="4"/>
    <s v="Veg"/>
    <n v="3"/>
    <n v="457"/>
    <n v="1371"/>
    <n v="4.0999999999999996"/>
    <n v="38"/>
    <n v="449"/>
    <n v="0"/>
    <x v="2"/>
    <n v="31"/>
    <s v="Male"/>
  </r>
  <r>
    <s v="SWG1976"/>
    <d v="2024-07-27T00:00:00"/>
    <x v="4"/>
    <s v="Sat"/>
    <s v="Miami Waffle &amp; Jawbreakers"/>
    <x v="7"/>
    <s v="Waffle, Bakery, Desserts, Bengali"/>
    <x v="4"/>
    <s v="Veg"/>
    <n v="2"/>
    <n v="265"/>
    <n v="530"/>
    <n v="4"/>
    <n v="38"/>
    <n v="449"/>
    <n v="0"/>
    <x v="0"/>
    <n v="19"/>
    <s v="Male"/>
  </r>
  <r>
    <s v="SWG1977"/>
    <d v="2024-07-15T00:00:00"/>
    <x v="4"/>
    <s v="Mon"/>
    <s v="Winners Pizza (Fresh Dough)"/>
    <x v="7"/>
    <s v="Pizzas, Italian, Desserts, Beverages"/>
    <x v="1"/>
    <s v="Veg"/>
    <n v="2"/>
    <n v="569"/>
    <n v="1138"/>
    <n v="3.8"/>
    <n v="39"/>
    <n v="449"/>
    <n v="0"/>
    <x v="2"/>
    <n v="46"/>
    <s v="Male"/>
  </r>
  <r>
    <s v="SWG1978"/>
    <d v="2024-04-04T00:00:00"/>
    <x v="0"/>
    <s v="Thu"/>
    <s v="Green Dot Pizza"/>
    <x v="7"/>
    <s v="Pizzas, Italian, Desserts, Beverages"/>
    <x v="1"/>
    <s v="Veg"/>
    <n v="1"/>
    <n v="443"/>
    <n v="443"/>
    <n v="4"/>
    <n v="39"/>
    <n v="449"/>
    <n v="0"/>
    <x v="2"/>
    <n v="32"/>
    <s v="Male"/>
  </r>
  <r>
    <s v="SWG1979"/>
    <d v="2024-05-12T00:00:00"/>
    <x v="5"/>
    <s v="Sun"/>
    <s v="MASKA CHASKA"/>
    <x v="7"/>
    <s v="Chinese, Pizzas"/>
    <x v="1"/>
    <s v="Veg"/>
    <n v="2"/>
    <n v="597"/>
    <n v="1194"/>
    <m/>
    <m/>
    <n v="449"/>
    <n v="0"/>
    <x v="2"/>
    <n v="29"/>
    <s v="Male"/>
  </r>
  <r>
    <s v="SWG1980"/>
    <d v="2024-04-11T00:00:00"/>
    <x v="0"/>
    <s v="Thu"/>
    <s v="Cake4u"/>
    <x v="0"/>
    <s v="Desserts"/>
    <x v="4"/>
    <s v="Veg"/>
    <n v="1"/>
    <n v="280"/>
    <n v="280"/>
    <n v="4.3"/>
    <n v="28"/>
    <m/>
    <n v="0"/>
    <x v="0"/>
    <n v="22"/>
    <s v="Female"/>
  </r>
  <r>
    <s v="SWG1981"/>
    <d v="2024-01-03T00:00:00"/>
    <x v="2"/>
    <s v="Wed"/>
    <s v="Jenny's Brownies"/>
    <x v="7"/>
    <s v="Waffle, Bakery, Ice Cream, Desserts, Beverages"/>
    <x v="4"/>
    <s v="Veg"/>
    <n v="1"/>
    <n v="246"/>
    <n v="246"/>
    <n v="4.4000000000000004"/>
    <n v="30"/>
    <n v="449"/>
    <n v="0"/>
    <x v="2"/>
    <n v="45"/>
    <s v="Female"/>
  </r>
  <r>
    <s v="SWG1982"/>
    <d v="2024-06-29T00:00:00"/>
    <x v="1"/>
    <s v="Sat"/>
    <s v="Cafe k2k"/>
    <x v="2"/>
    <s v="Indian"/>
    <x v="5"/>
    <s v="Veg"/>
    <n v="3"/>
    <n v="539"/>
    <n v="1617"/>
    <m/>
    <m/>
    <n v="100"/>
    <n v="20"/>
    <x v="2"/>
    <n v="37"/>
    <s v="Female"/>
  </r>
  <r>
    <s v="SWG1983"/>
    <d v="2024-01-23T00:00:00"/>
    <x v="2"/>
    <s v="Tue"/>
    <s v="Nomad Salad"/>
    <x v="11"/>
    <s v="Salads, Healthy Food"/>
    <x v="5"/>
    <s v="Veg"/>
    <n v="3"/>
    <n v="201"/>
    <n v="603"/>
    <n v="4.3"/>
    <n v="55"/>
    <n v="999"/>
    <n v="0"/>
    <x v="0"/>
    <n v="46"/>
    <s v="Female"/>
  </r>
  <r>
    <s v="SWG1984"/>
    <d v="2024-08-16T00:00:00"/>
    <x v="6"/>
    <s v="Fri"/>
    <s v="Food Express"/>
    <x v="52"/>
    <s v="Fast Food, Italian, Snacks"/>
    <x v="5"/>
    <s v="Veg"/>
    <n v="4"/>
    <n v="266"/>
    <n v="1064"/>
    <n v="4.4000000000000004"/>
    <n v="52"/>
    <m/>
    <n v="0"/>
    <x v="2"/>
    <n v="24"/>
    <s v="Female"/>
  </r>
  <r>
    <s v="SWG1985"/>
    <d v="2024-02-22T00:00:00"/>
    <x v="7"/>
    <s v="Thu"/>
    <s v="Wendy's Flavor Fresh Burgers"/>
    <x v="36"/>
    <s v="Burgers, American, Fast Food, Snacks, Beverages"/>
    <x v="0"/>
    <s v="Veg"/>
    <n v="3"/>
    <n v="358"/>
    <n v="1074"/>
    <m/>
    <m/>
    <n v="499"/>
    <n v="0"/>
    <x v="0"/>
    <n v="41"/>
    <s v="Female"/>
  </r>
  <r>
    <s v="SWG1986"/>
    <d v="2024-06-13T00:00:00"/>
    <x v="1"/>
    <s v="Thu"/>
    <s v="Mummy's Kitchen"/>
    <x v="7"/>
    <s v="Street Food, South Indian"/>
    <x v="5"/>
    <s v="Veg"/>
    <n v="3"/>
    <n v="531"/>
    <n v="1593"/>
    <n v="3.5"/>
    <n v="61"/>
    <n v="100"/>
    <n v="10"/>
    <x v="3"/>
    <n v="38"/>
    <s v="Male"/>
  </r>
  <r>
    <s v="SWG1987"/>
    <d v="2024-07-20T00:00:00"/>
    <x v="4"/>
    <s v="Sat"/>
    <s v="Cake Zone"/>
    <x v="7"/>
    <s v="Bakery, Desserts"/>
    <x v="4"/>
    <s v="Veg"/>
    <n v="2"/>
    <n v="543"/>
    <n v="1086"/>
    <n v="4.2"/>
    <n v="40"/>
    <m/>
    <n v="0"/>
    <x v="3"/>
    <n v="27"/>
    <s v="Female"/>
  </r>
  <r>
    <s v="SWG1988"/>
    <d v="2024-07-20T00:00:00"/>
    <x v="4"/>
    <s v="Sat"/>
    <s v="Cake Point"/>
    <x v="22"/>
    <s v="Cafe"/>
    <x v="5"/>
    <s v="Veg"/>
    <n v="3"/>
    <n v="203"/>
    <n v="609"/>
    <n v="2.4"/>
    <n v="40"/>
    <n v="150"/>
    <n v="30"/>
    <x v="3"/>
    <n v="31"/>
    <s v="Male"/>
  </r>
  <r>
    <s v="SWG1989"/>
    <d v="2024-03-23T00:00:00"/>
    <x v="3"/>
    <s v="Sat"/>
    <s v="Mumma's kitchen"/>
    <x v="3"/>
    <s v="North Indian"/>
    <x v="5"/>
    <s v="Veg"/>
    <n v="4"/>
    <n v="232"/>
    <n v="928"/>
    <n v="4.2"/>
    <n v="44"/>
    <n v="449"/>
    <n v="0"/>
    <x v="2"/>
    <n v="31"/>
    <s v="Male"/>
  </r>
  <r>
    <s v="SWG1990"/>
    <d v="2024-05-24T00:00:00"/>
    <x v="5"/>
    <s v="Fri"/>
    <s v="Friends Fast Food"/>
    <x v="5"/>
    <s v="Chinese, Indian"/>
    <x v="5"/>
    <s v="Veg"/>
    <n v="2"/>
    <n v="344"/>
    <n v="688"/>
    <n v="4.5"/>
    <n v="43"/>
    <m/>
    <n v="0"/>
    <x v="1"/>
    <n v="22"/>
    <s v="Female"/>
  </r>
  <r>
    <s v="SWG1991"/>
    <d v="2024-03-25T00:00:00"/>
    <x v="3"/>
    <s v="Mon"/>
    <s v="Food Hub"/>
    <x v="4"/>
    <s v="Chinese"/>
    <x v="5"/>
    <s v="Veg"/>
    <n v="4"/>
    <n v="451"/>
    <n v="1804"/>
    <n v="4.4000000000000004"/>
    <n v="49"/>
    <n v="120"/>
    <n v="20"/>
    <x v="1"/>
    <n v="35"/>
    <s v="Female"/>
  </r>
  <r>
    <s v="SWG1992"/>
    <d v="2024-03-18T00:00:00"/>
    <x v="3"/>
    <s v="Mon"/>
    <s v="Vital Bowls"/>
    <x v="36"/>
    <s v="Healthy Food, Salads, Beverages, Keto"/>
    <x v="3"/>
    <s v="Veg"/>
    <n v="3"/>
    <n v="497"/>
    <n v="1491"/>
    <m/>
    <m/>
    <n v="399"/>
    <n v="0"/>
    <x v="2"/>
    <n v="41"/>
    <s v="Female"/>
  </r>
  <r>
    <s v="SWG1993"/>
    <d v="2024-07-19T00:00:00"/>
    <x v="4"/>
    <s v="Fri"/>
    <s v="Wakka Makka Chinese"/>
    <x v="7"/>
    <s v="Chinese, Asian, Desserts, Beverages"/>
    <x v="4"/>
    <s v="Veg"/>
    <n v="4"/>
    <n v="362"/>
    <n v="1448"/>
    <n v="4"/>
    <n v="42"/>
    <n v="449"/>
    <n v="0"/>
    <x v="1"/>
    <n v="31"/>
    <s v="Female"/>
  </r>
  <r>
    <s v="SWG1994"/>
    <d v="2024-04-19T00:00:00"/>
    <x v="0"/>
    <s v="Fri"/>
    <s v="Tea Villa Cafe"/>
    <x v="7"/>
    <s v="Beverages, Asian, Italian-American, Arabian, Japanese, Fast Food, Waffle, Salads"/>
    <x v="3"/>
    <s v="Veg"/>
    <n v="2"/>
    <n v="262"/>
    <n v="524"/>
    <n v="4"/>
    <n v="46"/>
    <m/>
    <n v="0"/>
    <x v="0"/>
    <n v="19"/>
    <s v="Female"/>
  </r>
  <r>
    <s v="SWG1995"/>
    <d v="2024-01-01T00:00:00"/>
    <x v="2"/>
    <s v="Mon"/>
    <s v="Shawarma Corner"/>
    <x v="2"/>
    <s v="Arabian"/>
    <x v="5"/>
    <s v="Veg"/>
    <n v="1"/>
    <n v="160"/>
    <n v="160"/>
    <n v="3"/>
    <n v="54"/>
    <n v="250"/>
    <n v="50"/>
    <x v="1"/>
    <n v="49"/>
    <s v="Female"/>
  </r>
  <r>
    <s v="SWG1996"/>
    <d v="2024-02-20T00:00:00"/>
    <x v="7"/>
    <s v="Tue"/>
    <s v="The Sandwich House"/>
    <x v="3"/>
    <s v="Snacks, Fast Food, Pizzas, American, Desserts"/>
    <x v="1"/>
    <s v="Veg"/>
    <n v="4"/>
    <n v="542"/>
    <n v="2168"/>
    <n v="3.7"/>
    <n v="46"/>
    <m/>
    <n v="0"/>
    <x v="2"/>
    <n v="43"/>
    <s v="Female"/>
  </r>
  <r>
    <s v="SWG1997"/>
    <d v="2024-06-21T00:00:00"/>
    <x v="1"/>
    <s v="Fri"/>
    <s v="CELEBRATE WITH CAKE"/>
    <x v="2"/>
    <s v="Bakery"/>
    <x v="5"/>
    <s v="Veg"/>
    <n v="4"/>
    <n v="377"/>
    <n v="1508"/>
    <m/>
    <m/>
    <m/>
    <n v="0"/>
    <x v="2"/>
    <n v="29"/>
    <s v="Male"/>
  </r>
  <r>
    <s v="SWG1998"/>
    <d v="2024-07-23T00:00:00"/>
    <x v="4"/>
    <s v="Tue"/>
    <s v="Live Puff Factory"/>
    <x v="7"/>
    <s v="Snacks"/>
    <x v="5"/>
    <s v="Veg"/>
    <n v="2"/>
    <n v="566"/>
    <n v="1132"/>
    <m/>
    <m/>
    <m/>
    <n v="0"/>
    <x v="0"/>
    <n v="39"/>
    <s v="Female"/>
  </r>
  <r>
    <s v="SWG1999"/>
    <d v="2024-01-04T00:00:00"/>
    <x v="2"/>
    <s v="Thu"/>
    <s v="Sanjog Restaurant"/>
    <x v="29"/>
    <s v="Indian, Kebabs, Chinese, Tandoor, Biryani, Beverages, Juices"/>
    <x v="2"/>
    <s v="Non-Veg"/>
    <n v="2"/>
    <n v="404"/>
    <n v="808"/>
    <n v="3.9"/>
    <n v="32"/>
    <m/>
    <n v="0"/>
    <x v="3"/>
    <n v="41"/>
    <s v="Female"/>
  </r>
  <r>
    <s v="SWG2000"/>
    <d v="2024-07-08T00:00:00"/>
    <x v="4"/>
    <s v="Mon"/>
    <s v="Bottoms Up"/>
    <x v="7"/>
    <s v="Beverages"/>
    <x v="3"/>
    <s v="Veg"/>
    <n v="4"/>
    <n v="224"/>
    <n v="896"/>
    <n v="4.7"/>
    <n v="29"/>
    <m/>
    <n v="0"/>
    <x v="2"/>
    <n v="23"/>
    <s v="Male"/>
  </r>
  <r>
    <s v="SWG2001"/>
    <d v="2024-07-11T00:00:00"/>
    <x v="4"/>
    <s v="Thu"/>
    <s v="Minus Zero Degree Icecreams"/>
    <x v="7"/>
    <s v="Desserts, Ice Cream, Beverages"/>
    <x v="4"/>
    <s v="Veg"/>
    <n v="3"/>
    <n v="321"/>
    <n v="963"/>
    <n v="4.3"/>
    <n v="26"/>
    <m/>
    <n v="0"/>
    <x v="0"/>
    <n v="21"/>
    <s v="Female"/>
  </r>
  <r>
    <s v="SWG2002"/>
    <d v="2024-04-22T00:00:00"/>
    <x v="0"/>
    <s v="Mon"/>
    <s v="Tea Pea"/>
    <x v="7"/>
    <s v="Italian, Beverages, Desserts, Snacks, Fast Food, Chaat, American"/>
    <x v="4"/>
    <s v="Veg"/>
    <n v="4"/>
    <n v="569"/>
    <n v="2276"/>
    <n v="4.2"/>
    <n v="32"/>
    <m/>
    <n v="0"/>
    <x v="1"/>
    <n v="30"/>
    <s v="Female"/>
  </r>
  <r>
    <s v="SWG2003"/>
    <d v="2024-08-19T00:00:00"/>
    <x v="6"/>
    <s v="Mon"/>
    <s v="Wedeshi Canteen"/>
    <x v="8"/>
    <s v="Waffle, Desserts"/>
    <x v="4"/>
    <s v="Veg"/>
    <n v="2"/>
    <n v="426"/>
    <n v="852"/>
    <n v="2"/>
    <n v="29"/>
    <m/>
    <n v="0"/>
    <x v="1"/>
    <n v="21"/>
    <s v="Male"/>
  </r>
  <r>
    <s v="SWG2004"/>
    <d v="2024-02-01T00:00:00"/>
    <x v="7"/>
    <s v="Thu"/>
    <s v="Pizza Mania"/>
    <x v="19"/>
    <s v="Pizzas, Fast Food"/>
    <x v="1"/>
    <s v="Veg"/>
    <n v="1"/>
    <n v="450"/>
    <n v="450"/>
    <n v="4.0999999999999996"/>
    <n v="47"/>
    <m/>
    <n v="0"/>
    <x v="0"/>
    <n v="39"/>
    <s v="Female"/>
  </r>
  <r>
    <s v="SWG2005"/>
    <d v="2024-02-03T00:00:00"/>
    <x v="7"/>
    <s v="Sat"/>
    <s v="Miami Shakes &amp; More"/>
    <x v="7"/>
    <s v="Desserts, Beverages"/>
    <x v="4"/>
    <s v="Veg"/>
    <n v="1"/>
    <n v="580"/>
    <n v="580"/>
    <n v="3.8"/>
    <n v="33"/>
    <n v="449"/>
    <n v="0"/>
    <x v="0"/>
    <n v="31"/>
    <s v="Female"/>
  </r>
  <r>
    <s v="SWG2006"/>
    <d v="2024-04-01T00:00:00"/>
    <x v="0"/>
    <s v="Mon"/>
    <s v="Chinese Adda"/>
    <x v="29"/>
    <s v="Chinese, Fast Food, Italian"/>
    <x v="5"/>
    <s v="Veg"/>
    <n v="3"/>
    <n v="385"/>
    <n v="1155"/>
    <n v="3.4"/>
    <n v="44"/>
    <m/>
    <n v="0"/>
    <x v="2"/>
    <n v="48"/>
    <s v="Female"/>
  </r>
  <r>
    <s v="SWG2007"/>
    <d v="2024-04-04T00:00:00"/>
    <x v="0"/>
    <s v="Thu"/>
    <s v="BlackBun"/>
    <x v="2"/>
    <s v="Bakery"/>
    <x v="5"/>
    <s v="Veg"/>
    <n v="4"/>
    <n v="517"/>
    <n v="2068"/>
    <n v="4.3"/>
    <n v="36"/>
    <n v="50"/>
    <n v="20"/>
    <x v="1"/>
    <n v="33"/>
    <s v="Female"/>
  </r>
  <r>
    <s v="SWG2008"/>
    <d v="2024-03-12T00:00:00"/>
    <x v="3"/>
    <s v="Tue"/>
    <s v="Subhash Paan Bhandar"/>
    <x v="5"/>
    <s v="Indian"/>
    <x v="5"/>
    <s v="Veg"/>
    <n v="1"/>
    <n v="329"/>
    <n v="329"/>
    <n v="4.4000000000000004"/>
    <n v="34"/>
    <m/>
    <n v="0"/>
    <x v="0"/>
    <n v="46"/>
    <s v="Female"/>
  </r>
  <r>
    <s v="SWG2009"/>
    <d v="2024-02-08T00:00:00"/>
    <x v="7"/>
    <s v="Thu"/>
    <s v="MCF - V Kitchen"/>
    <x v="3"/>
    <s v="Indian, Chinese"/>
    <x v="5"/>
    <s v="Veg"/>
    <n v="4"/>
    <n v="170"/>
    <n v="680"/>
    <n v="4.2"/>
    <n v="39"/>
    <m/>
    <n v="0"/>
    <x v="1"/>
    <n v="21"/>
    <s v="Female"/>
  </r>
  <r>
    <s v="SWG2010"/>
    <d v="2024-06-02T00:00:00"/>
    <x v="1"/>
    <s v="Sun"/>
    <s v="Shegaon Kachori - Maha 203"/>
    <x v="11"/>
    <s v="Snacks"/>
    <x v="5"/>
    <s v="Veg"/>
    <n v="2"/>
    <n v="237"/>
    <n v="474"/>
    <n v="4.7"/>
    <n v="34"/>
    <m/>
    <n v="0"/>
    <x v="0"/>
    <n v="41"/>
    <s v="Male"/>
  </r>
  <r>
    <s v="SWG2011"/>
    <d v="2024-06-10T00:00:00"/>
    <x v="1"/>
    <s v="Mon"/>
    <s v="Pooja Malai Gola"/>
    <x v="2"/>
    <s v="Desserts"/>
    <x v="4"/>
    <s v="Veg"/>
    <n v="1"/>
    <n v="320"/>
    <n v="320"/>
    <n v="3.9"/>
    <n v="30"/>
    <m/>
    <n v="0"/>
    <x v="1"/>
    <n v="42"/>
    <s v="Female"/>
  </r>
  <r>
    <s v="SWG2012"/>
    <d v="2024-06-30T00:00:00"/>
    <x v="1"/>
    <s v="Sun"/>
    <s v="Bake &amp; Bite"/>
    <x v="29"/>
    <s v="Bakery"/>
    <x v="5"/>
    <s v="Veg"/>
    <n v="3"/>
    <n v="496"/>
    <n v="1488"/>
    <n v="4.3"/>
    <n v="31"/>
    <n v="449"/>
    <n v="0"/>
    <x v="3"/>
    <n v="49"/>
    <s v="Female"/>
  </r>
  <r>
    <s v="SWG2013"/>
    <d v="2024-04-27T00:00:00"/>
    <x v="0"/>
    <s v="Sat"/>
    <s v="shree balaji foods"/>
    <x v="2"/>
    <s v="Fast Food"/>
    <x v="5"/>
    <s v="Veg"/>
    <n v="2"/>
    <n v="158"/>
    <n v="316"/>
    <n v="4.0999999999999996"/>
    <n v="35"/>
    <m/>
    <n v="0"/>
    <x v="2"/>
    <n v="18"/>
    <s v="Male"/>
  </r>
  <r>
    <s v="SWG2014"/>
    <d v="2024-01-03T00:00:00"/>
    <x v="2"/>
    <s v="Wed"/>
    <s v="Shree Rameshwar Ice Cream And Falooda"/>
    <x v="19"/>
    <s v="Ice Cream, Beverages"/>
    <x v="3"/>
    <s v="Veg"/>
    <n v="3"/>
    <n v="147"/>
    <n v="441"/>
    <n v="4.5999999999999996"/>
    <n v="37"/>
    <m/>
    <n v="0"/>
    <x v="1"/>
    <n v="30"/>
    <s v="Male"/>
  </r>
  <r>
    <s v="SWG2015"/>
    <d v="2024-05-02T00:00:00"/>
    <x v="5"/>
    <s v="Thu"/>
    <s v="Baskin Robbins"/>
    <x v="2"/>
    <s v="Ice Cream"/>
    <x v="5"/>
    <s v="Veg"/>
    <n v="2"/>
    <n v="378"/>
    <n v="756"/>
    <m/>
    <m/>
    <m/>
    <n v="0"/>
    <x v="3"/>
    <n v="21"/>
    <s v="Female"/>
  </r>
  <r>
    <s v="SWG2016"/>
    <d v="2024-02-19T00:00:00"/>
    <x v="7"/>
    <s v="Mon"/>
    <s v="Chopsticks Pure Veg"/>
    <x v="3"/>
    <s v="Chinese, Continental, Indian"/>
    <x v="5"/>
    <s v="Veg"/>
    <n v="1"/>
    <n v="203"/>
    <n v="203"/>
    <n v="4.0999999999999996"/>
    <n v="35"/>
    <m/>
    <n v="0"/>
    <x v="1"/>
    <n v="37"/>
    <s v="Male"/>
  </r>
  <r>
    <s v="SWG2017"/>
    <d v="2024-01-12T00:00:00"/>
    <x v="2"/>
    <s v="Fri"/>
    <s v="Mitron Kandivali"/>
    <x v="2"/>
    <s v="Italian-American, Fast Food, Salads"/>
    <x v="5"/>
    <s v="Veg"/>
    <n v="3"/>
    <n v="573"/>
    <n v="1719"/>
    <n v="5"/>
    <n v="43"/>
    <m/>
    <n v="0"/>
    <x v="1"/>
    <n v="35"/>
    <s v="Female"/>
  </r>
  <r>
    <s v="SWG2018"/>
    <d v="2024-07-11T00:00:00"/>
    <x v="4"/>
    <s v="Thu"/>
    <s v="UK14 Icecream"/>
    <x v="2"/>
    <s v="Bakery, Ice Cream, Beverages"/>
    <x v="3"/>
    <s v="Veg"/>
    <n v="3"/>
    <n v="274"/>
    <n v="822"/>
    <m/>
    <m/>
    <m/>
    <n v="0"/>
    <x v="3"/>
    <n v="23"/>
    <s v="Female"/>
  </r>
  <r>
    <s v="SWG2019"/>
    <d v="2024-02-23T00:00:00"/>
    <x v="7"/>
    <s v="Fri"/>
    <s v="Sage"/>
    <x v="0"/>
    <s v="Pastas, European, Continental, Italian, Cafe"/>
    <x v="5"/>
    <s v="Veg"/>
    <n v="2"/>
    <n v="236"/>
    <n v="472"/>
    <n v="4.5"/>
    <n v="26"/>
    <n v="50"/>
    <n v="20"/>
    <x v="1"/>
    <n v="20"/>
    <s v="Male"/>
  </r>
  <r>
    <s v="SWG2020"/>
    <d v="2024-08-23T00:00:00"/>
    <x v="6"/>
    <s v="Fri"/>
    <s v="Bombay Chinese Co."/>
    <x v="22"/>
    <s v="Thai, Chinese, Indian"/>
    <x v="5"/>
    <s v="Veg"/>
    <n v="3"/>
    <n v="121"/>
    <n v="363"/>
    <n v="3.6"/>
    <n v="41"/>
    <n v="200"/>
    <n v="40"/>
    <x v="1"/>
    <n v="40"/>
    <s v="Female"/>
  </r>
  <r>
    <s v="SWG2021"/>
    <d v="2024-05-12T00:00:00"/>
    <x v="5"/>
    <s v="Sun"/>
    <s v="Bombay Healthy Juices"/>
    <x v="7"/>
    <s v="Juices"/>
    <x v="5"/>
    <s v="Veg"/>
    <n v="2"/>
    <n v="212"/>
    <n v="424"/>
    <n v="4.3"/>
    <n v="42"/>
    <m/>
    <n v="0"/>
    <x v="2"/>
    <n v="49"/>
    <s v="Female"/>
  </r>
  <r>
    <s v="SWG2022"/>
    <d v="2024-08-09T00:00:00"/>
    <x v="6"/>
    <s v="Fri"/>
    <s v="Pooja Chinese Corner"/>
    <x v="81"/>
    <s v="Chinese"/>
    <x v="5"/>
    <s v="Veg"/>
    <n v="2"/>
    <n v="285"/>
    <n v="570"/>
    <n v="4.0999999999999996"/>
    <n v="45"/>
    <n v="700"/>
    <n v="20"/>
    <x v="3"/>
    <n v="30"/>
    <s v="Male"/>
  </r>
  <r>
    <s v="SWG2023"/>
    <d v="2024-08-09T00:00:00"/>
    <x v="6"/>
    <s v="Fri"/>
    <s v="Poush - Essence of Kashmir"/>
    <x v="4"/>
    <s v="Indian, Bengali, Mughlai"/>
    <x v="5"/>
    <s v="Veg"/>
    <n v="2"/>
    <n v="506"/>
    <n v="1012"/>
    <n v="4.3"/>
    <n v="52"/>
    <n v="700"/>
    <n v="20"/>
    <x v="3"/>
    <n v="44"/>
    <s v="Male"/>
  </r>
  <r>
    <s v="SWG2024"/>
    <d v="2024-02-26T00:00:00"/>
    <x v="7"/>
    <s v="Mon"/>
    <s v="Taste of Italy"/>
    <x v="11"/>
    <s v="Continental, Italian, Fast Food"/>
    <x v="5"/>
    <s v="Veg"/>
    <n v="2"/>
    <n v="519"/>
    <n v="1038"/>
    <n v="4.5"/>
    <n v="67"/>
    <m/>
    <n v="0"/>
    <x v="0"/>
    <n v="33"/>
    <s v="Male"/>
  </r>
  <r>
    <s v="SWG2025"/>
    <d v="2024-05-24T00:00:00"/>
    <x v="5"/>
    <s v="Fri"/>
    <s v="Manaqish - Lebanese Gourmet"/>
    <x v="7"/>
    <s v="Lebanese, Salads, Snacks"/>
    <x v="5"/>
    <s v="Veg"/>
    <n v="1"/>
    <n v="469"/>
    <n v="469"/>
    <m/>
    <m/>
    <n v="499"/>
    <n v="0"/>
    <x v="1"/>
    <n v="44"/>
    <s v="Male"/>
  </r>
  <r>
    <s v="SWG2026"/>
    <d v="2024-04-21T00:00:00"/>
    <x v="0"/>
    <s v="Sun"/>
    <s v="Tawa Twist ( Pure Veg )"/>
    <x v="36"/>
    <s v="North Indian, Chinese, South Indian"/>
    <x v="5"/>
    <s v="Veg"/>
    <n v="2"/>
    <n v="415"/>
    <n v="830"/>
    <n v="4.2"/>
    <n v="53"/>
    <m/>
    <n v="0"/>
    <x v="2"/>
    <n v="22"/>
    <s v="Female"/>
  </r>
  <r>
    <s v="SWG2027"/>
    <d v="2024-02-16T00:00:00"/>
    <x v="7"/>
    <s v="Fri"/>
    <s v="Vaishalis Krustty Kremme"/>
    <x v="7"/>
    <s v="Bakery, Cakes and Pastries, Desserts"/>
    <x v="4"/>
    <s v="Veg"/>
    <n v="4"/>
    <n v="377"/>
    <n v="1508"/>
    <m/>
    <m/>
    <n v="125"/>
    <n v="20"/>
    <x v="1"/>
    <n v="21"/>
    <s v="Male"/>
  </r>
  <r>
    <s v="SWG2028"/>
    <d v="2024-05-30T00:00:00"/>
    <x v="5"/>
    <s v="Thu"/>
    <s v="Saute"/>
    <x v="4"/>
    <s v="Thai, Chinese, Indian, Tandoor"/>
    <x v="5"/>
    <s v="Veg"/>
    <n v="3"/>
    <n v="200"/>
    <n v="600"/>
    <n v="4.2"/>
    <n v="53"/>
    <m/>
    <n v="0"/>
    <x v="1"/>
    <n v="38"/>
    <s v="Male"/>
  </r>
  <r>
    <s v="SWG2029"/>
    <d v="2024-07-25T00:00:00"/>
    <x v="4"/>
    <s v="Thu"/>
    <s v="PizzAah! District"/>
    <x v="5"/>
    <s v="Pizzas"/>
    <x v="1"/>
    <s v="Veg"/>
    <n v="4"/>
    <n v="544"/>
    <n v="2176"/>
    <n v="4"/>
    <n v="46"/>
    <m/>
    <n v="0"/>
    <x v="0"/>
    <n v="25"/>
    <s v="Male"/>
  </r>
  <r>
    <s v="SWG2030"/>
    <d v="2024-08-16T00:00:00"/>
    <x v="6"/>
    <s v="Fri"/>
    <s v="Satnam Golden Fast Food Centre"/>
    <x v="5"/>
    <s v="Fast Food, Italian, Mexican, Snacks"/>
    <x v="5"/>
    <s v="Veg"/>
    <n v="1"/>
    <n v="387"/>
    <n v="387"/>
    <n v="4.5999999999999996"/>
    <n v="42"/>
    <m/>
    <n v="0"/>
    <x v="1"/>
    <n v="36"/>
    <s v="Male"/>
  </r>
  <r>
    <s v="SWG2031"/>
    <d v="2024-03-25T00:00:00"/>
    <x v="3"/>
    <s v="Mon"/>
    <s v="The Kulfi &amp; Falooda Project"/>
    <x v="4"/>
    <s v="Ice Cream, Beverages, Juices, Desserts"/>
    <x v="4"/>
    <s v="Veg"/>
    <n v="4"/>
    <n v="538"/>
    <n v="2152"/>
    <n v="3.9"/>
    <n v="52"/>
    <n v="300"/>
    <n v="0"/>
    <x v="2"/>
    <n v="31"/>
    <s v="Male"/>
  </r>
  <r>
    <s v="SWG2032"/>
    <d v="2024-05-21T00:00:00"/>
    <x v="5"/>
    <s v="Tue"/>
    <s v="Coffee Craft"/>
    <x v="3"/>
    <s v="Beverages, Fast Food, Desserts"/>
    <x v="4"/>
    <s v="Veg"/>
    <n v="3"/>
    <n v="354"/>
    <n v="1062"/>
    <n v="4.4000000000000004"/>
    <n v="43"/>
    <m/>
    <n v="0"/>
    <x v="2"/>
    <n v="24"/>
    <s v="Female"/>
  </r>
  <r>
    <s v="SWG2033"/>
    <d v="2024-03-06T00:00:00"/>
    <x v="3"/>
    <s v="Wed"/>
    <s v="K's Charcoal"/>
    <x v="3"/>
    <s v="Italian, Mexican"/>
    <x v="5"/>
    <s v="Veg"/>
    <n v="4"/>
    <n v="440"/>
    <n v="1760"/>
    <n v="4.3"/>
    <n v="43"/>
    <m/>
    <n v="0"/>
    <x v="0"/>
    <n v="48"/>
    <s v="Male"/>
  </r>
  <r>
    <s v="SWG2034"/>
    <d v="2024-03-15T00:00:00"/>
    <x v="3"/>
    <s v="Fri"/>
    <s v="7 Islands"/>
    <x v="11"/>
    <s v="Indian, Oriental, Snacks, North Indian, Chinese, Pastas"/>
    <x v="5"/>
    <s v="Veg"/>
    <n v="1"/>
    <n v="430"/>
    <n v="430"/>
    <n v="4.4000000000000004"/>
    <n v="53"/>
    <n v="100"/>
    <n v="20"/>
    <x v="1"/>
    <n v="31"/>
    <s v="Female"/>
  </r>
  <r>
    <s v="SWG2035"/>
    <d v="2024-06-27T00:00:00"/>
    <x v="1"/>
    <s v="Thu"/>
    <s v="Namaskar - The Maharaja"/>
    <x v="29"/>
    <s v="North Indian, Seafood, Biryani, Tandoor, Kebabs"/>
    <x v="2"/>
    <s v="Non-Veg"/>
    <n v="2"/>
    <n v="420"/>
    <n v="840"/>
    <n v="3.9"/>
    <n v="44"/>
    <m/>
    <n v="0"/>
    <x v="2"/>
    <n v="23"/>
    <s v="Male"/>
  </r>
  <r>
    <s v="SWG2036"/>
    <d v="2024-04-12T00:00:00"/>
    <x v="0"/>
    <s v="Fri"/>
    <s v="Cheezza Point"/>
    <x v="4"/>
    <s v="Pizzas, Burgers, Snacks, Beverages"/>
    <x v="1"/>
    <s v="Veg"/>
    <n v="4"/>
    <n v="582"/>
    <n v="2328"/>
    <n v="3.8"/>
    <n v="53"/>
    <m/>
    <n v="0"/>
    <x v="1"/>
    <n v="29"/>
    <s v="Male"/>
  </r>
  <r>
    <s v="SWG2037"/>
    <d v="2024-06-14T00:00:00"/>
    <x v="1"/>
    <s v="Fri"/>
    <s v="Hen Hao Chi"/>
    <x v="3"/>
    <s v="Chinese"/>
    <x v="5"/>
    <s v="Veg"/>
    <n v="1"/>
    <n v="593"/>
    <n v="593"/>
    <n v="3.8"/>
    <n v="44"/>
    <n v="700"/>
    <n v="15"/>
    <x v="1"/>
    <n v="33"/>
    <s v="Male"/>
  </r>
  <r>
    <s v="SWG2038"/>
    <d v="2024-07-10T00:00:00"/>
    <x v="4"/>
    <s v="Wed"/>
    <s v="Mantra"/>
    <x v="3"/>
    <s v="North Indian"/>
    <x v="5"/>
    <s v="Veg"/>
    <n v="1"/>
    <n v="476"/>
    <n v="476"/>
    <n v="4.5"/>
    <n v="46"/>
    <m/>
    <n v="0"/>
    <x v="1"/>
    <n v="34"/>
    <s v="Male"/>
  </r>
  <r>
    <s v="SWG2039"/>
    <d v="2024-08-13T00:00:00"/>
    <x v="6"/>
    <s v="Tue"/>
    <s v="Sam Chinese Corner"/>
    <x v="22"/>
    <s v="Chinese"/>
    <x v="5"/>
    <s v="Veg"/>
    <n v="3"/>
    <n v="332"/>
    <n v="996"/>
    <n v="4.4000000000000004"/>
    <n v="58"/>
    <m/>
    <n v="0"/>
    <x v="0"/>
    <n v="30"/>
    <s v="Male"/>
  </r>
  <r>
    <s v="SWG2040"/>
    <d v="2024-02-07T00:00:00"/>
    <x v="7"/>
    <s v="Wed"/>
    <s v="Albela Chinese Home"/>
    <x v="3"/>
    <s v="Chinese"/>
    <x v="5"/>
    <s v="Veg"/>
    <n v="3"/>
    <n v="181"/>
    <n v="543"/>
    <n v="4.3"/>
    <n v="43"/>
    <m/>
    <n v="0"/>
    <x v="1"/>
    <n v="40"/>
    <s v="Male"/>
  </r>
  <r>
    <s v="SWG2041"/>
    <d v="2024-02-19T00:00:00"/>
    <x v="7"/>
    <s v="Mon"/>
    <s v="Mother's Touch Gujrati"/>
    <x v="4"/>
    <s v="Indian"/>
    <x v="5"/>
    <s v="Veg"/>
    <n v="4"/>
    <n v="168"/>
    <n v="672"/>
    <n v="4"/>
    <n v="74"/>
    <n v="999"/>
    <n v="0"/>
    <x v="2"/>
    <n v="31"/>
    <s v="Male"/>
  </r>
  <r>
    <s v="SWG2042"/>
    <d v="2024-04-07T00:00:00"/>
    <x v="0"/>
    <s v="Sun"/>
    <s v="Nityanand (Kandivali)"/>
    <x v="82"/>
    <s v="Indian, Chinese"/>
    <x v="5"/>
    <s v="Veg"/>
    <n v="2"/>
    <n v="246"/>
    <n v="492"/>
    <n v="4.3"/>
    <n v="42"/>
    <m/>
    <n v="0"/>
    <x v="1"/>
    <n v="46"/>
    <s v="Male"/>
  </r>
  <r>
    <s v="SWG2043"/>
    <d v="2024-03-22T00:00:00"/>
    <x v="3"/>
    <s v="Fri"/>
    <s v="Dream Wok"/>
    <x v="41"/>
    <s v="North Indian, Chinese"/>
    <x v="5"/>
    <s v="Veg"/>
    <n v="1"/>
    <n v="342"/>
    <n v="342"/>
    <n v="4.3"/>
    <n v="57"/>
    <n v="749"/>
    <n v="0"/>
    <x v="2"/>
    <n v="24"/>
    <s v="Female"/>
  </r>
  <r>
    <s v="SWG2044"/>
    <d v="2024-01-30T00:00:00"/>
    <x v="2"/>
    <s v="Tue"/>
    <s v="The Chinese Village"/>
    <x v="83"/>
    <s v="Chinese, Beverages, Desserts"/>
    <x v="4"/>
    <s v="Veg"/>
    <n v="4"/>
    <n v="528"/>
    <n v="2112"/>
    <n v="4"/>
    <n v="47"/>
    <m/>
    <n v="0"/>
    <x v="1"/>
    <n v="31"/>
    <s v="Male"/>
  </r>
  <r>
    <s v="SWG2045"/>
    <d v="2024-03-19T00:00:00"/>
    <x v="3"/>
    <s v="Tue"/>
    <s v="Royal Chinese Cafe"/>
    <x v="11"/>
    <s v="Chinese"/>
    <x v="5"/>
    <s v="Veg"/>
    <n v="1"/>
    <n v="398"/>
    <n v="398"/>
    <m/>
    <m/>
    <m/>
    <n v="0"/>
    <x v="2"/>
    <n v="49"/>
    <s v="Female"/>
  </r>
  <r>
    <s v="SWG2046"/>
    <d v="2024-03-31T00:00:00"/>
    <x v="3"/>
    <s v="Sun"/>
    <s v="Snackiezz"/>
    <x v="29"/>
    <s v="Continental, Beverages, Snacks, Italian-American"/>
    <x v="3"/>
    <s v="Veg"/>
    <n v="1"/>
    <n v="527"/>
    <n v="527"/>
    <n v="4.5"/>
    <n v="51"/>
    <n v="125"/>
    <n v="25"/>
    <x v="2"/>
    <n v="32"/>
    <s v="Male"/>
  </r>
  <r>
    <s v="SWG2047"/>
    <d v="2024-06-27T00:00:00"/>
    <x v="1"/>
    <s v="Thu"/>
    <s v="Bipin Sandwich &amp; Pizza Plaza"/>
    <x v="3"/>
    <s v="Pizzas"/>
    <x v="1"/>
    <s v="Veg"/>
    <n v="2"/>
    <n v="413"/>
    <n v="826"/>
    <n v="4.5"/>
    <n v="44"/>
    <n v="700"/>
    <n v="10"/>
    <x v="1"/>
    <n v="29"/>
    <s v="Female"/>
  </r>
  <r>
    <s v="SWG2048"/>
    <d v="2024-07-09T00:00:00"/>
    <x v="4"/>
    <s v="Tue"/>
    <s v="PS Pav Bhaji"/>
    <x v="2"/>
    <s v="Indian, Fast Food"/>
    <x v="5"/>
    <s v="Veg"/>
    <n v="2"/>
    <n v="403"/>
    <n v="806"/>
    <n v="5"/>
    <n v="44"/>
    <n v="150"/>
    <n v="30"/>
    <x v="1"/>
    <n v="34"/>
    <s v="Male"/>
  </r>
  <r>
    <s v="SWG2049"/>
    <d v="2024-08-13T00:00:00"/>
    <x v="6"/>
    <s v="Tue"/>
    <s v="Bipin Big Sandwich"/>
    <x v="7"/>
    <s v="Snacks, Fast Food"/>
    <x v="5"/>
    <s v="Veg"/>
    <n v="4"/>
    <n v="396"/>
    <n v="1584"/>
    <n v="4.0999999999999996"/>
    <n v="50"/>
    <m/>
    <n v="0"/>
    <x v="2"/>
    <n v="26"/>
    <s v="Male"/>
  </r>
  <r>
    <s v="SWG2050"/>
    <d v="2024-02-21T00:00:00"/>
    <x v="7"/>
    <s v="Wed"/>
    <s v="Ambika Chinese Restaurant (Since 2005)"/>
    <x v="5"/>
    <s v="Indian, Chinese"/>
    <x v="5"/>
    <s v="Veg"/>
    <n v="2"/>
    <n v="557"/>
    <n v="1114"/>
    <n v="3.7"/>
    <n v="50"/>
    <n v="999"/>
    <n v="0"/>
    <x v="3"/>
    <n v="39"/>
    <s v="Male"/>
  </r>
  <r>
    <s v="SWG2051"/>
    <d v="2024-06-14T00:00:00"/>
    <x v="1"/>
    <s v="Fri"/>
    <s v="Dum De Biryani"/>
    <x v="7"/>
    <s v="Snacks, Biryani, Tandoor, Indian"/>
    <x v="2"/>
    <s v="Non-Veg"/>
    <n v="2"/>
    <n v="226"/>
    <n v="452"/>
    <m/>
    <m/>
    <n v="125"/>
    <n v="25"/>
    <x v="0"/>
    <n v="32"/>
    <s v="Female"/>
  </r>
  <r>
    <s v="SWG2052"/>
    <d v="2024-08-12T00:00:00"/>
    <x v="6"/>
    <s v="Mon"/>
    <s v="Gup Shup Snacks Junction"/>
    <x v="11"/>
    <s v="Snacks"/>
    <x v="5"/>
    <s v="Veg"/>
    <n v="4"/>
    <n v="265"/>
    <n v="1060"/>
    <m/>
    <m/>
    <m/>
    <n v="0"/>
    <x v="3"/>
    <n v="29"/>
    <s v="Female"/>
  </r>
  <r>
    <s v="SWG2053"/>
    <d v="2024-08-03T00:00:00"/>
    <x v="6"/>
    <s v="Sat"/>
    <s v="Swaad E Rasoi"/>
    <x v="36"/>
    <s v="Chinese, Asian, Thai"/>
    <x v="5"/>
    <s v="Veg"/>
    <n v="2"/>
    <n v="539"/>
    <n v="1078"/>
    <n v="4.3"/>
    <n v="52"/>
    <n v="600"/>
    <n v="10"/>
    <x v="3"/>
    <n v="19"/>
    <s v="Female"/>
  </r>
  <r>
    <s v="SWG2054"/>
    <d v="2024-03-19T00:00:00"/>
    <x v="3"/>
    <s v="Tue"/>
    <s v="Chocoholix"/>
    <x v="11"/>
    <s v="Bakery"/>
    <x v="5"/>
    <s v="Veg"/>
    <n v="3"/>
    <n v="218"/>
    <n v="654"/>
    <n v="4.5999999999999996"/>
    <n v="43"/>
    <m/>
    <n v="0"/>
    <x v="1"/>
    <n v="22"/>
    <s v="Female"/>
  </r>
  <r>
    <s v="SWG2055"/>
    <d v="2024-01-30T00:00:00"/>
    <x v="2"/>
    <s v="Tue"/>
    <s v="Unique Cake Shop"/>
    <x v="11"/>
    <s v="Bakery, Desserts, Snacks"/>
    <x v="4"/>
    <s v="Veg"/>
    <n v="1"/>
    <n v="548"/>
    <n v="548"/>
    <n v="4.5999999999999996"/>
    <n v="43"/>
    <m/>
    <n v="0"/>
    <x v="0"/>
    <n v="30"/>
    <s v="Male"/>
  </r>
  <r>
    <s v="SWG2056"/>
    <d v="2024-04-15T00:00:00"/>
    <x v="0"/>
    <s v="Mon"/>
    <s v="Dandelions Kitchen &amp; Bar"/>
    <x v="7"/>
    <s v="Indian, Kebabs, Continental, Thai, Burmese, Salads, Seafood"/>
    <x v="5"/>
    <s v="Non-Veg"/>
    <n v="1"/>
    <n v="494"/>
    <n v="494"/>
    <n v="4.5"/>
    <n v="47"/>
    <m/>
    <n v="0"/>
    <x v="3"/>
    <n v="44"/>
    <s v="Male"/>
  </r>
  <r>
    <s v="SWG2057"/>
    <d v="2024-02-20T00:00:00"/>
    <x v="7"/>
    <s v="Tue"/>
    <s v="Hassan Kabab Spot"/>
    <x v="19"/>
    <s v="Snacks, North Indian, Indian"/>
    <x v="5"/>
    <s v="Veg"/>
    <n v="1"/>
    <n v="192"/>
    <n v="192"/>
    <n v="4.3"/>
    <n v="43"/>
    <m/>
    <n v="0"/>
    <x v="1"/>
    <n v="37"/>
    <s v="Male"/>
  </r>
  <r>
    <s v="SWG2058"/>
    <d v="2024-03-21T00:00:00"/>
    <x v="3"/>
    <s v="Thu"/>
    <s v="Nagori Tea Point"/>
    <x v="11"/>
    <s v="Beverages"/>
    <x v="3"/>
    <s v="Veg"/>
    <n v="1"/>
    <n v="556"/>
    <n v="556"/>
    <n v="4.2"/>
    <n v="41"/>
    <m/>
    <n v="0"/>
    <x v="3"/>
    <n v="40"/>
    <s v="Female"/>
  </r>
  <r>
    <s v="SWG2059"/>
    <d v="2024-05-12T00:00:00"/>
    <x v="5"/>
    <s v="Sun"/>
    <s v="Eat Hygiene"/>
    <x v="19"/>
    <s v="Pizzas, Pastas, Desserts, Beverages"/>
    <x v="1"/>
    <s v="Veg"/>
    <n v="4"/>
    <n v="241"/>
    <n v="964"/>
    <n v="4.5"/>
    <n v="59"/>
    <m/>
    <n v="0"/>
    <x v="3"/>
    <n v="25"/>
    <s v="Male"/>
  </r>
  <r>
    <s v="SWG2060"/>
    <d v="2024-01-29T00:00:00"/>
    <x v="2"/>
    <s v="Mon"/>
    <s v="Raju's Chinese Corner"/>
    <x v="7"/>
    <s v="Chinese"/>
    <x v="5"/>
    <s v="Veg"/>
    <n v="1"/>
    <n v="149"/>
    <n v="149"/>
    <m/>
    <m/>
    <n v="449"/>
    <n v="0"/>
    <x v="1"/>
    <n v="49"/>
    <s v="Female"/>
  </r>
  <r>
    <s v="SWG2061"/>
    <d v="2024-05-11T00:00:00"/>
    <x v="5"/>
    <s v="Sat"/>
    <s v="Food Lovers"/>
    <x v="11"/>
    <s v="Chinese"/>
    <x v="5"/>
    <s v="Veg"/>
    <n v="1"/>
    <n v="307"/>
    <n v="307"/>
    <n v="4"/>
    <n v="51"/>
    <m/>
    <n v="0"/>
    <x v="1"/>
    <n v="44"/>
    <s v="Female"/>
  </r>
  <r>
    <s v="SWG2062"/>
    <d v="2024-05-17T00:00:00"/>
    <x v="5"/>
    <s v="Fri"/>
    <s v="Enchante By Chai Point"/>
    <x v="4"/>
    <s v="Bakery, Beverages, Maharashtrian, Snacks, Street Food, South Indian, Punjabi, Chaat, Indian, American, North Indian, Fast Food, Desserts, Cafe, Healthy Food, Home Food"/>
    <x v="4"/>
    <s v="Veg"/>
    <n v="1"/>
    <n v="483"/>
    <n v="483"/>
    <n v="2.4"/>
    <n v="46"/>
    <n v="80"/>
    <n v="40"/>
    <x v="1"/>
    <n v="31"/>
    <s v="Female"/>
  </r>
  <r>
    <s v="SWG2063"/>
    <d v="2024-07-02T00:00:00"/>
    <x v="4"/>
    <s v="Tue"/>
    <s v="Hot Lee Chinese"/>
    <x v="7"/>
    <s v="Chinese, Asian, Desserts, Beverages"/>
    <x v="4"/>
    <s v="Veg"/>
    <n v="1"/>
    <n v="473"/>
    <n v="473"/>
    <n v="4.4000000000000004"/>
    <n v="46"/>
    <n v="449"/>
    <n v="0"/>
    <x v="0"/>
    <n v="32"/>
    <s v="Female"/>
  </r>
  <r>
    <s v="SWG2064"/>
    <d v="2024-05-24T00:00:00"/>
    <x v="5"/>
    <s v="Fri"/>
    <s v="Food Planet"/>
    <x v="7"/>
    <s v="Snacks, Pizzas, Burgers, Fast Food"/>
    <x v="1"/>
    <s v="Veg"/>
    <n v="3"/>
    <n v="407"/>
    <n v="1221"/>
    <n v="4.3"/>
    <n v="39"/>
    <m/>
    <n v="0"/>
    <x v="3"/>
    <n v="28"/>
    <s v="Female"/>
  </r>
  <r>
    <s v="SWG2065"/>
    <d v="2024-03-14T00:00:00"/>
    <x v="3"/>
    <s v="Thu"/>
    <s v="Waffle World"/>
    <x v="7"/>
    <s v="Waffle, Desserts"/>
    <x v="4"/>
    <s v="Veg"/>
    <n v="1"/>
    <n v="570"/>
    <n v="570"/>
    <n v="4.8"/>
    <n v="35"/>
    <m/>
    <n v="0"/>
    <x v="1"/>
    <n v="18"/>
    <s v="Male"/>
  </r>
  <r>
    <s v="SWG2066"/>
    <d v="2024-01-17T00:00:00"/>
    <x v="2"/>
    <s v="Wed"/>
    <s v="Snack Eat"/>
    <x v="42"/>
    <s v="Indian, Snacks"/>
    <x v="5"/>
    <s v="Veg"/>
    <n v="3"/>
    <n v="314"/>
    <n v="942"/>
    <m/>
    <m/>
    <m/>
    <n v="0"/>
    <x v="2"/>
    <n v="38"/>
    <s v="Female"/>
  </r>
  <r>
    <s v="SWG2067"/>
    <d v="2024-03-24T00:00:00"/>
    <x v="3"/>
    <s v="Sun"/>
    <s v="The Sandwich Story"/>
    <x v="4"/>
    <s v="Indian, Snacks, Juices, Desserts"/>
    <x v="4"/>
    <s v="Veg"/>
    <n v="4"/>
    <n v="275"/>
    <n v="1100"/>
    <n v="3.5"/>
    <n v="69"/>
    <n v="300"/>
    <n v="0"/>
    <x v="3"/>
    <n v="48"/>
    <s v="Female"/>
  </r>
  <r>
    <s v="SWG2068"/>
    <d v="2024-08-03T00:00:00"/>
    <x v="6"/>
    <s v="Sat"/>
    <s v="Little Loco Pops"/>
    <x v="4"/>
    <s v="Ice Cream, Desserts"/>
    <x v="4"/>
    <s v="Veg"/>
    <n v="2"/>
    <n v="291"/>
    <n v="582"/>
    <n v="4.4000000000000004"/>
    <n v="46"/>
    <n v="449"/>
    <n v="0"/>
    <x v="2"/>
    <n v="20"/>
    <s v="Male"/>
  </r>
  <r>
    <s v="SWG2069"/>
    <d v="2024-03-09T00:00:00"/>
    <x v="3"/>
    <s v="Sat"/>
    <s v="Moody Foody"/>
    <x v="84"/>
    <s v="Indian, Maharashtrian, Street Food, Chinese, Pizzas, Fast Food, Burgers, Cafe, Beverages"/>
    <x v="1"/>
    <s v="Veg"/>
    <n v="1"/>
    <n v="454"/>
    <n v="454"/>
    <n v="4.0999999999999996"/>
    <n v="47"/>
    <m/>
    <n v="0"/>
    <x v="0"/>
    <n v="34"/>
    <s v="Female"/>
  </r>
  <r>
    <s v="SWG2070"/>
    <d v="2024-02-03T00:00:00"/>
    <x v="7"/>
    <s v="Sat"/>
    <s v="BFF- Bombay French Fries"/>
    <x v="7"/>
    <s v="Continental, Desserts, Beverages"/>
    <x v="4"/>
    <s v="Veg"/>
    <n v="2"/>
    <n v="160"/>
    <n v="320"/>
    <n v="2.9"/>
    <n v="36"/>
    <n v="449"/>
    <n v="0"/>
    <x v="1"/>
    <n v="45"/>
    <s v="Female"/>
  </r>
  <r>
    <s v="SWG2071"/>
    <d v="2024-01-06T00:00:00"/>
    <x v="2"/>
    <s v="Sat"/>
    <s v="The Waffle Room"/>
    <x v="16"/>
    <s v="Waffle, Cafe"/>
    <x v="5"/>
    <s v="Veg"/>
    <n v="2"/>
    <n v="182"/>
    <n v="364"/>
    <n v="2.8"/>
    <n v="37"/>
    <n v="999"/>
    <n v="0"/>
    <x v="2"/>
    <n v="36"/>
    <s v="Male"/>
  </r>
  <r>
    <s v="SWG2072"/>
    <d v="2024-02-22T00:00:00"/>
    <x v="7"/>
    <s v="Thu"/>
    <s v="Quick Meal"/>
    <x v="8"/>
    <s v="Indian, Chinese"/>
    <x v="5"/>
    <s v="Veg"/>
    <n v="4"/>
    <n v="142"/>
    <n v="568"/>
    <n v="4.2"/>
    <n v="36"/>
    <m/>
    <n v="0"/>
    <x v="0"/>
    <n v="31"/>
    <s v="Male"/>
  </r>
  <r>
    <s v="SWG2073"/>
    <d v="2024-07-12T00:00:00"/>
    <x v="4"/>
    <s v="Fri"/>
    <s v="Eagle Boys Pizza and Cafe"/>
    <x v="3"/>
    <s v="Italian, Pizzas, Burgers, Pastas, Beverages"/>
    <x v="1"/>
    <s v="Veg"/>
    <n v="2"/>
    <n v="479"/>
    <n v="958"/>
    <n v="2.5"/>
    <n v="39"/>
    <n v="100"/>
    <n v="20"/>
    <x v="1"/>
    <n v="39"/>
    <s v="Male"/>
  </r>
  <r>
    <s v="SWG2074"/>
    <d v="2024-07-23T00:00:00"/>
    <x v="4"/>
    <s v="Tue"/>
    <s v="Chyna"/>
    <x v="2"/>
    <s v="Chinese"/>
    <x v="5"/>
    <s v="Veg"/>
    <n v="3"/>
    <n v="194"/>
    <n v="582"/>
    <n v="4.2"/>
    <n v="35"/>
    <m/>
    <n v="0"/>
    <x v="2"/>
    <n v="47"/>
    <s v="Female"/>
  </r>
  <r>
    <s v="SWG2075"/>
    <d v="2024-05-05T00:00:00"/>
    <x v="5"/>
    <s v="Sun"/>
    <s v="JK Sweets"/>
    <x v="85"/>
    <s v="Sweets, Desserts"/>
    <x v="4"/>
    <s v="Veg"/>
    <n v="2"/>
    <n v="167"/>
    <n v="334"/>
    <n v="4.4000000000000004"/>
    <n v="32"/>
    <m/>
    <n v="0"/>
    <x v="2"/>
    <n v="40"/>
    <s v="Male"/>
  </r>
  <r>
    <s v="SWG2076"/>
    <d v="2024-08-22T00:00:00"/>
    <x v="6"/>
    <s v="Thu"/>
    <s v="Foods Planet"/>
    <x v="7"/>
    <s v="Biryani"/>
    <x v="2"/>
    <s v="Non-Veg"/>
    <n v="2"/>
    <n v="279"/>
    <n v="558"/>
    <m/>
    <m/>
    <m/>
    <n v="0"/>
    <x v="0"/>
    <n v="49"/>
    <s v="Male"/>
  </r>
  <r>
    <s v="SWG2077"/>
    <d v="2024-02-12T00:00:00"/>
    <x v="7"/>
    <s v="Mon"/>
    <s v="Gangaur Thali"/>
    <x v="7"/>
    <s v="Indian, Thalis"/>
    <x v="5"/>
    <s v="Veg"/>
    <n v="2"/>
    <n v="432"/>
    <n v="864"/>
    <n v="4.4000000000000004"/>
    <n v="31"/>
    <m/>
    <n v="0"/>
    <x v="1"/>
    <n v="25"/>
    <s v="Male"/>
  </r>
  <r>
    <s v="SWG2078"/>
    <d v="2024-08-27T00:00:00"/>
    <x v="6"/>
    <s v="Tue"/>
    <s v="The Sandwich Zone"/>
    <x v="7"/>
    <s v="Fast Food, Italian, Snacks"/>
    <x v="5"/>
    <s v="Veg"/>
    <n v="1"/>
    <n v="237"/>
    <n v="237"/>
    <n v="4.3"/>
    <n v="33"/>
    <m/>
    <n v="0"/>
    <x v="1"/>
    <n v="30"/>
    <s v="Female"/>
  </r>
  <r>
    <s v="SWG2079"/>
    <d v="2024-07-21T00:00:00"/>
    <x v="4"/>
    <s v="Sun"/>
    <s v="Power Smoothies"/>
    <x v="7"/>
    <s v="Healthy Food, Beverages"/>
    <x v="3"/>
    <s v="Veg"/>
    <n v="1"/>
    <n v="219"/>
    <n v="219"/>
    <n v="4.5999999999999996"/>
    <n v="33"/>
    <n v="700"/>
    <n v="30"/>
    <x v="2"/>
    <n v="44"/>
    <s v="Male"/>
  </r>
  <r>
    <s v="SWG2080"/>
    <d v="2024-04-24T00:00:00"/>
    <x v="0"/>
    <s v="Wed"/>
    <s v="Triveni Pan Bhandar"/>
    <x v="7"/>
    <s v="Paan, Desserts"/>
    <x v="4"/>
    <s v="Veg"/>
    <n v="3"/>
    <n v="499"/>
    <n v="1497"/>
    <n v="3.3"/>
    <n v="39"/>
    <m/>
    <n v="0"/>
    <x v="2"/>
    <n v="37"/>
    <s v="Female"/>
  </r>
  <r>
    <s v="SWG2081"/>
    <d v="2024-04-20T00:00:00"/>
    <x v="0"/>
    <s v="Sat"/>
    <s v="Vividham Sweets"/>
    <x v="7"/>
    <s v="Sweets, Snacks"/>
    <x v="5"/>
    <s v="Veg"/>
    <n v="3"/>
    <n v="536"/>
    <n v="1608"/>
    <n v="4.3"/>
    <n v="27"/>
    <m/>
    <n v="0"/>
    <x v="2"/>
    <n v="20"/>
    <s v="Female"/>
  </r>
  <r>
    <s v="SWG2082"/>
    <d v="2024-05-30T00:00:00"/>
    <x v="5"/>
    <s v="Thu"/>
    <s v="Food Shood"/>
    <x v="7"/>
    <s v="Indian, North Indian, Snacks, Mughlai, Tandoor, Kebabs, Punjabi, Biryani, Chinese, Street Food"/>
    <x v="2"/>
    <s v="Non-Veg"/>
    <n v="1"/>
    <n v="527"/>
    <n v="527"/>
    <n v="4.7"/>
    <n v="30"/>
    <m/>
    <n v="0"/>
    <x v="1"/>
    <n v="22"/>
    <s v="Male"/>
  </r>
  <r>
    <s v="SWG2083"/>
    <d v="2024-07-01T00:00:00"/>
    <x v="4"/>
    <s v="Mon"/>
    <s v="Gigil Brasserie"/>
    <x v="3"/>
    <s v="Italian, Pizzas, Beverages"/>
    <x v="1"/>
    <s v="Veg"/>
    <n v="3"/>
    <n v="286"/>
    <n v="858"/>
    <n v="4.2"/>
    <n v="43"/>
    <n v="1000"/>
    <n v="25"/>
    <x v="0"/>
    <n v="26"/>
    <s v="Female"/>
  </r>
  <r>
    <s v="SWG2084"/>
    <d v="2024-03-20T00:00:00"/>
    <x v="3"/>
    <s v="Wed"/>
    <s v="Nirala Gourmet Kitchen"/>
    <x v="7"/>
    <s v="Pizzas, Pastas, Burgers, Snacks"/>
    <x v="1"/>
    <s v="Veg"/>
    <n v="1"/>
    <n v="409"/>
    <n v="409"/>
    <n v="4.0999999999999996"/>
    <n v="50"/>
    <n v="120"/>
    <n v="60"/>
    <x v="0"/>
    <n v="46"/>
    <s v="Female"/>
  </r>
  <r>
    <s v="SWG2085"/>
    <d v="2024-04-04T00:00:00"/>
    <x v="0"/>
    <s v="Thu"/>
    <s v="Hotel Sai Prasad Family Restaurant"/>
    <x v="7"/>
    <s v="North Indian, Chinese, Tandoor, Beverages"/>
    <x v="3"/>
    <s v="Veg"/>
    <n v="4"/>
    <n v="559"/>
    <n v="2236"/>
    <n v="4"/>
    <n v="52"/>
    <m/>
    <n v="0"/>
    <x v="1"/>
    <n v="23"/>
    <s v="Male"/>
  </r>
  <r>
    <s v="SWG2086"/>
    <d v="2024-07-21T00:00:00"/>
    <x v="4"/>
    <s v="Sun"/>
    <s v="Sarova Bar &amp; Restaurant"/>
    <x v="0"/>
    <s v="Thalis, Chinese, North Indian"/>
    <x v="5"/>
    <s v="Veg"/>
    <n v="2"/>
    <n v="275"/>
    <n v="550"/>
    <n v="4.8"/>
    <n v="42"/>
    <m/>
    <n v="0"/>
    <x v="3"/>
    <n v="48"/>
    <s v="Female"/>
  </r>
  <r>
    <s v="SWG2087"/>
    <d v="2024-04-27T00:00:00"/>
    <x v="0"/>
    <s v="Sat"/>
    <s v="Pizza In Town"/>
    <x v="29"/>
    <s v="Indian"/>
    <x v="5"/>
    <s v="Veg"/>
    <n v="2"/>
    <n v="540"/>
    <n v="1080"/>
    <n v="4.0999999999999996"/>
    <n v="50"/>
    <m/>
    <n v="0"/>
    <x v="0"/>
    <n v="42"/>
    <s v="Male"/>
  </r>
  <r>
    <s v="SWG2088"/>
    <d v="2024-05-23T00:00:00"/>
    <x v="5"/>
    <s v="Thu"/>
    <s v="Jay Bhavani Fast Food Center"/>
    <x v="7"/>
    <s v="Fast Food, North Indian, Chinese, Biryani"/>
    <x v="2"/>
    <s v="Non-Veg"/>
    <n v="3"/>
    <n v="126"/>
    <n v="378"/>
    <m/>
    <m/>
    <n v="499"/>
    <n v="0"/>
    <x v="2"/>
    <n v="48"/>
    <s v="Female"/>
  </r>
  <r>
    <s v="SWG2089"/>
    <d v="2024-01-08T00:00:00"/>
    <x v="2"/>
    <s v="Mon"/>
    <s v="Raja Chinese Corner"/>
    <x v="7"/>
    <s v="Chinese"/>
    <x v="5"/>
    <s v="Veg"/>
    <n v="1"/>
    <n v="315"/>
    <n v="315"/>
    <n v="3.6"/>
    <n v="42"/>
    <n v="1300"/>
    <n v="10"/>
    <x v="3"/>
    <n v="39"/>
    <s v="Female"/>
  </r>
  <r>
    <s v="SWG2090"/>
    <d v="2024-05-11T00:00:00"/>
    <x v="5"/>
    <s v="Sat"/>
    <s v="Agga Bai"/>
    <x v="7"/>
    <s v="Desserts"/>
    <x v="4"/>
    <s v="Veg"/>
    <n v="1"/>
    <n v="540"/>
    <n v="540"/>
    <n v="4.5999999999999996"/>
    <n v="52"/>
    <n v="40"/>
    <n v="10"/>
    <x v="3"/>
    <n v="19"/>
    <s v="Male"/>
  </r>
  <r>
    <s v="SWG2091"/>
    <d v="2024-04-13T00:00:00"/>
    <x v="0"/>
    <s v="Sat"/>
    <s v="Golden Delicacy Multicuisine Restaurant"/>
    <x v="7"/>
    <s v="Indian, South Indian, Chinese, Tandoor, Biryani, Snacks, Italian-American, Ice Cream, Beverages"/>
    <x v="2"/>
    <s v="Non-Veg"/>
    <n v="3"/>
    <n v="175"/>
    <n v="525"/>
    <n v="4.3"/>
    <n v="41"/>
    <m/>
    <n v="0"/>
    <x v="0"/>
    <n v="30"/>
    <s v="Male"/>
  </r>
  <r>
    <s v="SWG2092"/>
    <d v="2024-05-11T00:00:00"/>
    <x v="5"/>
    <s v="Sat"/>
    <s v="Bombay Boba"/>
    <x v="5"/>
    <s v="Beverages"/>
    <x v="3"/>
    <s v="Veg"/>
    <n v="1"/>
    <n v="440"/>
    <n v="440"/>
    <n v="3.2"/>
    <n v="42"/>
    <m/>
    <n v="0"/>
    <x v="3"/>
    <n v="22"/>
    <s v="Female"/>
  </r>
  <r>
    <s v="SWG2093"/>
    <d v="2024-07-02T00:00:00"/>
    <x v="4"/>
    <s v="Tue"/>
    <s v="OM R K Fast Food"/>
    <x v="7"/>
    <s v="South Indian"/>
    <x v="5"/>
    <s v="Veg"/>
    <n v="4"/>
    <n v="312"/>
    <n v="1248"/>
    <n v="4.4000000000000004"/>
    <n v="42"/>
    <m/>
    <n v="0"/>
    <x v="3"/>
    <n v="45"/>
    <s v="Female"/>
  </r>
  <r>
    <s v="SWG2094"/>
    <d v="2024-01-25T00:00:00"/>
    <x v="2"/>
    <s v="Thu"/>
    <s v="PLATESS MULTICUISINE RESTAURANT"/>
    <x v="7"/>
    <s v="Chinese, Indian"/>
    <x v="5"/>
    <s v="Veg"/>
    <n v="2"/>
    <n v="166"/>
    <n v="332"/>
    <n v="3"/>
    <n v="47"/>
    <m/>
    <n v="0"/>
    <x v="0"/>
    <n v="44"/>
    <s v="Male"/>
  </r>
  <r>
    <s v="SWG2095"/>
    <d v="2024-07-13T00:00:00"/>
    <x v="4"/>
    <s v="Sat"/>
    <s v="Namak Mirchi"/>
    <x v="0"/>
    <s v="North Indian, Biryani, Chinese, Mughlai, Punjabi, Kebabs"/>
    <x v="2"/>
    <s v="Non-Veg"/>
    <n v="3"/>
    <n v="267"/>
    <n v="801"/>
    <n v="4.3"/>
    <n v="30"/>
    <n v="100"/>
    <n v="50"/>
    <x v="0"/>
    <n v="42"/>
    <s v="Female"/>
  </r>
  <r>
    <s v="SWG2096"/>
    <d v="2024-04-05T00:00:00"/>
    <x v="0"/>
    <s v="Fri"/>
    <s v="Mozo Pizzaria"/>
    <x v="86"/>
    <s v="Pizzas, Burgers, Chinese, Desserts, Italian"/>
    <x v="1"/>
    <s v="Veg"/>
    <n v="3"/>
    <n v="394"/>
    <n v="1182"/>
    <n v="3.6"/>
    <n v="28"/>
    <n v="100"/>
    <n v="50"/>
    <x v="3"/>
    <n v="25"/>
    <s v="Female"/>
  </r>
  <r>
    <s v="SWG2097"/>
    <d v="2024-07-13T00:00:00"/>
    <x v="4"/>
    <s v="Sat"/>
    <s v="The Khichdi House"/>
    <x v="2"/>
    <s v="Indian, North Indian, Thalis, Desserts"/>
    <x v="4"/>
    <s v="Veg"/>
    <n v="1"/>
    <n v="276"/>
    <n v="276"/>
    <n v="3.3"/>
    <n v="25"/>
    <n v="100"/>
    <n v="50"/>
    <x v="2"/>
    <n v="40"/>
    <s v="Female"/>
  </r>
  <r>
    <s v="SWG2098"/>
    <d v="2024-06-03T00:00:00"/>
    <x v="1"/>
    <s v="Mon"/>
    <s v="Tandav Tea Company"/>
    <x v="2"/>
    <s v="Snacks, Beverages"/>
    <x v="3"/>
    <s v="Veg"/>
    <n v="3"/>
    <n v="321"/>
    <n v="963"/>
    <n v="3.8"/>
    <n v="29"/>
    <n v="40"/>
    <n v="10"/>
    <x v="1"/>
    <n v="18"/>
    <s v="Female"/>
  </r>
  <r>
    <s v="SWG2099"/>
    <d v="2024-04-02T00:00:00"/>
    <x v="0"/>
    <s v="Tue"/>
    <s v="Oven Stories Pizza"/>
    <x v="0"/>
    <s v="Pizzas, Burgers, Desserts, Chinese, Pastas, Italian"/>
    <x v="1"/>
    <s v="Veg"/>
    <n v="4"/>
    <n v="563"/>
    <n v="2252"/>
    <n v="3.5"/>
    <n v="33"/>
    <n v="100"/>
    <n v="50"/>
    <x v="3"/>
    <n v="37"/>
    <s v="Male"/>
  </r>
  <r>
    <s v="SWG2100"/>
    <d v="2024-06-08T00:00:00"/>
    <x v="1"/>
    <s v="Sat"/>
    <s v="Creamillaa"/>
    <x v="2"/>
    <s v="Desserts, Ice Cream"/>
    <x v="4"/>
    <s v="Veg"/>
    <n v="1"/>
    <n v="521"/>
    <n v="521"/>
    <n v="4.8"/>
    <n v="19"/>
    <m/>
    <n v="0"/>
    <x v="3"/>
    <n v="29"/>
    <s v="Male"/>
  </r>
  <r>
    <s v="SWG2101"/>
    <d v="2024-06-26T00:00:00"/>
    <x v="1"/>
    <s v="Wed"/>
    <s v="Thakkar Lunch Home"/>
    <x v="0"/>
    <s v="Indian, Snacks"/>
    <x v="5"/>
    <s v="Veg"/>
    <n v="1"/>
    <n v="595"/>
    <n v="595"/>
    <n v="4"/>
    <n v="25"/>
    <n v="50"/>
    <n v="20"/>
    <x v="2"/>
    <n v="40"/>
    <s v="Male"/>
  </r>
  <r>
    <s v="SWG2102"/>
    <d v="2024-03-01T00:00:00"/>
    <x v="3"/>
    <s v="Fri"/>
    <s v="Mama's By Banjara Dhaba Veg"/>
    <x v="2"/>
    <s v="North Indian, Chinese, Fast Food, Snacks, Biryani"/>
    <x v="2"/>
    <s v="Non-Veg"/>
    <n v="1"/>
    <n v="538"/>
    <n v="538"/>
    <n v="4.0999999999999996"/>
    <n v="25"/>
    <n v="120"/>
    <n v="60"/>
    <x v="3"/>
    <n v="49"/>
    <s v="Male"/>
  </r>
  <r>
    <s v="SWG2103"/>
    <d v="2024-05-01T00:00:00"/>
    <x v="5"/>
    <s v="Wed"/>
    <s v="Combos &amp; More - The Steal Deal Food Factory"/>
    <x v="0"/>
    <s v="Chinese, Pan-Asian, Thai, Beverages"/>
    <x v="3"/>
    <s v="Veg"/>
    <n v="1"/>
    <n v="546"/>
    <n v="546"/>
    <n v="4.0999999999999996"/>
    <n v="29"/>
    <m/>
    <n v="0"/>
    <x v="3"/>
    <n v="28"/>
    <s v="Male"/>
  </r>
  <r>
    <s v="SWG2104"/>
    <d v="2024-02-20T00:00:00"/>
    <x v="7"/>
    <s v="Tue"/>
    <s v="Hotel Matsyagandha"/>
    <x v="0"/>
    <s v="North Indian, Malwani, Chinese, Seafood, Mangalorean, Tandoor"/>
    <x v="5"/>
    <s v="Veg"/>
    <n v="4"/>
    <n v="598"/>
    <n v="2392"/>
    <n v="4.3"/>
    <n v="34"/>
    <m/>
    <n v="0"/>
    <x v="1"/>
    <n v="24"/>
    <s v="Male"/>
  </r>
  <r>
    <s v="SWG2105"/>
    <d v="2024-05-26T00:00:00"/>
    <x v="5"/>
    <s v="Sun"/>
    <s v="Love 99"/>
    <x v="27"/>
    <s v="Desserts, Waffle, Beverages, Bakery"/>
    <x v="4"/>
    <s v="Veg"/>
    <n v="1"/>
    <n v="594"/>
    <n v="594"/>
    <n v="3.9"/>
    <n v="35"/>
    <n v="600"/>
    <n v="15"/>
    <x v="1"/>
    <n v="32"/>
    <s v="Female"/>
  </r>
  <r>
    <s v="SWG2106"/>
    <d v="2024-01-21T00:00:00"/>
    <x v="2"/>
    <s v="Sun"/>
    <s v="House Of Combos"/>
    <x v="7"/>
    <s v="Combo, Continental, Asian"/>
    <x v="5"/>
    <s v="Veg"/>
    <n v="3"/>
    <n v="245"/>
    <n v="735"/>
    <m/>
    <m/>
    <m/>
    <n v="0"/>
    <x v="1"/>
    <n v="39"/>
    <s v="Male"/>
  </r>
  <r>
    <s v="SWG2107"/>
    <d v="2024-01-05T00:00:00"/>
    <x v="2"/>
    <s v="Fri"/>
    <s v="Ice Cap The Cake Shop"/>
    <x v="2"/>
    <s v="Bakery"/>
    <x v="5"/>
    <s v="Veg"/>
    <n v="4"/>
    <n v="514"/>
    <n v="2056"/>
    <m/>
    <m/>
    <m/>
    <n v="0"/>
    <x v="0"/>
    <n v="41"/>
    <s v="Female"/>
  </r>
  <r>
    <s v="SWG2108"/>
    <d v="2024-07-28T00:00:00"/>
    <x v="4"/>
    <s v="Sun"/>
    <s v="Biryani Lovers"/>
    <x v="2"/>
    <s v="Biryani, Arabian, Tandoor"/>
    <x v="2"/>
    <s v="Non-Veg"/>
    <n v="2"/>
    <n v="424"/>
    <n v="848"/>
    <n v="3.4"/>
    <n v="44"/>
    <m/>
    <n v="0"/>
    <x v="0"/>
    <n v="28"/>
    <s v="Female"/>
  </r>
  <r>
    <s v="SWG2109"/>
    <d v="2024-04-01T00:00:00"/>
    <x v="0"/>
    <s v="Mon"/>
    <s v="Glaciers Cakes And More"/>
    <x v="2"/>
    <s v="Bakery"/>
    <x v="5"/>
    <s v="Veg"/>
    <n v="2"/>
    <n v="488"/>
    <n v="976"/>
    <m/>
    <m/>
    <n v="159"/>
    <n v="25"/>
    <x v="1"/>
    <n v="46"/>
    <s v="Female"/>
  </r>
  <r>
    <s v="SWG2110"/>
    <d v="2024-06-18T00:00:00"/>
    <x v="1"/>
    <s v="Tue"/>
    <s v="Happy Moments The Cake Shop"/>
    <x v="2"/>
    <s v="Bakery"/>
    <x v="5"/>
    <s v="Veg"/>
    <n v="3"/>
    <n v="413"/>
    <n v="1239"/>
    <m/>
    <m/>
    <m/>
    <n v="0"/>
    <x v="1"/>
    <n v="39"/>
    <s v="Male"/>
  </r>
  <r>
    <s v="SWG2111"/>
    <d v="2024-03-01T00:00:00"/>
    <x v="3"/>
    <s v="Fri"/>
    <s v="The Dutch Waffles"/>
    <x v="2"/>
    <s v="Bakery, Desserts"/>
    <x v="4"/>
    <s v="Veg"/>
    <n v="3"/>
    <n v="183"/>
    <n v="549"/>
    <m/>
    <m/>
    <m/>
    <n v="0"/>
    <x v="0"/>
    <n v="43"/>
    <s v="Female"/>
  </r>
  <r>
    <s v="SWG2112"/>
    <d v="2024-01-22T00:00:00"/>
    <x v="2"/>
    <s v="Mon"/>
    <s v="Chile Ma"/>
    <x v="2"/>
    <s v="Bakery, Waffle"/>
    <x v="5"/>
    <s v="Veg"/>
    <n v="4"/>
    <n v="444"/>
    <n v="1776"/>
    <m/>
    <m/>
    <m/>
    <n v="0"/>
    <x v="2"/>
    <n v="33"/>
    <s v="Male"/>
  </r>
  <r>
    <s v="SWG2113"/>
    <d v="2024-05-28T00:00:00"/>
    <x v="5"/>
    <s v="Tue"/>
    <s v="Uncle's Kitchenette"/>
    <x v="2"/>
    <s v="Waffle, Bakery"/>
    <x v="5"/>
    <s v="Veg"/>
    <n v="2"/>
    <n v="511"/>
    <n v="1022"/>
    <m/>
    <m/>
    <m/>
    <n v="0"/>
    <x v="3"/>
    <n v="20"/>
    <s v="Female"/>
  </r>
  <r>
    <s v="SWG2114"/>
    <d v="2024-03-10T00:00:00"/>
    <x v="3"/>
    <s v="Sun"/>
    <s v="De Firrrangi cafe"/>
    <x v="2"/>
    <s v="Juices, Beverages"/>
    <x v="3"/>
    <s v="Veg"/>
    <n v="2"/>
    <n v="537"/>
    <n v="1074"/>
    <m/>
    <m/>
    <m/>
    <n v="0"/>
    <x v="3"/>
    <n v="37"/>
    <s v="Female"/>
  </r>
  <r>
    <s v="SWG2115"/>
    <d v="2024-01-01T00:00:00"/>
    <x v="2"/>
    <s v="Mon"/>
    <s v="DK's Kitchen"/>
    <x v="8"/>
    <s v="Chinese, Tandoor"/>
    <x v="5"/>
    <s v="Veg"/>
    <n v="2"/>
    <n v="295"/>
    <n v="590"/>
    <n v="4.4000000000000004"/>
    <n v="33"/>
    <m/>
    <n v="0"/>
    <x v="1"/>
    <n v="31"/>
    <s v="Male"/>
  </r>
  <r>
    <s v="SWG2116"/>
    <d v="2024-05-12T00:00:00"/>
    <x v="5"/>
    <s v="Sun"/>
    <s v="Bbcc - Borivali Barbeque Chinese Co."/>
    <x v="2"/>
    <s v="Italian"/>
    <x v="5"/>
    <s v="Veg"/>
    <n v="2"/>
    <n v="235"/>
    <n v="470"/>
    <m/>
    <m/>
    <m/>
    <n v="0"/>
    <x v="2"/>
    <n v="20"/>
    <s v="Female"/>
  </r>
  <r>
    <s v="SWG2117"/>
    <d v="2024-08-20T00:00:00"/>
    <x v="6"/>
    <s v="Tue"/>
    <s v="Choco Pack"/>
    <x v="2"/>
    <s v="Desserts"/>
    <x v="4"/>
    <s v="Veg"/>
    <n v="2"/>
    <n v="559"/>
    <n v="1118"/>
    <m/>
    <m/>
    <m/>
    <n v="0"/>
    <x v="0"/>
    <n v="18"/>
    <s v="Female"/>
  </r>
  <r>
    <s v="SWG2118"/>
    <d v="2024-01-12T00:00:00"/>
    <x v="2"/>
    <s v="Fri"/>
    <s v="Sandwich Co."/>
    <x v="2"/>
    <s v="Fast Food"/>
    <x v="5"/>
    <s v="Veg"/>
    <n v="1"/>
    <n v="323"/>
    <n v="323"/>
    <m/>
    <m/>
    <m/>
    <n v="0"/>
    <x v="1"/>
    <n v="48"/>
    <s v="Female"/>
  </r>
  <r>
    <s v="SWG2119"/>
    <d v="2024-03-30T00:00:00"/>
    <x v="3"/>
    <s v="Sat"/>
    <s v="Vivgato The Live Cake Shop"/>
    <x v="2"/>
    <s v="Bakery, Desserts"/>
    <x v="4"/>
    <s v="Veg"/>
    <n v="3"/>
    <n v="440"/>
    <n v="1320"/>
    <n v="2.7"/>
    <n v="37"/>
    <m/>
    <n v="0"/>
    <x v="2"/>
    <n v="43"/>
    <s v="Female"/>
  </r>
  <r>
    <s v="SWG2120"/>
    <d v="2024-02-15T00:00:00"/>
    <x v="7"/>
    <s v="Thu"/>
    <s v="M M Dum Biriyani Centre"/>
    <x v="7"/>
    <s v="Indian, Biryani, Beverages"/>
    <x v="2"/>
    <s v="Non-Veg"/>
    <n v="1"/>
    <n v="150"/>
    <n v="150"/>
    <n v="4.0999999999999996"/>
    <n v="34"/>
    <m/>
    <n v="0"/>
    <x v="2"/>
    <n v="38"/>
    <s v="Male"/>
  </r>
  <r>
    <s v="SWG2121"/>
    <d v="2024-02-03T00:00:00"/>
    <x v="7"/>
    <s v="Sat"/>
    <s v="Hari Om Snack Bar"/>
    <x v="16"/>
    <s v="Fast Food, Snacks, Indian"/>
    <x v="5"/>
    <s v="Veg"/>
    <n v="2"/>
    <n v="507"/>
    <n v="1014"/>
    <n v="3.8"/>
    <n v="37"/>
    <m/>
    <n v="0"/>
    <x v="2"/>
    <n v="32"/>
    <s v="Female"/>
  </r>
  <r>
    <s v="SWG2122"/>
    <d v="2024-06-25T00:00:00"/>
    <x v="1"/>
    <s v="Tue"/>
    <s v="Jaggu Anna"/>
    <x v="7"/>
    <s v="Fast Food, Kebabs, Snacks"/>
    <x v="5"/>
    <s v="Non-Veg"/>
    <n v="4"/>
    <n v="232"/>
    <n v="928"/>
    <n v="1.5"/>
    <n v="39"/>
    <m/>
    <n v="0"/>
    <x v="0"/>
    <n v="18"/>
    <s v="Female"/>
  </r>
  <r>
    <s v="SWG2123"/>
    <d v="2024-03-18T00:00:00"/>
    <x v="3"/>
    <s v="Mon"/>
    <s v="Signature Premium Cafe &amp; Resto"/>
    <x v="3"/>
    <s v="Pizzas, Fast Food, South Indian, Juices, Snacks"/>
    <x v="1"/>
    <s v="Veg"/>
    <n v="4"/>
    <n v="484"/>
    <n v="1936"/>
    <n v="3.7"/>
    <n v="39"/>
    <m/>
    <n v="0"/>
    <x v="0"/>
    <n v="34"/>
    <s v="Male"/>
  </r>
  <r>
    <s v="SWG2124"/>
    <d v="2024-08-05T00:00:00"/>
    <x v="6"/>
    <s v="Mon"/>
    <s v="Mangalam"/>
    <x v="3"/>
    <s v="Indian, Chinese"/>
    <x v="5"/>
    <s v="Veg"/>
    <n v="2"/>
    <n v="553"/>
    <n v="1106"/>
    <n v="4.0999999999999996"/>
    <n v="37"/>
    <m/>
    <n v="0"/>
    <x v="3"/>
    <n v="19"/>
    <s v="Female"/>
  </r>
  <r>
    <s v="SWG2125"/>
    <d v="2024-02-14T00:00:00"/>
    <x v="7"/>
    <s v="Wed"/>
    <s v="Chaat Samrat"/>
    <x v="29"/>
    <s v="Chaat, Pizzas, Pastas, Fast Food, Snacks, Burgers"/>
    <x v="1"/>
    <s v="Veg"/>
    <n v="2"/>
    <n v="444"/>
    <n v="888"/>
    <n v="3.8"/>
    <n v="38"/>
    <m/>
    <n v="0"/>
    <x v="3"/>
    <n v="46"/>
    <s v="Female"/>
  </r>
  <r>
    <s v="SWG2126"/>
    <d v="2024-06-03T00:00:00"/>
    <x v="1"/>
    <s v="Mon"/>
    <s v="Cafe Town"/>
    <x v="7"/>
    <s v="Burgers"/>
    <x v="0"/>
    <s v="Veg"/>
    <n v="4"/>
    <n v="533"/>
    <n v="2132"/>
    <m/>
    <m/>
    <m/>
    <n v="0"/>
    <x v="2"/>
    <n v="37"/>
    <s v="Female"/>
  </r>
  <r>
    <s v="SWG2127"/>
    <d v="2024-03-13T00:00:00"/>
    <x v="3"/>
    <s v="Wed"/>
    <s v="Hotel Aqua Stone RESTO BAR"/>
    <x v="29"/>
    <s v="Chinese, Snacks, Beverages, North Indian, Kebabs"/>
    <x v="3"/>
    <s v="Non-Veg"/>
    <n v="1"/>
    <n v="495"/>
    <n v="495"/>
    <n v="5"/>
    <n v="38"/>
    <m/>
    <n v="0"/>
    <x v="2"/>
    <n v="23"/>
    <s v="Female"/>
  </r>
  <r>
    <s v="SWG2128"/>
    <d v="2024-01-26T00:00:00"/>
    <x v="2"/>
    <s v="Fri"/>
    <s v="Srijana Momo House"/>
    <x v="2"/>
    <s v="Chinese"/>
    <x v="5"/>
    <s v="Veg"/>
    <n v="1"/>
    <n v="463"/>
    <n v="463"/>
    <n v="5"/>
    <n v="35"/>
    <m/>
    <n v="0"/>
    <x v="0"/>
    <n v="25"/>
    <s v="Male"/>
  </r>
  <r>
    <s v="SWG2129"/>
    <d v="2024-02-16T00:00:00"/>
    <x v="7"/>
    <s v="Fri"/>
    <s v="Cafe To Gather"/>
    <x v="2"/>
    <s v="Fast Food"/>
    <x v="5"/>
    <s v="Veg"/>
    <n v="2"/>
    <n v="562"/>
    <n v="1124"/>
    <m/>
    <m/>
    <n v="999"/>
    <n v="0"/>
    <x v="3"/>
    <n v="46"/>
    <s v="Female"/>
  </r>
  <r>
    <s v="SWG2130"/>
    <d v="2024-04-30T00:00:00"/>
    <x v="0"/>
    <s v="Tue"/>
    <s v="Meal In Minutes"/>
    <x v="2"/>
    <s v="North Indian, Pizzas, Fast Food, Snacks, Beverages"/>
    <x v="1"/>
    <s v="Veg"/>
    <n v="1"/>
    <n v="186"/>
    <n v="186"/>
    <m/>
    <m/>
    <n v="100"/>
    <n v="50"/>
    <x v="2"/>
    <n v="33"/>
    <s v="Male"/>
  </r>
  <r>
    <s v="SWG2131"/>
    <d v="2024-08-01T00:00:00"/>
    <x v="6"/>
    <s v="Thu"/>
    <s v="Wanton Point Tadka"/>
    <x v="0"/>
    <s v="Indian, Chinese"/>
    <x v="5"/>
    <s v="Veg"/>
    <n v="4"/>
    <n v="194"/>
    <n v="776"/>
    <n v="4.3"/>
    <n v="34"/>
    <m/>
    <n v="0"/>
    <x v="3"/>
    <n v="36"/>
    <s v="Female"/>
  </r>
  <r>
    <s v="SWG2132"/>
    <d v="2024-08-26T00:00:00"/>
    <x v="6"/>
    <s v="Mon"/>
    <s v="Agri Malhari Katta.(Tandoori House)"/>
    <x v="7"/>
    <s v="Biryani, Chinese, Tandoor, Kebabs, North Indian, Sweets"/>
    <x v="2"/>
    <s v="Non-Veg"/>
    <n v="1"/>
    <n v="164"/>
    <n v="164"/>
    <n v="4.3"/>
    <n v="50"/>
    <n v="600"/>
    <n v="10"/>
    <x v="3"/>
    <n v="18"/>
    <s v="Female"/>
  </r>
  <r>
    <s v="SWG2133"/>
    <d v="2024-02-25T00:00:00"/>
    <x v="7"/>
    <s v="Sun"/>
    <s v="Daily 52"/>
    <x v="7"/>
    <s v="Indian"/>
    <x v="5"/>
    <s v="Veg"/>
    <n v="2"/>
    <n v="379"/>
    <n v="758"/>
    <n v="5"/>
    <n v="50"/>
    <m/>
    <n v="0"/>
    <x v="2"/>
    <n v="20"/>
    <s v="Female"/>
  </r>
  <r>
    <s v="SWG2134"/>
    <d v="2024-04-03T00:00:00"/>
    <x v="0"/>
    <s v="Wed"/>
    <s v="Culture Kitchen"/>
    <x v="19"/>
    <s v="Chinese, Snacks"/>
    <x v="5"/>
    <s v="Veg"/>
    <n v="4"/>
    <n v="273"/>
    <n v="1092"/>
    <m/>
    <m/>
    <m/>
    <n v="0"/>
    <x v="0"/>
    <n v="45"/>
    <s v="Male"/>
  </r>
  <r>
    <s v="SWG2135"/>
    <d v="2024-04-16T00:00:00"/>
    <x v="0"/>
    <s v="Tue"/>
    <s v="Golden Plate"/>
    <x v="29"/>
    <s v="Chinese, North Indian, Biryani, Beverages"/>
    <x v="2"/>
    <s v="Non-Veg"/>
    <n v="1"/>
    <n v="274"/>
    <n v="274"/>
    <n v="3.8"/>
    <n v="55"/>
    <m/>
    <n v="0"/>
    <x v="2"/>
    <n v="20"/>
    <s v="Female"/>
  </r>
  <r>
    <s v="SWG2136"/>
    <d v="2024-03-03T00:00:00"/>
    <x v="3"/>
    <s v="Sun"/>
    <s v="Casa Curry"/>
    <x v="7"/>
    <s v="Burgers"/>
    <x v="0"/>
    <s v="Veg"/>
    <n v="3"/>
    <n v="549"/>
    <n v="1647"/>
    <m/>
    <m/>
    <m/>
    <n v="0"/>
    <x v="2"/>
    <n v="22"/>
    <s v="Female"/>
  </r>
  <r>
    <s v="SWG2137"/>
    <d v="2024-02-17T00:00:00"/>
    <x v="7"/>
    <s v="Sat"/>
    <s v="The Cookie Dough"/>
    <x v="4"/>
    <s v="Snacks, Bakery, Fast Food, Beverages"/>
    <x v="3"/>
    <s v="Veg"/>
    <n v="4"/>
    <n v="482"/>
    <n v="1928"/>
    <n v="3.7"/>
    <n v="58"/>
    <m/>
    <n v="0"/>
    <x v="3"/>
    <n v="44"/>
    <s v="Male"/>
  </r>
  <r>
    <s v="SWG2138"/>
    <d v="2024-03-01T00:00:00"/>
    <x v="3"/>
    <s v="Fri"/>
    <s v="What The Wok"/>
    <x v="3"/>
    <s v="Chinese"/>
    <x v="5"/>
    <s v="Veg"/>
    <n v="4"/>
    <n v="567"/>
    <n v="2268"/>
    <n v="4.3"/>
    <n v="43"/>
    <n v="999"/>
    <n v="0"/>
    <x v="2"/>
    <n v="29"/>
    <s v="Male"/>
  </r>
  <r>
    <s v="SWG2139"/>
    <d v="2024-03-21T00:00:00"/>
    <x v="3"/>
    <s v="Thu"/>
    <s v="Burgerbook"/>
    <x v="11"/>
    <s v="American, Fast Food"/>
    <x v="5"/>
    <s v="Veg"/>
    <n v="3"/>
    <n v="594"/>
    <n v="1782"/>
    <n v="4.5"/>
    <n v="52"/>
    <m/>
    <n v="0"/>
    <x v="0"/>
    <n v="29"/>
    <s v="Male"/>
  </r>
  <r>
    <s v="SWG2140"/>
    <d v="2024-01-26T00:00:00"/>
    <x v="2"/>
    <s v="Fri"/>
    <s v="Kamath Dakshinswaad"/>
    <x v="2"/>
    <s v="South Indian"/>
    <x v="5"/>
    <s v="Veg"/>
    <n v="3"/>
    <n v="353"/>
    <n v="1059"/>
    <n v="4.2"/>
    <n v="47"/>
    <m/>
    <n v="0"/>
    <x v="2"/>
    <n v="37"/>
    <s v="Male"/>
  </r>
  <r>
    <s v="SWG2141"/>
    <d v="2024-02-05T00:00:00"/>
    <x v="7"/>
    <s v="Mon"/>
    <s v="Shweta's Taatbhar Potbhar"/>
    <x v="7"/>
    <s v="Indian, Biryani"/>
    <x v="2"/>
    <s v="Non-Veg"/>
    <n v="4"/>
    <n v="170"/>
    <n v="680"/>
    <n v="4.0999999999999996"/>
    <n v="45"/>
    <n v="749"/>
    <n v="0"/>
    <x v="0"/>
    <n v="30"/>
    <s v="Female"/>
  </r>
  <r>
    <s v="SWG2142"/>
    <d v="2024-01-01T00:00:00"/>
    <x v="2"/>
    <s v="Mon"/>
    <s v="Momento Pizza"/>
    <x v="3"/>
    <s v="Pizzas, Italian, Fast Food"/>
    <x v="1"/>
    <s v="Veg"/>
    <n v="3"/>
    <n v="425"/>
    <n v="1275"/>
    <n v="4.3"/>
    <n v="45"/>
    <m/>
    <n v="0"/>
    <x v="0"/>
    <n v="37"/>
    <s v="Female"/>
  </r>
  <r>
    <s v="SWG2143"/>
    <d v="2024-01-08T00:00:00"/>
    <x v="2"/>
    <s v="Mon"/>
    <s v="Brownie Point Malad"/>
    <x v="11"/>
    <s v="Bakery"/>
    <x v="5"/>
    <s v="Veg"/>
    <n v="2"/>
    <n v="381"/>
    <n v="762"/>
    <m/>
    <m/>
    <m/>
    <n v="0"/>
    <x v="3"/>
    <n v="26"/>
    <s v="Female"/>
  </r>
  <r>
    <s v="SWG2144"/>
    <d v="2024-04-22T00:00:00"/>
    <x v="0"/>
    <s v="Mon"/>
    <s v="Cafe A1"/>
    <x v="11"/>
    <s v="North Indian, Tandoor, Mughlai, Chinese, Fast Food, Desserts, Beverages"/>
    <x v="4"/>
    <s v="Veg"/>
    <n v="2"/>
    <n v="434"/>
    <n v="868"/>
    <n v="4.0999999999999996"/>
    <n v="52"/>
    <m/>
    <n v="0"/>
    <x v="1"/>
    <n v="24"/>
    <s v="Female"/>
  </r>
  <r>
    <s v="SWG2145"/>
    <d v="2024-04-08T00:00:00"/>
    <x v="0"/>
    <s v="Mon"/>
    <s v="Desi Dawat"/>
    <x v="87"/>
    <s v="Indian"/>
    <x v="5"/>
    <s v="Veg"/>
    <n v="2"/>
    <n v="244"/>
    <n v="488"/>
    <m/>
    <m/>
    <m/>
    <n v="0"/>
    <x v="1"/>
    <n v="21"/>
    <s v="Male"/>
  </r>
  <r>
    <s v="SWG2146"/>
    <d v="2024-06-28T00:00:00"/>
    <x v="1"/>
    <s v="Fri"/>
    <s v="Slide A Roll"/>
    <x v="4"/>
    <s v="Snacks"/>
    <x v="5"/>
    <s v="Veg"/>
    <n v="4"/>
    <n v="518"/>
    <n v="2072"/>
    <n v="4.0999999999999996"/>
    <n v="50"/>
    <m/>
    <n v="0"/>
    <x v="3"/>
    <n v="36"/>
    <s v="Female"/>
  </r>
  <r>
    <s v="SWG2147"/>
    <d v="2024-07-25T00:00:00"/>
    <x v="4"/>
    <s v="Thu"/>
    <s v="Mr Singhs Tandoori Hut by RPD"/>
    <x v="4"/>
    <s v="North Indian, Tandoor, Biryani"/>
    <x v="2"/>
    <s v="Non-Veg"/>
    <n v="3"/>
    <n v="364"/>
    <n v="1092"/>
    <n v="4.2"/>
    <n v="64"/>
    <m/>
    <n v="0"/>
    <x v="2"/>
    <n v="39"/>
    <s v="Female"/>
  </r>
  <r>
    <s v="SWG2148"/>
    <d v="2024-02-16T00:00:00"/>
    <x v="7"/>
    <s v="Fri"/>
    <s v="Shree Siddhivinayak juice and snacks centre"/>
    <x v="6"/>
    <s v="Fast Food"/>
    <x v="5"/>
    <s v="Veg"/>
    <n v="3"/>
    <n v="149"/>
    <n v="447"/>
    <n v="4.8"/>
    <n v="44"/>
    <m/>
    <n v="0"/>
    <x v="3"/>
    <n v="36"/>
    <s v="Female"/>
  </r>
  <r>
    <s v="SWG2149"/>
    <d v="2024-05-06T00:00:00"/>
    <x v="5"/>
    <s v="Mon"/>
    <s v="Kalubai juice center"/>
    <x v="7"/>
    <s v="Beverages, Juices"/>
    <x v="3"/>
    <s v="Veg"/>
    <n v="1"/>
    <n v="545"/>
    <n v="545"/>
    <n v="4.4000000000000004"/>
    <n v="46"/>
    <n v="250"/>
    <n v="50"/>
    <x v="0"/>
    <n v="23"/>
    <s v="Female"/>
  </r>
  <r>
    <s v="SWG2150"/>
    <d v="2024-02-25T00:00:00"/>
    <x v="7"/>
    <s v="Sun"/>
    <s v="Dragon Flame Chinese"/>
    <x v="5"/>
    <s v="Chinese"/>
    <x v="5"/>
    <s v="Veg"/>
    <n v="1"/>
    <n v="241"/>
    <n v="241"/>
    <n v="3.5"/>
    <n v="50"/>
    <n v="125"/>
    <n v="25"/>
    <x v="1"/>
    <n v="44"/>
    <s v="Male"/>
  </r>
  <r>
    <s v="SWG2151"/>
    <d v="2024-08-01T00:00:00"/>
    <x v="6"/>
    <s v="Thu"/>
    <s v="Ashish Chinese Corner"/>
    <x v="88"/>
    <s v="Chinese"/>
    <x v="5"/>
    <s v="Veg"/>
    <n v="3"/>
    <n v="244"/>
    <n v="732"/>
    <n v="3.6"/>
    <n v="40"/>
    <m/>
    <n v="0"/>
    <x v="3"/>
    <n v="30"/>
    <s v="Female"/>
  </r>
  <r>
    <s v="SWG2152"/>
    <d v="2024-01-14T00:00:00"/>
    <x v="2"/>
    <s v="Sun"/>
    <s v="The Tasty Love"/>
    <x v="19"/>
    <s v="Chinese, Arabian, Biryani, South Indian"/>
    <x v="2"/>
    <s v="Non-Veg"/>
    <n v="3"/>
    <n v="156"/>
    <n v="468"/>
    <n v="5"/>
    <n v="50"/>
    <n v="999"/>
    <n v="0"/>
    <x v="2"/>
    <n v="28"/>
    <s v="Female"/>
  </r>
  <r>
    <s v="SWG2153"/>
    <d v="2024-08-05T00:00:00"/>
    <x v="6"/>
    <s v="Mon"/>
    <s v="Noon Roti - Story of Bihar"/>
    <x v="5"/>
    <s v="Indian, North Indian"/>
    <x v="5"/>
    <s v="Veg"/>
    <n v="3"/>
    <n v="289"/>
    <n v="867"/>
    <n v="3.2"/>
    <n v="49"/>
    <n v="599"/>
    <n v="0"/>
    <x v="3"/>
    <n v="30"/>
    <s v="Female"/>
  </r>
  <r>
    <s v="SWG2154"/>
    <d v="2024-01-28T00:00:00"/>
    <x v="2"/>
    <s v="Sun"/>
    <s v="Preeti Sandwich and juice center"/>
    <x v="27"/>
    <s v="Snacks, Italian, Pizzas, Pastas, Beverages"/>
    <x v="1"/>
    <s v="Veg"/>
    <n v="4"/>
    <n v="243"/>
    <n v="972"/>
    <n v="4.2"/>
    <n v="40"/>
    <n v="900"/>
    <n v="10"/>
    <x v="1"/>
    <n v="30"/>
    <s v="Male"/>
  </r>
  <r>
    <s v="SWG2155"/>
    <d v="2024-08-02T00:00:00"/>
    <x v="6"/>
    <s v="Fri"/>
    <s v="AL-Falah Irani Chai Momos And More"/>
    <x v="3"/>
    <s v="Biryani"/>
    <x v="2"/>
    <s v="Non-Veg"/>
    <n v="3"/>
    <n v="476"/>
    <n v="1428"/>
    <n v="4"/>
    <n v="54"/>
    <m/>
    <n v="0"/>
    <x v="3"/>
    <n v="45"/>
    <s v="Male"/>
  </r>
  <r>
    <s v="SWG2156"/>
    <d v="2024-03-18T00:00:00"/>
    <x v="3"/>
    <s v="Mon"/>
    <s v="Baan Khun yay"/>
    <x v="7"/>
    <s v="Chinese, Thai, Desserts"/>
    <x v="4"/>
    <s v="Veg"/>
    <n v="1"/>
    <n v="154"/>
    <n v="154"/>
    <n v="4.0999999999999996"/>
    <n v="53"/>
    <n v="999"/>
    <n v="0"/>
    <x v="3"/>
    <n v="42"/>
    <s v="Female"/>
  </r>
  <r>
    <s v="SWG2157"/>
    <d v="2024-08-03T00:00:00"/>
    <x v="6"/>
    <s v="Sat"/>
    <s v="Film City Fast Food"/>
    <x v="2"/>
    <s v="Indian, Chinese"/>
    <x v="5"/>
    <s v="Veg"/>
    <n v="4"/>
    <n v="206"/>
    <n v="824"/>
    <n v="3.4"/>
    <n v="58"/>
    <m/>
    <n v="0"/>
    <x v="1"/>
    <n v="39"/>
    <s v="Female"/>
  </r>
  <r>
    <s v="SWG2158"/>
    <d v="2024-05-09T00:00:00"/>
    <x v="5"/>
    <s v="Thu"/>
    <s v="The Bombay Stories"/>
    <x v="4"/>
    <s v="Street Food, Beverages, Fast Food, Pizzas, Pastas"/>
    <x v="1"/>
    <s v="Veg"/>
    <n v="3"/>
    <n v="253"/>
    <n v="759"/>
    <n v="4.3"/>
    <n v="57"/>
    <n v="100"/>
    <n v="10"/>
    <x v="0"/>
    <n v="45"/>
    <s v="Female"/>
  </r>
  <r>
    <s v="SWG2159"/>
    <d v="2024-04-18T00:00:00"/>
    <x v="0"/>
    <s v="Thu"/>
    <s v="Boneto Fine Dine"/>
    <x v="2"/>
    <s v="Indian"/>
    <x v="5"/>
    <s v="Veg"/>
    <n v="1"/>
    <n v="315"/>
    <n v="315"/>
    <n v="4.5"/>
    <n v="59"/>
    <m/>
    <n v="0"/>
    <x v="0"/>
    <n v="37"/>
    <s v="Male"/>
  </r>
  <r>
    <s v="SWG2160"/>
    <d v="2024-06-02T00:00:00"/>
    <x v="1"/>
    <s v="Sun"/>
    <s v="Chhedas"/>
    <x v="19"/>
    <s v="Snacks, Sweets"/>
    <x v="5"/>
    <s v="Veg"/>
    <n v="4"/>
    <n v="393"/>
    <n v="1572"/>
    <n v="3.7"/>
    <n v="46"/>
    <m/>
    <n v="0"/>
    <x v="1"/>
    <n v="32"/>
    <s v="Female"/>
  </r>
  <r>
    <s v="SWG2161"/>
    <d v="2024-01-14T00:00:00"/>
    <x v="2"/>
    <s v="Sun"/>
    <s v="Amit Fast Food- Chinese Corner"/>
    <x v="4"/>
    <s v="Chinese"/>
    <x v="5"/>
    <s v="Veg"/>
    <n v="3"/>
    <n v="320"/>
    <n v="960"/>
    <n v="4.5"/>
    <n v="53"/>
    <m/>
    <n v="0"/>
    <x v="3"/>
    <n v="38"/>
    <s v="Female"/>
  </r>
  <r>
    <s v="SWG2162"/>
    <d v="2024-07-05T00:00:00"/>
    <x v="4"/>
    <s v="Fri"/>
    <s v="Sai Sarovar"/>
    <x v="11"/>
    <s v="North Indian, Snacks, Chinese"/>
    <x v="5"/>
    <s v="Veg"/>
    <n v="3"/>
    <n v="488"/>
    <n v="1464"/>
    <n v="4.4000000000000004"/>
    <n v="49"/>
    <m/>
    <n v="0"/>
    <x v="1"/>
    <n v="30"/>
    <s v="Female"/>
  </r>
  <r>
    <s v="SWG2163"/>
    <d v="2024-02-25T00:00:00"/>
    <x v="7"/>
    <s v="Sun"/>
    <s v="Thew Pueblo Gourmet - TPG"/>
    <x v="7"/>
    <s v="Snacks, Beverages"/>
    <x v="3"/>
    <s v="Veg"/>
    <n v="3"/>
    <n v="404"/>
    <n v="1212"/>
    <n v="4.2"/>
    <n v="45"/>
    <m/>
    <n v="0"/>
    <x v="0"/>
    <n v="39"/>
    <s v="Male"/>
  </r>
  <r>
    <s v="SWG2164"/>
    <d v="2024-04-24T00:00:00"/>
    <x v="0"/>
    <s v="Wed"/>
    <s v="Raza Biryani"/>
    <x v="2"/>
    <s v="Biryani, Kebabs, Tandoor"/>
    <x v="2"/>
    <s v="Non-Veg"/>
    <n v="4"/>
    <n v="196"/>
    <n v="784"/>
    <n v="3.2"/>
    <n v="60"/>
    <m/>
    <n v="0"/>
    <x v="2"/>
    <n v="28"/>
    <s v="Female"/>
  </r>
  <r>
    <s v="SWG2165"/>
    <d v="2024-01-07T00:00:00"/>
    <x v="2"/>
    <s v="Sun"/>
    <s v="New Sam's Kitchen"/>
    <x v="36"/>
    <s v="Indian, Chinese"/>
    <x v="5"/>
    <s v="Veg"/>
    <n v="1"/>
    <n v="178"/>
    <n v="178"/>
    <n v="4.4000000000000004"/>
    <n v="58"/>
    <m/>
    <n v="0"/>
    <x v="3"/>
    <n v="36"/>
    <s v="Female"/>
  </r>
  <r>
    <s v="SWG2166"/>
    <d v="2024-01-03T00:00:00"/>
    <x v="2"/>
    <s v="Wed"/>
    <s v="Flavour &amp; Spice"/>
    <x v="7"/>
    <s v="Fast Food, Indian, Tandoor"/>
    <x v="5"/>
    <s v="Veg"/>
    <n v="1"/>
    <n v="550"/>
    <n v="550"/>
    <n v="3.7"/>
    <n v="54"/>
    <n v="449"/>
    <n v="0"/>
    <x v="0"/>
    <n v="25"/>
    <s v="Male"/>
  </r>
  <r>
    <s v="SWG2167"/>
    <d v="2024-04-20T00:00:00"/>
    <x v="0"/>
    <s v="Sat"/>
    <s v="Fishermans Hook"/>
    <x v="4"/>
    <s v="North Indian, Chinese, Seafood"/>
    <x v="5"/>
    <s v="Veg"/>
    <n v="2"/>
    <n v="245"/>
    <n v="490"/>
    <n v="4.0999999999999996"/>
    <n v="57"/>
    <m/>
    <n v="0"/>
    <x v="3"/>
    <n v="37"/>
    <s v="Male"/>
  </r>
  <r>
    <s v="SWG2168"/>
    <d v="2024-05-30T00:00:00"/>
    <x v="5"/>
    <s v="Thu"/>
    <s v="WEST COAST DINER"/>
    <x v="29"/>
    <s v="Desserts"/>
    <x v="4"/>
    <s v="Veg"/>
    <n v="3"/>
    <n v="520"/>
    <n v="1560"/>
    <n v="4.5"/>
    <n v="50"/>
    <m/>
    <n v="0"/>
    <x v="1"/>
    <n v="25"/>
    <s v="Female"/>
  </r>
  <r>
    <s v="SWG2169"/>
    <d v="2024-08-25T00:00:00"/>
    <x v="6"/>
    <s v="Sun"/>
    <s v="Lady The Leaf"/>
    <x v="4"/>
    <s v="Continental, Salads, Grill, Juices, Beverages"/>
    <x v="3"/>
    <s v="Veg"/>
    <n v="2"/>
    <n v="228"/>
    <n v="456"/>
    <n v="3.9"/>
    <n v="51"/>
    <n v="125"/>
    <n v="25"/>
    <x v="2"/>
    <n v="27"/>
    <s v="Male"/>
  </r>
  <r>
    <s v="SWG2170"/>
    <d v="2024-04-16T00:00:00"/>
    <x v="0"/>
    <s v="Tue"/>
    <s v="DYNAMIC CAKE"/>
    <x v="19"/>
    <s v="Bakery"/>
    <x v="5"/>
    <s v="Veg"/>
    <n v="2"/>
    <n v="343"/>
    <n v="686"/>
    <m/>
    <m/>
    <m/>
    <n v="0"/>
    <x v="1"/>
    <n v="43"/>
    <s v="Female"/>
  </r>
  <r>
    <s v="SWG2171"/>
    <d v="2024-08-26T00:00:00"/>
    <x v="6"/>
    <s v="Mon"/>
    <s v="Om Sai Dosa Center"/>
    <x v="0"/>
    <s v="South Indian"/>
    <x v="5"/>
    <s v="Veg"/>
    <n v="1"/>
    <n v="397"/>
    <n v="397"/>
    <m/>
    <m/>
    <m/>
    <n v="0"/>
    <x v="2"/>
    <n v="33"/>
    <s v="Male"/>
  </r>
  <r>
    <s v="SWG2172"/>
    <d v="2024-08-24T00:00:00"/>
    <x v="6"/>
    <s v="Sat"/>
    <s v="Gravy and Savy"/>
    <x v="89"/>
    <s v="North Indian, Indian"/>
    <x v="5"/>
    <s v="Veg"/>
    <n v="4"/>
    <n v="187"/>
    <n v="748"/>
    <n v="4.2"/>
    <n v="55"/>
    <m/>
    <n v="0"/>
    <x v="3"/>
    <n v="36"/>
    <s v="Male"/>
  </r>
  <r>
    <s v="SWG2173"/>
    <d v="2024-01-18T00:00:00"/>
    <x v="2"/>
    <s v="Thu"/>
    <s v="Mithilanchal - Xpress Of Food Abode"/>
    <x v="5"/>
    <s v="Indian, Seafood"/>
    <x v="5"/>
    <s v="Veg"/>
    <n v="4"/>
    <n v="188"/>
    <n v="752"/>
    <n v="2.2999999999999998"/>
    <n v="51"/>
    <n v="599"/>
    <n v="0"/>
    <x v="3"/>
    <n v="43"/>
    <s v="Female"/>
  </r>
  <r>
    <s v="SWG2174"/>
    <d v="2024-02-07T00:00:00"/>
    <x v="7"/>
    <s v="Wed"/>
    <s v="Dale's Eden - Gifting"/>
    <x v="11"/>
    <s v="Desserts, Sweets"/>
    <x v="4"/>
    <s v="Veg"/>
    <n v="1"/>
    <n v="284"/>
    <n v="284"/>
    <m/>
    <m/>
    <n v="449"/>
    <n v="0"/>
    <x v="1"/>
    <n v="40"/>
    <s v="Female"/>
  </r>
  <r>
    <s v="SWG2175"/>
    <d v="2024-08-14T00:00:00"/>
    <x v="6"/>
    <s v="Wed"/>
    <s v="Subhanallah Chinese"/>
    <x v="4"/>
    <s v="Chinese"/>
    <x v="5"/>
    <s v="Veg"/>
    <n v="4"/>
    <n v="424"/>
    <n v="1696"/>
    <n v="4.7"/>
    <n v="56"/>
    <m/>
    <n v="0"/>
    <x v="2"/>
    <n v="28"/>
    <s v="Female"/>
  </r>
  <r>
    <s v="SWG2176"/>
    <d v="2024-04-24T00:00:00"/>
    <x v="0"/>
    <s v="Wed"/>
    <s v="Jalandharwala"/>
    <x v="7"/>
    <s v="Indian, Snacks, Desserts"/>
    <x v="4"/>
    <s v="Veg"/>
    <n v="2"/>
    <n v="516"/>
    <n v="1032"/>
    <n v="4.5999999999999996"/>
    <n v="41"/>
    <m/>
    <n v="0"/>
    <x v="2"/>
    <n v="30"/>
    <s v="Male"/>
  </r>
  <r>
    <s v="SWG2177"/>
    <d v="2024-01-15T00:00:00"/>
    <x v="2"/>
    <s v="Mon"/>
    <s v="Rolls &amp; Many More"/>
    <x v="7"/>
    <s v="Burgers"/>
    <x v="0"/>
    <s v="Veg"/>
    <n v="3"/>
    <n v="281"/>
    <n v="843"/>
    <n v="3.3"/>
    <n v="46"/>
    <n v="999"/>
    <n v="0"/>
    <x v="3"/>
    <n v="45"/>
    <s v="Female"/>
  </r>
  <r>
    <s v="SWG2178"/>
    <d v="2024-07-10T00:00:00"/>
    <x v="4"/>
    <s v="Wed"/>
    <s v="La pizza house"/>
    <x v="41"/>
    <s v="Fast Food, Snacks, Pizzas, Maharashtrian"/>
    <x v="1"/>
    <s v="Veg"/>
    <n v="1"/>
    <n v="484"/>
    <n v="484"/>
    <n v="3.3"/>
    <n v="43"/>
    <m/>
    <n v="0"/>
    <x v="1"/>
    <n v="26"/>
    <s v="Female"/>
  </r>
  <r>
    <s v="SWG2179"/>
    <d v="2024-08-04T00:00:00"/>
    <x v="6"/>
    <s v="Sun"/>
    <s v="Trunks &amp; Leaves"/>
    <x v="5"/>
    <s v="Chinese, Italian, Mexican, Indian, Kebabs, Tandoor, Biryani"/>
    <x v="2"/>
    <s v="Non-Veg"/>
    <n v="3"/>
    <n v="461"/>
    <n v="1383"/>
    <n v="4.0999999999999996"/>
    <n v="46"/>
    <n v="999"/>
    <n v="0"/>
    <x v="2"/>
    <n v="37"/>
    <s v="Female"/>
  </r>
  <r>
    <s v="SWG2180"/>
    <d v="2024-04-28T00:00:00"/>
    <x v="0"/>
    <s v="Sun"/>
    <s v="KOFU - Premium Artisanal Icecreams"/>
    <x v="19"/>
    <s v="Ice Cream"/>
    <x v="5"/>
    <s v="Veg"/>
    <n v="4"/>
    <n v="428"/>
    <n v="1712"/>
    <n v="3.6"/>
    <n v="41"/>
    <n v="449"/>
    <n v="0"/>
    <x v="3"/>
    <n v="41"/>
    <s v="Female"/>
  </r>
  <r>
    <s v="SWG2181"/>
    <d v="2024-08-16T00:00:00"/>
    <x v="6"/>
    <s v="Fri"/>
    <s v="IceCream Cake City"/>
    <x v="11"/>
    <s v="Bakery, Beverages"/>
    <x v="3"/>
    <s v="Veg"/>
    <n v="3"/>
    <n v="498"/>
    <n v="1494"/>
    <n v="4.2"/>
    <n v="45"/>
    <m/>
    <n v="0"/>
    <x v="0"/>
    <n v="36"/>
    <s v="Female"/>
  </r>
  <r>
    <s v="SWG2182"/>
    <d v="2024-01-28T00:00:00"/>
    <x v="2"/>
    <s v="Sun"/>
    <s v="Oye Lucky Paratha"/>
    <x v="4"/>
    <s v="Indian, Punjabi, Beverages"/>
    <x v="3"/>
    <s v="Veg"/>
    <n v="4"/>
    <n v="462"/>
    <n v="1848"/>
    <n v="3.8"/>
    <n v="51"/>
    <m/>
    <n v="0"/>
    <x v="1"/>
    <n v="33"/>
    <s v="Male"/>
  </r>
  <r>
    <s v="SWG2183"/>
    <d v="2024-07-20T00:00:00"/>
    <x v="4"/>
    <s v="Sat"/>
    <s v="Adventure Momo House"/>
    <x v="11"/>
    <s v="Chinese"/>
    <x v="5"/>
    <s v="Veg"/>
    <n v="4"/>
    <n v="554"/>
    <n v="2216"/>
    <n v="4.0999999999999996"/>
    <n v="51"/>
    <m/>
    <n v="0"/>
    <x v="0"/>
    <n v="24"/>
    <s v="Female"/>
  </r>
  <r>
    <s v="SWG2184"/>
    <d v="2024-02-08T00:00:00"/>
    <x v="7"/>
    <s v="Thu"/>
    <s v="Reuben Restrobar"/>
    <x v="11"/>
    <s v="North Indian, Chinese, Italian, Snacks, Biryani, Desserts, Continental, Pizzas, Salads, Beverages, Mughlai"/>
    <x v="1"/>
    <s v="Non-Veg"/>
    <n v="2"/>
    <n v="506"/>
    <n v="1012"/>
    <n v="4.2"/>
    <n v="59"/>
    <m/>
    <n v="0"/>
    <x v="1"/>
    <n v="36"/>
    <s v="Female"/>
  </r>
  <r>
    <s v="SWG2185"/>
    <d v="2024-07-03T00:00:00"/>
    <x v="4"/>
    <s v="Wed"/>
    <s v="Wu Momos - Malad"/>
    <x v="11"/>
    <s v="Chinese, Snacks"/>
    <x v="5"/>
    <s v="Veg"/>
    <n v="4"/>
    <n v="161"/>
    <n v="644"/>
    <n v="3.8"/>
    <n v="49"/>
    <n v="749"/>
    <n v="0"/>
    <x v="3"/>
    <n v="29"/>
    <s v="Male"/>
  </r>
  <r>
    <s v="SWG2186"/>
    <d v="2024-01-17T00:00:00"/>
    <x v="2"/>
    <s v="Wed"/>
    <s v="Aradhana Hotel"/>
    <x v="11"/>
    <s v="South Indian, Indian"/>
    <x v="5"/>
    <s v="Veg"/>
    <n v="2"/>
    <n v="473"/>
    <n v="946"/>
    <n v="4.2"/>
    <n v="42"/>
    <m/>
    <n v="0"/>
    <x v="2"/>
    <n v="32"/>
    <s v="Female"/>
  </r>
  <r>
    <s v="SWG2187"/>
    <d v="2024-08-18T00:00:00"/>
    <x v="6"/>
    <s v="Sun"/>
    <s v="Trends"/>
    <x v="4"/>
    <s v="Indian, Chinese"/>
    <x v="5"/>
    <s v="Veg"/>
    <n v="2"/>
    <n v="535"/>
    <n v="1070"/>
    <n v="4.4000000000000004"/>
    <n v="56"/>
    <m/>
    <n v="0"/>
    <x v="2"/>
    <n v="48"/>
    <s v="Female"/>
  </r>
  <r>
    <s v="SWG2188"/>
    <d v="2024-03-26T00:00:00"/>
    <x v="3"/>
    <s v="Tue"/>
    <s v="Conscious Baking Project"/>
    <x v="19"/>
    <s v="Bakery, Desserts"/>
    <x v="4"/>
    <s v="Veg"/>
    <n v="2"/>
    <n v="228"/>
    <n v="456"/>
    <n v="3.5"/>
    <n v="42"/>
    <m/>
    <n v="0"/>
    <x v="2"/>
    <n v="40"/>
    <s v="Female"/>
  </r>
  <r>
    <s v="SWG2189"/>
    <d v="2024-08-05T00:00:00"/>
    <x v="6"/>
    <s v="Mon"/>
    <s v="Paanjo Taste"/>
    <x v="3"/>
    <s v="Pizzas, Fast Food"/>
    <x v="1"/>
    <s v="Veg"/>
    <n v="1"/>
    <n v="170"/>
    <n v="170"/>
    <n v="4.3"/>
    <n v="43"/>
    <m/>
    <n v="0"/>
    <x v="1"/>
    <n v="31"/>
    <s v="Female"/>
  </r>
  <r>
    <s v="SWG2190"/>
    <d v="2024-05-05T00:00:00"/>
    <x v="5"/>
    <s v="Sun"/>
    <s v="Bhor"/>
    <x v="67"/>
    <s v="Indian"/>
    <x v="5"/>
    <s v="Veg"/>
    <n v="1"/>
    <n v="369"/>
    <n v="369"/>
    <n v="4.5999999999999996"/>
    <n v="61"/>
    <m/>
    <n v="0"/>
    <x v="3"/>
    <n v="28"/>
    <s v="Female"/>
  </r>
  <r>
    <s v="SWG2191"/>
    <d v="2024-02-13T00:00:00"/>
    <x v="7"/>
    <s v="Tue"/>
    <s v="Kung Fu"/>
    <x v="5"/>
    <s v="Chinese, Pan-Asian, Continental, Asian"/>
    <x v="5"/>
    <s v="Veg"/>
    <n v="4"/>
    <n v="460"/>
    <n v="1840"/>
    <n v="3.7"/>
    <n v="42"/>
    <n v="249"/>
    <n v="0"/>
    <x v="0"/>
    <n v="43"/>
    <s v="Male"/>
  </r>
  <r>
    <s v="SWG2192"/>
    <d v="2024-01-25T00:00:00"/>
    <x v="2"/>
    <s v="Thu"/>
    <s v="Crust &amp; Buns"/>
    <x v="3"/>
    <s v="Pizzas, Fast Food, Italian, Salads"/>
    <x v="1"/>
    <s v="Veg"/>
    <n v="2"/>
    <n v="549"/>
    <n v="1098"/>
    <n v="4.0999999999999996"/>
    <n v="51"/>
    <n v="999"/>
    <n v="0"/>
    <x v="3"/>
    <n v="27"/>
    <s v="Male"/>
  </r>
  <r>
    <s v="SWG2193"/>
    <d v="2024-05-24T00:00:00"/>
    <x v="5"/>
    <s v="Fri"/>
    <s v="Kababi Nation"/>
    <x v="7"/>
    <s v="Indian, Chinese, Tandoor, Biryani"/>
    <x v="2"/>
    <s v="Non-Veg"/>
    <n v="1"/>
    <n v="502"/>
    <n v="502"/>
    <n v="4.4000000000000004"/>
    <n v="59"/>
    <m/>
    <n v="0"/>
    <x v="0"/>
    <n v="44"/>
    <s v="Male"/>
  </r>
  <r>
    <s v="SWG2194"/>
    <d v="2024-01-13T00:00:00"/>
    <x v="2"/>
    <s v="Sat"/>
    <s v="Deepak Chinese Corner"/>
    <x v="11"/>
    <s v="Chinese"/>
    <x v="5"/>
    <s v="Veg"/>
    <n v="2"/>
    <n v="140"/>
    <n v="280"/>
    <m/>
    <m/>
    <n v="700"/>
    <n v="20"/>
    <x v="1"/>
    <n v="28"/>
    <s v="Female"/>
  </r>
  <r>
    <s v="SWG2195"/>
    <d v="2024-07-30T00:00:00"/>
    <x v="4"/>
    <s v="Tue"/>
    <s v="Tight House"/>
    <x v="3"/>
    <s v="Pizzas, Chinese, Indian, Beverages, Biryani"/>
    <x v="1"/>
    <s v="Non-Veg"/>
    <n v="3"/>
    <n v="419"/>
    <n v="1257"/>
    <n v="4"/>
    <n v="59"/>
    <m/>
    <n v="0"/>
    <x v="1"/>
    <n v="23"/>
    <s v="Male"/>
  </r>
  <r>
    <s v="SWG2196"/>
    <d v="2024-01-25T00:00:00"/>
    <x v="2"/>
    <s v="Thu"/>
    <s v="Chulha  Sardari"/>
    <x v="3"/>
    <s v="North Indian, Punjabi, Biryani, Chinese, Indian"/>
    <x v="2"/>
    <s v="Non-Veg"/>
    <n v="3"/>
    <n v="258"/>
    <n v="774"/>
    <n v="4.5999999999999996"/>
    <n v="45"/>
    <m/>
    <n v="0"/>
    <x v="0"/>
    <n v="19"/>
    <s v="Female"/>
  </r>
  <r>
    <s v="SWG2197"/>
    <d v="2024-03-08T00:00:00"/>
    <x v="3"/>
    <s v="Fri"/>
    <s v="Yo Social Cafe"/>
    <x v="11"/>
    <s v="Indian, North Indian, Chinese, Biryani, Pastas, Snacks"/>
    <x v="2"/>
    <s v="Non-Veg"/>
    <n v="3"/>
    <n v="478"/>
    <n v="1434"/>
    <m/>
    <m/>
    <m/>
    <n v="0"/>
    <x v="0"/>
    <n v="28"/>
    <s v="Female"/>
  </r>
  <r>
    <s v="SWG2198"/>
    <d v="2024-05-17T00:00:00"/>
    <x v="5"/>
    <s v="Fri"/>
    <s v="Curry N Fry"/>
    <x v="22"/>
    <s v="Biryani, Chinese, Tandoor, North Indian"/>
    <x v="2"/>
    <s v="Non-Veg"/>
    <n v="4"/>
    <n v="443"/>
    <n v="1772"/>
    <n v="4.0999999999999996"/>
    <n v="52"/>
    <n v="449"/>
    <n v="0"/>
    <x v="0"/>
    <n v="36"/>
    <s v="Female"/>
  </r>
  <r>
    <s v="SWG2199"/>
    <d v="2024-03-07T00:00:00"/>
    <x v="3"/>
    <s v="Thu"/>
    <s v="Hot Grill"/>
    <x v="29"/>
    <s v="North Indian, Biryani"/>
    <x v="2"/>
    <s v="Non-Veg"/>
    <n v="2"/>
    <n v="504"/>
    <n v="1008"/>
    <m/>
    <m/>
    <m/>
    <n v="0"/>
    <x v="3"/>
    <n v="49"/>
    <s v="Male"/>
  </r>
  <r>
    <s v="SWG2200"/>
    <d v="2024-08-20T00:00:00"/>
    <x v="6"/>
    <s v="Tue"/>
    <s v="CBC Chinese By Choice"/>
    <x v="2"/>
    <s v="Chinese, Thai, Asian, Beverages"/>
    <x v="3"/>
    <s v="Veg"/>
    <n v="3"/>
    <n v="211"/>
    <n v="633"/>
    <n v="3.8"/>
    <n v="50"/>
    <n v="150"/>
    <n v="30"/>
    <x v="0"/>
    <n v="23"/>
    <s v="Male"/>
  </r>
  <r>
    <s v="SWG2201"/>
    <d v="2024-04-18T00:00:00"/>
    <x v="0"/>
    <s v="Thu"/>
    <s v="The Little Cakery"/>
    <x v="19"/>
    <s v="Bakery, Desserts"/>
    <x v="4"/>
    <s v="Veg"/>
    <n v="1"/>
    <n v="566"/>
    <n v="566"/>
    <n v="3.3"/>
    <n v="52"/>
    <m/>
    <n v="0"/>
    <x v="1"/>
    <n v="31"/>
    <s v="Male"/>
  </r>
  <r>
    <s v="SWG2202"/>
    <d v="2024-05-25T00:00:00"/>
    <x v="5"/>
    <s v="Sat"/>
    <s v="Shree Shankar Vilas Juice Centre"/>
    <x v="29"/>
    <s v="Beverages"/>
    <x v="3"/>
    <s v="Veg"/>
    <n v="3"/>
    <n v="399"/>
    <n v="1197"/>
    <m/>
    <m/>
    <m/>
    <n v="0"/>
    <x v="1"/>
    <n v="37"/>
    <s v="Female"/>
  </r>
  <r>
    <s v="SWG2203"/>
    <d v="2024-04-20T00:00:00"/>
    <x v="0"/>
    <s v="Sat"/>
    <s v="Salads@169"/>
    <x v="11"/>
    <s v="Salads"/>
    <x v="5"/>
    <s v="Veg"/>
    <n v="3"/>
    <n v="244"/>
    <n v="732"/>
    <n v="4.3"/>
    <n v="52"/>
    <n v="125"/>
    <n v="25"/>
    <x v="2"/>
    <n v="23"/>
    <s v="Male"/>
  </r>
  <r>
    <s v="SWG2204"/>
    <d v="2024-08-15T00:00:00"/>
    <x v="6"/>
    <s v="Thu"/>
    <s v="Chavdar Thamba"/>
    <x v="33"/>
    <s v="Indian, Thalis"/>
    <x v="5"/>
    <s v="Veg"/>
    <n v="3"/>
    <n v="516"/>
    <n v="1548"/>
    <m/>
    <m/>
    <n v="499"/>
    <n v="0"/>
    <x v="0"/>
    <n v="34"/>
    <s v="Female"/>
  </r>
  <r>
    <s v="SWG2205"/>
    <d v="2024-04-20T00:00:00"/>
    <x v="0"/>
    <s v="Sat"/>
    <s v="Joker Joe s pizza"/>
    <x v="90"/>
    <s v="Italian, Beverages"/>
    <x v="3"/>
    <s v="Veg"/>
    <n v="4"/>
    <n v="230"/>
    <n v="920"/>
    <n v="4"/>
    <n v="61"/>
    <n v="999"/>
    <n v="0"/>
    <x v="3"/>
    <n v="27"/>
    <s v="Male"/>
  </r>
  <r>
    <s v="SWG2206"/>
    <d v="2024-08-01T00:00:00"/>
    <x v="6"/>
    <s v="Thu"/>
    <s v="Sandwich And Frankey House"/>
    <x v="19"/>
    <s v="Fast Food, Snacks, Italian-American, Beverages"/>
    <x v="3"/>
    <s v="Veg"/>
    <n v="1"/>
    <n v="473"/>
    <n v="473"/>
    <m/>
    <m/>
    <m/>
    <n v="0"/>
    <x v="3"/>
    <n v="45"/>
    <s v="Male"/>
  </r>
  <r>
    <s v="SWG2207"/>
    <d v="2024-02-03T00:00:00"/>
    <x v="7"/>
    <s v="Sat"/>
    <s v="Marve Bakery"/>
    <x v="11"/>
    <s v="North Indian, Chaat"/>
    <x v="5"/>
    <s v="Veg"/>
    <n v="2"/>
    <n v="258"/>
    <n v="516"/>
    <m/>
    <m/>
    <m/>
    <n v="0"/>
    <x v="3"/>
    <n v="18"/>
    <s v="Female"/>
  </r>
  <r>
    <s v="SWG2208"/>
    <d v="2024-04-20T00:00:00"/>
    <x v="0"/>
    <s v="Sat"/>
    <s v="Idaily - Idli Daily"/>
    <x v="11"/>
    <s v="South Indian, Snacks, Indian, Beverages"/>
    <x v="3"/>
    <s v="Veg"/>
    <n v="1"/>
    <n v="554"/>
    <n v="554"/>
    <m/>
    <m/>
    <m/>
    <n v="0"/>
    <x v="2"/>
    <n v="20"/>
    <s v="Female"/>
  </r>
  <r>
    <s v="SWG2209"/>
    <d v="2024-01-08T00:00:00"/>
    <x v="2"/>
    <s v="Mon"/>
    <s v="Grow More Snacks(Maitri Amruttulya)"/>
    <x v="11"/>
    <s v="Beverages"/>
    <x v="3"/>
    <s v="Veg"/>
    <n v="2"/>
    <n v="392"/>
    <n v="784"/>
    <m/>
    <m/>
    <m/>
    <n v="0"/>
    <x v="1"/>
    <n v="25"/>
    <s v="Male"/>
  </r>
  <r>
    <s v="SWG2210"/>
    <d v="2024-06-16T00:00:00"/>
    <x v="1"/>
    <s v="Sun"/>
    <s v="Mudras"/>
    <x v="7"/>
    <s v="Pizzas, Fast Food, Beverages, Indian"/>
    <x v="1"/>
    <s v="Veg"/>
    <n v="4"/>
    <n v="218"/>
    <n v="872"/>
    <n v="3.8"/>
    <n v="43"/>
    <m/>
    <n v="0"/>
    <x v="3"/>
    <n v="25"/>
    <s v="Male"/>
  </r>
  <r>
    <s v="SWG2211"/>
    <d v="2024-04-22T00:00:00"/>
    <x v="0"/>
    <s v="Mon"/>
    <s v="Sunday The Comfort Kitchen"/>
    <x v="7"/>
    <s v="Chinese, Continental, Indian, Goan, Italian, Salads"/>
    <x v="5"/>
    <s v="Veg"/>
    <n v="4"/>
    <n v="371"/>
    <n v="1484"/>
    <n v="5"/>
    <n v="46"/>
    <m/>
    <n v="0"/>
    <x v="1"/>
    <n v="44"/>
    <s v="Male"/>
  </r>
  <r>
    <s v="SWG2212"/>
    <d v="2024-08-23T00:00:00"/>
    <x v="6"/>
    <s v="Fri"/>
    <s v="Shivansh Kitchen"/>
    <x v="5"/>
    <s v="South Indian, Beverages, Snacks"/>
    <x v="3"/>
    <s v="Veg"/>
    <n v="4"/>
    <n v="457"/>
    <n v="1828"/>
    <n v="4.8"/>
    <n v="66"/>
    <m/>
    <n v="0"/>
    <x v="2"/>
    <n v="37"/>
    <s v="Female"/>
  </r>
  <r>
    <s v="SWG2213"/>
    <d v="2024-03-23T00:00:00"/>
    <x v="3"/>
    <s v="Sat"/>
    <s v="The Live Cake Shop"/>
    <x v="5"/>
    <s v="Desserts"/>
    <x v="4"/>
    <s v="Veg"/>
    <n v="4"/>
    <n v="223"/>
    <n v="892"/>
    <n v="4.2"/>
    <n v="47"/>
    <m/>
    <n v="0"/>
    <x v="0"/>
    <n v="39"/>
    <s v="Female"/>
  </r>
  <r>
    <s v="SWG2214"/>
    <d v="2024-02-11T00:00:00"/>
    <x v="7"/>
    <s v="Sun"/>
    <s v="Rasoi kamaal"/>
    <x v="36"/>
    <s v="Malwani, Chinese, North Indian"/>
    <x v="5"/>
    <s v="Veg"/>
    <n v="2"/>
    <n v="333"/>
    <n v="666"/>
    <n v="4.2"/>
    <n v="54"/>
    <n v="700"/>
    <n v="20"/>
    <x v="0"/>
    <n v="32"/>
    <s v="Male"/>
  </r>
  <r>
    <s v="SWG2215"/>
    <d v="2024-06-17T00:00:00"/>
    <x v="1"/>
    <s v="Mon"/>
    <s v="Masterji - Surati Anda Gotala"/>
    <x v="7"/>
    <s v="Indian, Gujarati"/>
    <x v="5"/>
    <s v="Veg"/>
    <n v="3"/>
    <n v="368"/>
    <n v="1104"/>
    <n v="4.3"/>
    <n v="45"/>
    <m/>
    <n v="0"/>
    <x v="0"/>
    <n v="41"/>
    <s v="Male"/>
  </r>
  <r>
    <s v="SWG2216"/>
    <d v="2024-04-10T00:00:00"/>
    <x v="0"/>
    <s v="Wed"/>
    <s v="Momos &amp; Waffle Cafe"/>
    <x v="7"/>
    <s v="Chinese, Kebabs"/>
    <x v="5"/>
    <s v="Non-Veg"/>
    <n v="2"/>
    <n v="271"/>
    <n v="542"/>
    <n v="3.8"/>
    <n v="51"/>
    <n v="150"/>
    <n v="30"/>
    <x v="3"/>
    <n v="24"/>
    <s v="Female"/>
  </r>
  <r>
    <s v="SWG2217"/>
    <d v="2024-01-06T00:00:00"/>
    <x v="2"/>
    <s v="Sat"/>
    <s v="AADI GRAND RESTAURANT"/>
    <x v="7"/>
    <s v="Indian"/>
    <x v="5"/>
    <s v="Veg"/>
    <n v="1"/>
    <n v="369"/>
    <n v="369"/>
    <m/>
    <m/>
    <m/>
    <n v="0"/>
    <x v="0"/>
    <n v="28"/>
    <s v="Male"/>
  </r>
  <r>
    <s v="SWG2218"/>
    <d v="2024-06-28T00:00:00"/>
    <x v="1"/>
    <s v="Fri"/>
    <s v="Brahmi-The Veg Bistro"/>
    <x v="22"/>
    <s v="Biryani, Indian, Chinese, Beverages"/>
    <x v="2"/>
    <s v="Non-Veg"/>
    <n v="4"/>
    <n v="394"/>
    <n v="1576"/>
    <n v="3.5"/>
    <n v="40"/>
    <n v="449"/>
    <n v="0"/>
    <x v="3"/>
    <n v="24"/>
    <s v="Female"/>
  </r>
  <r>
    <s v="SWG2219"/>
    <d v="2024-01-26T00:00:00"/>
    <x v="2"/>
    <s v="Fri"/>
    <s v="Namaste Borivali"/>
    <x v="7"/>
    <s v="Snacks, Beverages"/>
    <x v="3"/>
    <s v="Veg"/>
    <n v="4"/>
    <n v="284"/>
    <n v="1136"/>
    <n v="4.3"/>
    <n v="41"/>
    <n v="999"/>
    <n v="0"/>
    <x v="2"/>
    <n v="46"/>
    <s v="Female"/>
  </r>
  <r>
    <s v="SWG2220"/>
    <d v="2024-03-04T00:00:00"/>
    <x v="3"/>
    <s v="Mon"/>
    <s v="Chaska Corner"/>
    <x v="11"/>
    <s v="Biryani"/>
    <x v="2"/>
    <s v="Non-Veg"/>
    <n v="1"/>
    <n v="460"/>
    <n v="460"/>
    <m/>
    <m/>
    <n v="999"/>
    <n v="0"/>
    <x v="2"/>
    <n v="21"/>
    <s v="Female"/>
  </r>
  <r>
    <s v="SWG2221"/>
    <d v="2024-08-13T00:00:00"/>
    <x v="6"/>
    <s v="Tue"/>
    <s v="Dharma Sandwich"/>
    <x v="2"/>
    <s v="Fast Food"/>
    <x v="5"/>
    <s v="Veg"/>
    <n v="2"/>
    <n v="127"/>
    <n v="254"/>
    <n v="2.6"/>
    <n v="53"/>
    <m/>
    <n v="0"/>
    <x v="3"/>
    <n v="42"/>
    <s v="Female"/>
  </r>
  <r>
    <s v="SWG2222"/>
    <d v="2024-07-05T00:00:00"/>
    <x v="4"/>
    <s v="Fri"/>
    <s v="Manojs Ice Cream"/>
    <x v="5"/>
    <s v="Ice Cream"/>
    <x v="5"/>
    <s v="Veg"/>
    <n v="3"/>
    <n v="403"/>
    <n v="1209"/>
    <n v="4.7"/>
    <n v="42"/>
    <m/>
    <n v="0"/>
    <x v="1"/>
    <n v="29"/>
    <s v="Female"/>
  </r>
  <r>
    <s v="SWG2223"/>
    <d v="2024-07-02T00:00:00"/>
    <x v="4"/>
    <s v="Tue"/>
    <s v="Food Lover Point"/>
    <x v="36"/>
    <s v="Indian"/>
    <x v="5"/>
    <s v="Veg"/>
    <n v="3"/>
    <n v="124"/>
    <n v="372"/>
    <n v="3.5"/>
    <n v="52"/>
    <m/>
    <n v="0"/>
    <x v="0"/>
    <n v="43"/>
    <s v="Female"/>
  </r>
  <r>
    <s v="SWG2224"/>
    <d v="2024-02-28T00:00:00"/>
    <x v="7"/>
    <s v="Wed"/>
    <s v="Shiv Shakti"/>
    <x v="3"/>
    <s v="North Indian"/>
    <x v="5"/>
    <s v="Veg"/>
    <n v="1"/>
    <n v="264"/>
    <n v="264"/>
    <n v="3.6"/>
    <n v="51"/>
    <n v="1000"/>
    <n v="10"/>
    <x v="0"/>
    <n v="23"/>
    <s v="Male"/>
  </r>
  <r>
    <s v="SWG2225"/>
    <d v="2024-04-18T00:00:00"/>
    <x v="0"/>
    <s v="Thu"/>
    <s v="Suyog Dining Bar"/>
    <x v="29"/>
    <s v="Indian, Chinese"/>
    <x v="5"/>
    <s v="Veg"/>
    <n v="3"/>
    <n v="220"/>
    <n v="660"/>
    <n v="4.5999999999999996"/>
    <n v="41"/>
    <m/>
    <n v="0"/>
    <x v="0"/>
    <n v="31"/>
    <s v="Female"/>
  </r>
  <r>
    <s v="SWG2226"/>
    <d v="2024-07-16T00:00:00"/>
    <x v="4"/>
    <s v="Tue"/>
    <s v="81 Olives"/>
    <x v="7"/>
    <s v="Pizzas"/>
    <x v="1"/>
    <s v="Veg"/>
    <n v="2"/>
    <n v="283"/>
    <n v="566"/>
    <n v="3.4"/>
    <n v="45"/>
    <m/>
    <n v="0"/>
    <x v="3"/>
    <n v="29"/>
    <s v="Female"/>
  </r>
  <r>
    <s v="SWG2227"/>
    <d v="2024-08-16T00:00:00"/>
    <x v="6"/>
    <s v="Fri"/>
    <s v="Remi'S Kitchen"/>
    <x v="2"/>
    <s v="Jain, Chinese, Tibetan"/>
    <x v="5"/>
    <s v="Veg"/>
    <n v="2"/>
    <n v="493"/>
    <n v="986"/>
    <n v="5"/>
    <n v="41"/>
    <m/>
    <n v="0"/>
    <x v="2"/>
    <n v="28"/>
    <s v="Male"/>
  </r>
  <r>
    <s v="SWG2228"/>
    <d v="2024-04-30T00:00:00"/>
    <x v="0"/>
    <s v="Tue"/>
    <s v="Aqua Dhaba"/>
    <x v="29"/>
    <s v="Indian, Chinese, Biryani"/>
    <x v="2"/>
    <s v="Non-Veg"/>
    <n v="1"/>
    <n v="266"/>
    <n v="266"/>
    <m/>
    <m/>
    <n v="120"/>
    <n v="20"/>
    <x v="0"/>
    <n v="36"/>
    <s v="Female"/>
  </r>
  <r>
    <s v="SWG2229"/>
    <d v="2024-02-02T00:00:00"/>
    <x v="7"/>
    <s v="Fri"/>
    <s v="Healthy Shawarma"/>
    <x v="7"/>
    <s v="Arabian"/>
    <x v="5"/>
    <s v="Veg"/>
    <n v="2"/>
    <n v="183"/>
    <n v="366"/>
    <n v="3.6"/>
    <n v="40"/>
    <n v="999"/>
    <n v="0"/>
    <x v="2"/>
    <n v="38"/>
    <s v="Male"/>
  </r>
  <r>
    <s v="SWG2230"/>
    <d v="2024-06-29T00:00:00"/>
    <x v="1"/>
    <s v="Sat"/>
    <s v="Oriv Resto - Cafe - Bar"/>
    <x v="7"/>
    <s v="Chinese, Pizzas, Snacks, Pastas"/>
    <x v="1"/>
    <s v="Veg"/>
    <n v="4"/>
    <n v="210"/>
    <n v="840"/>
    <n v="4.3"/>
    <n v="56"/>
    <n v="999"/>
    <n v="0"/>
    <x v="0"/>
    <n v="22"/>
    <s v="Female"/>
  </r>
  <r>
    <s v="SWG2231"/>
    <d v="2024-05-29T00:00:00"/>
    <x v="5"/>
    <s v="Wed"/>
    <s v="Delights"/>
    <x v="33"/>
    <s v="Bakery, Desserts"/>
    <x v="4"/>
    <s v="Veg"/>
    <n v="1"/>
    <n v="236"/>
    <n v="236"/>
    <m/>
    <m/>
    <m/>
    <n v="0"/>
    <x v="0"/>
    <n v="31"/>
    <s v="Male"/>
  </r>
  <r>
    <s v="SWG2232"/>
    <d v="2024-01-21T00:00:00"/>
    <x v="2"/>
    <s v="Sun"/>
    <s v="Nagori tea and cold drinks shop"/>
    <x v="11"/>
    <s v="Beverages, Snacks"/>
    <x v="3"/>
    <s v="Veg"/>
    <n v="2"/>
    <n v="473"/>
    <n v="946"/>
    <n v="4.5"/>
    <n v="42"/>
    <n v="749"/>
    <n v="0"/>
    <x v="3"/>
    <n v="38"/>
    <s v="Male"/>
  </r>
  <r>
    <s v="SWG2233"/>
    <d v="2024-07-16T00:00:00"/>
    <x v="4"/>
    <s v="Tue"/>
    <s v="Delhi Sweet &amp; Bhelpuri House"/>
    <x v="4"/>
    <s v="Snacks, Sweets, Chaat, Street Food"/>
    <x v="5"/>
    <s v="Veg"/>
    <n v="1"/>
    <n v="386"/>
    <n v="386"/>
    <n v="3.7"/>
    <n v="46"/>
    <m/>
    <n v="0"/>
    <x v="1"/>
    <n v="41"/>
    <s v="Female"/>
  </r>
  <r>
    <s v="SWG2234"/>
    <d v="2024-03-10T00:00:00"/>
    <x v="3"/>
    <s v="Sun"/>
    <s v="Shri Sainath"/>
    <x v="4"/>
    <s v="Chinese, Tandoor"/>
    <x v="5"/>
    <s v="Veg"/>
    <n v="3"/>
    <n v="429"/>
    <n v="1287"/>
    <n v="4.8"/>
    <n v="46"/>
    <m/>
    <n v="0"/>
    <x v="3"/>
    <n v="33"/>
    <s v="Female"/>
  </r>
  <r>
    <s v="SWG2235"/>
    <d v="2024-04-21T00:00:00"/>
    <x v="0"/>
    <s v="Sun"/>
    <s v="Backyard Beer Garden"/>
    <x v="29"/>
    <s v="Chinese"/>
    <x v="5"/>
    <s v="Veg"/>
    <n v="2"/>
    <n v="292"/>
    <n v="584"/>
    <m/>
    <m/>
    <m/>
    <n v="0"/>
    <x v="0"/>
    <n v="42"/>
    <s v="Female"/>
  </r>
  <r>
    <s v="SWG2236"/>
    <d v="2024-01-04T00:00:00"/>
    <x v="2"/>
    <s v="Thu"/>
    <s v="Donna's Pizza"/>
    <x v="5"/>
    <s v="Pizzas"/>
    <x v="1"/>
    <s v="Veg"/>
    <n v="4"/>
    <n v="166"/>
    <n v="664"/>
    <n v="4"/>
    <n v="43"/>
    <m/>
    <n v="0"/>
    <x v="0"/>
    <n v="30"/>
    <s v="Female"/>
  </r>
  <r>
    <s v="SWG2237"/>
    <d v="2024-04-03T00:00:00"/>
    <x v="0"/>
    <s v="Wed"/>
    <s v="Gourmet Veg Burgers By Spukies"/>
    <x v="19"/>
    <s v="Burgers, American, Beverages"/>
    <x v="0"/>
    <s v="Veg"/>
    <n v="2"/>
    <n v="259"/>
    <n v="518"/>
    <n v="4.9000000000000004"/>
    <n v="55"/>
    <m/>
    <n v="0"/>
    <x v="1"/>
    <n v="42"/>
    <s v="Male"/>
  </r>
  <r>
    <s v="SWG2238"/>
    <d v="2024-03-15T00:00:00"/>
    <x v="3"/>
    <s v="Fri"/>
    <s v="Kabali"/>
    <x v="11"/>
    <s v="Indian, Tandoor, Salads"/>
    <x v="5"/>
    <s v="Veg"/>
    <n v="1"/>
    <n v="365"/>
    <n v="365"/>
    <n v="4.0999999999999996"/>
    <n v="67"/>
    <n v="999"/>
    <n v="0"/>
    <x v="2"/>
    <n v="46"/>
    <s v="Male"/>
  </r>
  <r>
    <s v="SWG2239"/>
    <d v="2024-07-08T00:00:00"/>
    <x v="4"/>
    <s v="Mon"/>
    <s v="Gossip Corner"/>
    <x v="3"/>
    <s v="Continental, Italian"/>
    <x v="5"/>
    <s v="Veg"/>
    <n v="1"/>
    <n v="268"/>
    <n v="268"/>
    <n v="4.4000000000000004"/>
    <n v="46"/>
    <n v="999"/>
    <n v="0"/>
    <x v="2"/>
    <n v="39"/>
    <s v="Male"/>
  </r>
  <r>
    <s v="SWG2240"/>
    <d v="2024-03-02T00:00:00"/>
    <x v="3"/>
    <s v="Sat"/>
    <s v="Rajdhani Caterers"/>
    <x v="41"/>
    <s v="Indian"/>
    <x v="5"/>
    <s v="Veg"/>
    <n v="2"/>
    <n v="365"/>
    <n v="730"/>
    <n v="2.4"/>
    <n v="53"/>
    <m/>
    <n v="0"/>
    <x v="0"/>
    <n v="39"/>
    <s v="Female"/>
  </r>
  <r>
    <s v="SWG2241"/>
    <d v="2024-04-03T00:00:00"/>
    <x v="0"/>
    <s v="Wed"/>
    <s v="Dave's Dal Dhokli"/>
    <x v="41"/>
    <s v="Gujarati, Rajasthani, Maharashtrian"/>
    <x v="5"/>
    <s v="Veg"/>
    <n v="4"/>
    <n v="514"/>
    <n v="2056"/>
    <n v="4.7"/>
    <n v="60"/>
    <m/>
    <n v="0"/>
    <x v="2"/>
    <n v="42"/>
    <s v="Male"/>
  </r>
  <r>
    <s v="SWG2242"/>
    <d v="2024-04-04T00:00:00"/>
    <x v="0"/>
    <s v="Thu"/>
    <s v="Plate - It"/>
    <x v="7"/>
    <s v="Biryani, Italian"/>
    <x v="2"/>
    <s v="Non-Veg"/>
    <n v="4"/>
    <n v="595"/>
    <n v="2380"/>
    <n v="4"/>
    <n v="62"/>
    <n v="499"/>
    <n v="0"/>
    <x v="0"/>
    <n v="37"/>
    <s v="Female"/>
  </r>
  <r>
    <s v="SWG2243"/>
    <d v="2024-05-31T00:00:00"/>
    <x v="5"/>
    <s v="Fri"/>
    <s v="Squares Pizza and Cafe"/>
    <x v="4"/>
    <s v="Italian, Pizzas"/>
    <x v="1"/>
    <s v="Veg"/>
    <n v="4"/>
    <n v="124"/>
    <n v="496"/>
    <n v="4.3"/>
    <n v="52"/>
    <m/>
    <n v="0"/>
    <x v="1"/>
    <n v="39"/>
    <s v="Female"/>
  </r>
  <r>
    <s v="SWG2244"/>
    <d v="2024-02-24T00:00:00"/>
    <x v="7"/>
    <s v="Sat"/>
    <s v="Sriya chinese Restaurant"/>
    <x v="5"/>
    <s v="Chinese, North Indian, Indian, Beverages"/>
    <x v="3"/>
    <s v="Veg"/>
    <n v="1"/>
    <n v="584"/>
    <n v="584"/>
    <n v="3.5"/>
    <n v="46"/>
    <n v="600"/>
    <n v="25"/>
    <x v="1"/>
    <n v="21"/>
    <s v="Male"/>
  </r>
  <r>
    <s v="SWG2245"/>
    <d v="2024-05-16T00:00:00"/>
    <x v="5"/>
    <s v="Thu"/>
    <s v="Shanghai Chinese Pure Veg"/>
    <x v="6"/>
    <s v="Chinese"/>
    <x v="5"/>
    <s v="Veg"/>
    <n v="2"/>
    <n v="303"/>
    <n v="606"/>
    <n v="3.8"/>
    <n v="51"/>
    <n v="999"/>
    <n v="0"/>
    <x v="0"/>
    <n v="28"/>
    <s v="Female"/>
  </r>
  <r>
    <s v="SWG2246"/>
    <d v="2024-05-10T00:00:00"/>
    <x v="5"/>
    <s v="Fri"/>
    <s v="Jumboking Indain Burger"/>
    <x v="11"/>
    <s v="Burgers, Snacks, Beverages"/>
    <x v="0"/>
    <s v="Veg"/>
    <n v="3"/>
    <n v="139"/>
    <n v="417"/>
    <n v="4"/>
    <n v="46"/>
    <n v="449"/>
    <n v="0"/>
    <x v="1"/>
    <n v="49"/>
    <s v="Male"/>
  </r>
  <r>
    <s v="SWG2247"/>
    <d v="2024-01-31T00:00:00"/>
    <x v="2"/>
    <s v="Wed"/>
    <s v="Annalaxmi Snacks "/>
    <x v="19"/>
    <s v="Chinese, South Indian, Tandoor, Arabian, Fast Food"/>
    <x v="5"/>
    <s v="Veg"/>
    <n v="1"/>
    <n v="544"/>
    <n v="544"/>
    <n v="3.9"/>
    <n v="52"/>
    <n v="1000"/>
    <n v="20"/>
    <x v="3"/>
    <n v="34"/>
    <s v="Female"/>
  </r>
  <r>
    <s v="SWG2248"/>
    <d v="2024-02-09T00:00:00"/>
    <x v="7"/>
    <s v="Fri"/>
    <s v="M/S. Aslam Chicken"/>
    <x v="33"/>
    <s v="North Indian, Kebabs, Desserts"/>
    <x v="4"/>
    <s v="Non-Veg"/>
    <n v="4"/>
    <n v="165"/>
    <n v="660"/>
    <n v="3.4"/>
    <n v="47"/>
    <m/>
    <n v="0"/>
    <x v="3"/>
    <n v="24"/>
    <s v="Male"/>
  </r>
  <r>
    <s v="SWG2249"/>
    <d v="2024-08-16T00:00:00"/>
    <x v="6"/>
    <s v="Fri"/>
    <s v="Dharmu's Snacks Corner"/>
    <x v="7"/>
    <s v="Snacks, Maharashtrian"/>
    <x v="5"/>
    <s v="Veg"/>
    <n v="2"/>
    <n v="131"/>
    <n v="262"/>
    <n v="4.2"/>
    <n v="50"/>
    <m/>
    <n v="0"/>
    <x v="1"/>
    <n v="31"/>
    <s v="Female"/>
  </r>
  <r>
    <s v="SWG2250"/>
    <d v="2024-02-05T00:00:00"/>
    <x v="7"/>
    <s v="Mon"/>
    <s v="Aaradhya Super Restaurant"/>
    <x v="2"/>
    <s v="Beverages"/>
    <x v="3"/>
    <s v="Veg"/>
    <n v="4"/>
    <n v="189"/>
    <n v="756"/>
    <m/>
    <m/>
    <m/>
    <n v="0"/>
    <x v="0"/>
    <n v="43"/>
    <s v="Male"/>
  </r>
  <r>
    <s v="SWG2251"/>
    <d v="2024-05-31T00:00:00"/>
    <x v="5"/>
    <s v="Fri"/>
    <s v="New Cake Place"/>
    <x v="7"/>
    <s v="Bakery"/>
    <x v="5"/>
    <s v="Veg"/>
    <n v="3"/>
    <n v="136"/>
    <n v="408"/>
    <m/>
    <m/>
    <m/>
    <n v="0"/>
    <x v="0"/>
    <n v="28"/>
    <s v="Male"/>
  </r>
  <r>
    <s v="SWG2252"/>
    <d v="2024-08-10T00:00:00"/>
    <x v="6"/>
    <s v="Sat"/>
    <s v="Bounty The Cake Stop"/>
    <x v="7"/>
    <s v="Bakery, Desserts"/>
    <x v="4"/>
    <s v="Veg"/>
    <n v="4"/>
    <n v="490"/>
    <n v="1960"/>
    <n v="4.0999999999999996"/>
    <n v="32"/>
    <m/>
    <n v="0"/>
    <x v="1"/>
    <n v="45"/>
    <s v="Female"/>
  </r>
  <r>
    <s v="SWG2253"/>
    <d v="2024-01-06T00:00:00"/>
    <x v="2"/>
    <s v="Sat"/>
    <s v="SHRINATH SWEETS AND SNACKS"/>
    <x v="7"/>
    <s v="Sweets"/>
    <x v="5"/>
    <s v="Veg"/>
    <n v="4"/>
    <n v="266"/>
    <n v="1064"/>
    <m/>
    <m/>
    <m/>
    <n v="0"/>
    <x v="2"/>
    <n v="39"/>
    <s v="Female"/>
  </r>
  <r>
    <s v="SWG2254"/>
    <d v="2024-03-06T00:00:00"/>
    <x v="3"/>
    <s v="Wed"/>
    <s v="Bombay Blues Icecream"/>
    <x v="7"/>
    <s v="Ice Cream, Desserts, Sweets"/>
    <x v="4"/>
    <s v="Veg"/>
    <n v="3"/>
    <n v="273"/>
    <n v="819"/>
    <m/>
    <m/>
    <m/>
    <n v="0"/>
    <x v="3"/>
    <n v="26"/>
    <s v="Male"/>
  </r>
  <r>
    <s v="SWG2255"/>
    <d v="2024-07-30T00:00:00"/>
    <x v="4"/>
    <s v="Tue"/>
    <s v="SHREE  GANESH SWEET SHOP"/>
    <x v="7"/>
    <s v="Beverages, Fast Food"/>
    <x v="3"/>
    <s v="Veg"/>
    <n v="2"/>
    <n v="423"/>
    <n v="846"/>
    <m/>
    <m/>
    <m/>
    <n v="0"/>
    <x v="2"/>
    <n v="40"/>
    <s v="Female"/>
  </r>
  <r>
    <s v="SWG2256"/>
    <d v="2024-08-07T00:00:00"/>
    <x v="6"/>
    <s v="Wed"/>
    <s v="Shreeji Fast Food And juice Center"/>
    <x v="7"/>
    <s v="Beverages, Burgers, South Indian, Fast Food, Pizzas, Chinese, Indian, Snacks"/>
    <x v="1"/>
    <s v="Veg"/>
    <n v="1"/>
    <n v="227"/>
    <n v="227"/>
    <m/>
    <m/>
    <n v="125"/>
    <n v="25"/>
    <x v="0"/>
    <n v="30"/>
    <s v="Female"/>
  </r>
  <r>
    <s v="SWG2257"/>
    <d v="2024-03-15T00:00:00"/>
    <x v="3"/>
    <s v="Fri"/>
    <s v="Munchies's Thakur Complex"/>
    <x v="2"/>
    <s v="Beverages, Italian"/>
    <x v="3"/>
    <s v="Veg"/>
    <n v="2"/>
    <n v="355"/>
    <n v="710"/>
    <n v="3.7"/>
    <n v="33"/>
    <n v="150"/>
    <n v="30"/>
    <x v="0"/>
    <n v="40"/>
    <s v="Female"/>
  </r>
  <r>
    <s v="SWG2258"/>
    <d v="2024-01-04T00:00:00"/>
    <x v="2"/>
    <s v="Thu"/>
    <s v="Vrindavan Fine Foods"/>
    <x v="2"/>
    <s v="Sweets, Desserts"/>
    <x v="4"/>
    <s v="Veg"/>
    <n v="3"/>
    <n v="427"/>
    <n v="1281"/>
    <m/>
    <m/>
    <m/>
    <n v="0"/>
    <x v="2"/>
    <n v="35"/>
    <s v="Male"/>
  </r>
  <r>
    <s v="SWG2259"/>
    <d v="2024-03-19T00:00:00"/>
    <x v="3"/>
    <s v="Tue"/>
    <s v="Food Of Joy"/>
    <x v="2"/>
    <s v="Italian-American, Fast Food, Chinese, Beverages"/>
    <x v="3"/>
    <s v="Veg"/>
    <n v="4"/>
    <n v="471"/>
    <n v="1884"/>
    <m/>
    <m/>
    <n v="150"/>
    <n v="30"/>
    <x v="1"/>
    <n v="45"/>
    <s v="Male"/>
  </r>
  <r>
    <s v="SWG2260"/>
    <d v="2024-05-13T00:00:00"/>
    <x v="5"/>
    <s v="Mon"/>
    <s v="Bombay Tea"/>
    <x v="7"/>
    <s v="Beverages, Desserts, Bakery"/>
    <x v="4"/>
    <s v="Veg"/>
    <n v="2"/>
    <n v="189"/>
    <n v="378"/>
    <m/>
    <m/>
    <m/>
    <n v="0"/>
    <x v="2"/>
    <n v="28"/>
    <s v="Female"/>
  </r>
  <r>
    <s v="SWG2261"/>
    <d v="2024-04-27T00:00:00"/>
    <x v="0"/>
    <s v="Sat"/>
    <s v="Subday Thakur Complex"/>
    <x v="2"/>
    <s v="Indian, Fast Food, Beverages"/>
    <x v="3"/>
    <s v="Veg"/>
    <n v="1"/>
    <n v="302"/>
    <n v="302"/>
    <n v="3.4"/>
    <n v="33"/>
    <n v="150"/>
    <n v="30"/>
    <x v="2"/>
    <n v="32"/>
    <s v="Female"/>
  </r>
  <r>
    <s v="SWG2262"/>
    <d v="2024-04-22T00:00:00"/>
    <x v="0"/>
    <s v="Mon"/>
    <s v="King of juices thakur complex"/>
    <x v="2"/>
    <s v="Juices"/>
    <x v="5"/>
    <s v="Veg"/>
    <n v="3"/>
    <n v="369"/>
    <n v="1107"/>
    <n v="3.7"/>
    <n v="33"/>
    <n v="150"/>
    <n v="30"/>
    <x v="3"/>
    <n v="42"/>
    <s v="Male"/>
  </r>
  <r>
    <s v="SWG2263"/>
    <d v="2024-04-03T00:00:00"/>
    <x v="0"/>
    <s v="Wed"/>
    <s v="Tittaas"/>
    <x v="7"/>
    <s v="Beverages, Ice Cream, Desserts"/>
    <x v="4"/>
    <s v="Veg"/>
    <n v="2"/>
    <n v="347"/>
    <n v="694"/>
    <m/>
    <m/>
    <n v="65"/>
    <n v="25"/>
    <x v="3"/>
    <n v="43"/>
    <s v="Female"/>
  </r>
  <r>
    <s v="SWG2264"/>
    <d v="2024-08-17T00:00:00"/>
    <x v="6"/>
    <s v="Sat"/>
    <s v="I Am Foodie"/>
    <x v="7"/>
    <s v="Fast Food, Snacks, Indian"/>
    <x v="5"/>
    <s v="Veg"/>
    <n v="1"/>
    <n v="221"/>
    <n v="221"/>
    <m/>
    <m/>
    <n v="499"/>
    <n v="0"/>
    <x v="2"/>
    <n v="42"/>
    <s v="Male"/>
  </r>
  <r>
    <s v="SWG2265"/>
    <d v="2024-06-27T00:00:00"/>
    <x v="1"/>
    <s v="Thu"/>
    <s v="Shree Narayan Fine Dinning"/>
    <x v="7"/>
    <s v="South Indian, North Indian, Chinese, Malwani, Tandoor"/>
    <x v="5"/>
    <s v="Veg"/>
    <n v="3"/>
    <n v="194"/>
    <n v="582"/>
    <n v="3.4"/>
    <n v="33"/>
    <m/>
    <n v="0"/>
    <x v="2"/>
    <n v="39"/>
    <s v="Female"/>
  </r>
  <r>
    <s v="SWG2266"/>
    <d v="2024-03-02T00:00:00"/>
    <x v="3"/>
    <s v="Sat"/>
    <s v="Delightful Meals"/>
    <x v="51"/>
    <s v="Indian, Snacks, Thalis"/>
    <x v="5"/>
    <s v="Veg"/>
    <n v="1"/>
    <n v="536"/>
    <n v="536"/>
    <m/>
    <m/>
    <m/>
    <n v="0"/>
    <x v="0"/>
    <n v="46"/>
    <s v="Female"/>
  </r>
  <r>
    <s v="SWG2267"/>
    <d v="2024-07-03T00:00:00"/>
    <x v="4"/>
    <s v="Wed"/>
    <s v="Bhukkad Thali &amp; Combo"/>
    <x v="2"/>
    <s v="Thalis, Chinese, North Indian"/>
    <x v="5"/>
    <s v="Veg"/>
    <n v="3"/>
    <n v="565"/>
    <n v="1695"/>
    <n v="4.4000000000000004"/>
    <n v="27"/>
    <n v="120"/>
    <n v="60"/>
    <x v="3"/>
    <n v="36"/>
    <s v="Female"/>
  </r>
  <r>
    <s v="SWG2268"/>
    <d v="2024-07-12T00:00:00"/>
    <x v="4"/>
    <s v="Fri"/>
    <s v="Bhukkad Biryani"/>
    <x v="2"/>
    <s v="Biryani"/>
    <x v="2"/>
    <s v="Non-Veg"/>
    <n v="4"/>
    <n v="335"/>
    <n v="1340"/>
    <n v="2.4"/>
    <n v="28"/>
    <n v="120"/>
    <n v="60"/>
    <x v="3"/>
    <n v="18"/>
    <s v="Male"/>
  </r>
  <r>
    <s v="SWG2269"/>
    <d v="2024-03-19T00:00:00"/>
    <x v="3"/>
    <s v="Tue"/>
    <s v="Annapurna Theplahouse &amp; Dry Snacks"/>
    <x v="2"/>
    <s v="Snacks"/>
    <x v="5"/>
    <s v="Veg"/>
    <n v="2"/>
    <n v="526"/>
    <n v="1052"/>
    <m/>
    <m/>
    <n v="75"/>
    <n v="30"/>
    <x v="0"/>
    <n v="21"/>
    <s v="Male"/>
  </r>
  <r>
    <s v="SWG2270"/>
    <d v="2024-07-21T00:00:00"/>
    <x v="4"/>
    <s v="Sun"/>
    <s v="Parathe Wali Gulli"/>
    <x v="2"/>
    <s v="North Indian, Beverages"/>
    <x v="3"/>
    <s v="Veg"/>
    <n v="1"/>
    <n v="518"/>
    <n v="518"/>
    <m/>
    <m/>
    <m/>
    <n v="0"/>
    <x v="1"/>
    <n v="31"/>
    <s v="Male"/>
  </r>
  <r>
    <s v="SWG2271"/>
    <d v="2024-05-15T00:00:00"/>
    <x v="5"/>
    <s v="Wed"/>
    <s v="Eggless Cakes"/>
    <x v="29"/>
    <s v="Bakery"/>
    <x v="5"/>
    <s v="Veg"/>
    <n v="3"/>
    <n v="530"/>
    <n v="1590"/>
    <m/>
    <m/>
    <m/>
    <n v="0"/>
    <x v="3"/>
    <n v="31"/>
    <s v="Male"/>
  </r>
  <r>
    <s v="SWG2272"/>
    <d v="2024-01-26T00:00:00"/>
    <x v="2"/>
    <s v="Fri"/>
    <s v="Cake Star"/>
    <x v="3"/>
    <s v="Desserts, Bakery"/>
    <x v="4"/>
    <s v="Veg"/>
    <n v="1"/>
    <n v="322"/>
    <n v="322"/>
    <n v="4.4000000000000004"/>
    <n v="46"/>
    <m/>
    <n v="0"/>
    <x v="3"/>
    <n v="20"/>
    <s v="Female"/>
  </r>
  <r>
    <s v="SWG2273"/>
    <d v="2024-06-27T00:00:00"/>
    <x v="1"/>
    <s v="Thu"/>
    <s v="Fast Food Adda"/>
    <x v="7"/>
    <s v="Snacks, Fast Food"/>
    <x v="5"/>
    <s v="Veg"/>
    <n v="1"/>
    <n v="311"/>
    <n v="311"/>
    <n v="4.2"/>
    <n v="51"/>
    <m/>
    <n v="0"/>
    <x v="1"/>
    <n v="47"/>
    <s v="Female"/>
  </r>
  <r>
    <s v="SWG2274"/>
    <d v="2024-06-21T00:00:00"/>
    <x v="1"/>
    <s v="Fri"/>
    <s v="Waffles By Di Bella"/>
    <x v="4"/>
    <s v="Desserts, Waffle, Ice Cream, Bakery, Snacks"/>
    <x v="4"/>
    <s v="Veg"/>
    <n v="2"/>
    <n v="368"/>
    <n v="736"/>
    <n v="4.7"/>
    <n v="57"/>
    <n v="600"/>
    <n v="10"/>
    <x v="3"/>
    <n v="45"/>
    <s v="Male"/>
  </r>
  <r>
    <s v="SWG2275"/>
    <d v="2024-02-13T00:00:00"/>
    <x v="7"/>
    <s v="Tue"/>
    <s v="Indie Feast By Purple Foods"/>
    <x v="91"/>
    <s v="Indian, Tandoor, Kebabs, Biryani, Beverages, Desserts"/>
    <x v="2"/>
    <s v="Non-Veg"/>
    <n v="4"/>
    <n v="361"/>
    <n v="1444"/>
    <n v="3.4"/>
    <n v="46"/>
    <n v="599"/>
    <n v="0"/>
    <x v="3"/>
    <n v="34"/>
    <s v="Female"/>
  </r>
  <r>
    <s v="SWG2276"/>
    <d v="2024-05-12T00:00:00"/>
    <x v="5"/>
    <s v="Sun"/>
    <s v="Cake Story"/>
    <x v="7"/>
    <s v="Bakery"/>
    <x v="5"/>
    <s v="Veg"/>
    <n v="1"/>
    <n v="584"/>
    <n v="584"/>
    <m/>
    <m/>
    <m/>
    <n v="0"/>
    <x v="1"/>
    <n v="20"/>
    <s v="Female"/>
  </r>
  <r>
    <s v="SWG2277"/>
    <d v="2024-03-10T00:00:00"/>
    <x v="3"/>
    <s v="Sun"/>
    <s v="Swa Varhadi Misal"/>
    <x v="67"/>
    <s v="Street Food, Beverages"/>
    <x v="3"/>
    <s v="Veg"/>
    <n v="3"/>
    <n v="298"/>
    <n v="894"/>
    <n v="4.2"/>
    <n v="48"/>
    <m/>
    <n v="0"/>
    <x v="1"/>
    <n v="33"/>
    <s v="Male"/>
  </r>
  <r>
    <s v="SWG2278"/>
    <d v="2024-06-02T00:00:00"/>
    <x v="1"/>
    <s v="Sun"/>
    <s v="Pav Bhaji Company"/>
    <x v="42"/>
    <s v="Street Food, North Indian, Juices"/>
    <x v="5"/>
    <s v="Veg"/>
    <n v="3"/>
    <n v="556"/>
    <n v="1668"/>
    <n v="2.5"/>
    <n v="41"/>
    <m/>
    <n v="0"/>
    <x v="2"/>
    <n v="31"/>
    <s v="Female"/>
  </r>
  <r>
    <s v="SWG2279"/>
    <d v="2024-04-27T00:00:00"/>
    <x v="0"/>
    <s v="Sat"/>
    <s v="Soroush Biriyani"/>
    <x v="36"/>
    <s v="Biryani, Mughlai"/>
    <x v="2"/>
    <s v="Non-Veg"/>
    <n v="4"/>
    <n v="581"/>
    <n v="2324"/>
    <n v="2.8"/>
    <n v="49"/>
    <n v="120"/>
    <n v="25"/>
    <x v="0"/>
    <n v="47"/>
    <s v="Female"/>
  </r>
  <r>
    <s v="SWG2280"/>
    <d v="2024-03-08T00:00:00"/>
    <x v="3"/>
    <s v="Fri"/>
    <s v="Diamond Restaurant"/>
    <x v="19"/>
    <s v="Chinese, Indian, Snacks"/>
    <x v="5"/>
    <s v="Veg"/>
    <n v="3"/>
    <n v="338"/>
    <n v="1014"/>
    <n v="4.2"/>
    <n v="55"/>
    <n v="100"/>
    <n v="10"/>
    <x v="0"/>
    <n v="37"/>
    <s v="Male"/>
  </r>
  <r>
    <s v="SWG2281"/>
    <d v="2024-01-19T00:00:00"/>
    <x v="2"/>
    <s v="Fri"/>
    <s v="Bowl Up!"/>
    <x v="6"/>
    <s v="North Indian, Sweets"/>
    <x v="5"/>
    <s v="Veg"/>
    <n v="4"/>
    <n v="201"/>
    <n v="804"/>
    <n v="2.6"/>
    <n v="41"/>
    <m/>
    <n v="0"/>
    <x v="1"/>
    <n v="46"/>
    <s v="Female"/>
  </r>
  <r>
    <s v="SWG2282"/>
    <d v="2024-07-30T00:00:00"/>
    <x v="4"/>
    <s v="Tue"/>
    <s v="The Hot Chinese"/>
    <x v="22"/>
    <s v="Chinese, Thai"/>
    <x v="5"/>
    <s v="Veg"/>
    <n v="3"/>
    <n v="211"/>
    <n v="633"/>
    <n v="3.1"/>
    <n v="46"/>
    <n v="200"/>
    <n v="40"/>
    <x v="1"/>
    <n v="30"/>
    <s v="Female"/>
  </r>
  <r>
    <s v="SWG2283"/>
    <d v="2024-08-12T00:00:00"/>
    <x v="6"/>
    <s v="Mon"/>
    <s v="Maratha Darbar"/>
    <x v="22"/>
    <s v="North Indian, Chinese, Biryani, Indian, Tandoor, Mughlai, Thai, Continental"/>
    <x v="2"/>
    <s v="Non-Veg"/>
    <n v="2"/>
    <n v="554"/>
    <n v="1108"/>
    <n v="4.0999999999999996"/>
    <n v="44"/>
    <n v="200"/>
    <n v="40"/>
    <x v="3"/>
    <n v="32"/>
    <s v="Female"/>
  </r>
  <r>
    <s v="SWG2284"/>
    <d v="2024-01-20T00:00:00"/>
    <x v="2"/>
    <s v="Sat"/>
    <s v="Foodie Panda"/>
    <x v="29"/>
    <s v="Chinese, Burgers, Fast Food, Snacks, Beverages"/>
    <x v="0"/>
    <s v="Veg"/>
    <n v="1"/>
    <n v="294"/>
    <n v="294"/>
    <m/>
    <m/>
    <m/>
    <n v="0"/>
    <x v="2"/>
    <n v="31"/>
    <s v="Male"/>
  </r>
  <r>
    <s v="SWG2285"/>
    <d v="2024-04-22T00:00:00"/>
    <x v="0"/>
    <s v="Mon"/>
    <s v="Hot and spicy"/>
    <x v="6"/>
    <s v="Chinese, Indian"/>
    <x v="5"/>
    <s v="Veg"/>
    <n v="2"/>
    <n v="358"/>
    <n v="716"/>
    <n v="4.2"/>
    <n v="42"/>
    <m/>
    <n v="0"/>
    <x v="2"/>
    <n v="41"/>
    <s v="Male"/>
  </r>
  <r>
    <s v="SWG2286"/>
    <d v="2024-05-19T00:00:00"/>
    <x v="5"/>
    <s v="Sun"/>
    <s v="Bistro &amp; Brew"/>
    <x v="0"/>
    <s v="Italian-American, Fast Food, Snacks, Beverages"/>
    <x v="3"/>
    <s v="Veg"/>
    <n v="1"/>
    <n v="379"/>
    <n v="379"/>
    <n v="5"/>
    <n v="42"/>
    <n v="75"/>
    <n v="30"/>
    <x v="1"/>
    <n v="42"/>
    <s v="Female"/>
  </r>
  <r>
    <s v="SWG2287"/>
    <d v="2024-02-16T00:00:00"/>
    <x v="7"/>
    <s v="Fri"/>
    <s v="Tude - Premium Ice Creams"/>
    <x v="5"/>
    <s v="Desserts, Beverages"/>
    <x v="4"/>
    <s v="Veg"/>
    <n v="1"/>
    <n v="510"/>
    <n v="510"/>
    <n v="4"/>
    <n v="35"/>
    <m/>
    <n v="0"/>
    <x v="3"/>
    <n v="36"/>
    <s v="Female"/>
  </r>
  <r>
    <s v="SWG2288"/>
    <d v="2024-01-01T00:00:00"/>
    <x v="2"/>
    <s v="Mon"/>
    <s v="Saarathi Restaurant And Bar"/>
    <x v="2"/>
    <s v="Tandoor, Chinese, North Indian, Fast Food"/>
    <x v="5"/>
    <s v="Veg"/>
    <n v="1"/>
    <n v="484"/>
    <n v="484"/>
    <n v="3.3"/>
    <n v="36"/>
    <n v="100"/>
    <n v="20"/>
    <x v="3"/>
    <n v="23"/>
    <s v="Female"/>
  </r>
  <r>
    <s v="SWG2289"/>
    <d v="2024-03-30T00:00:00"/>
    <x v="3"/>
    <s v="Sat"/>
    <s v="Ambika Vijay Stores"/>
    <x v="29"/>
    <s v="Sweets"/>
    <x v="5"/>
    <s v="Veg"/>
    <n v="2"/>
    <n v="282"/>
    <n v="564"/>
    <m/>
    <m/>
    <m/>
    <n v="0"/>
    <x v="0"/>
    <n v="27"/>
    <s v="Male"/>
  </r>
  <r>
    <s v="SWG2290"/>
    <d v="2024-05-21T00:00:00"/>
    <x v="5"/>
    <s v="Tue"/>
    <s v="Evening Smackers"/>
    <x v="7"/>
    <s v="Fast Food, Pizzas, Snacks"/>
    <x v="1"/>
    <s v="Veg"/>
    <n v="1"/>
    <n v="167"/>
    <n v="167"/>
    <m/>
    <m/>
    <m/>
    <n v="0"/>
    <x v="0"/>
    <n v="44"/>
    <s v="Male"/>
  </r>
  <r>
    <s v="SWG2291"/>
    <d v="2024-03-04T00:00:00"/>
    <x v="3"/>
    <s v="Mon"/>
    <s v="Oh Indian"/>
    <x v="5"/>
    <s v="Kebabs, Indian"/>
    <x v="5"/>
    <s v="Non-Veg"/>
    <n v="2"/>
    <n v="448"/>
    <n v="896"/>
    <m/>
    <m/>
    <m/>
    <n v="0"/>
    <x v="3"/>
    <n v="32"/>
    <s v="Male"/>
  </r>
  <r>
    <s v="SWG2292"/>
    <d v="2024-02-07T00:00:00"/>
    <x v="7"/>
    <s v="Wed"/>
    <s v="Avantika Chennai Cafe"/>
    <x v="7"/>
    <s v="South Indian, Beverages"/>
    <x v="3"/>
    <s v="Veg"/>
    <n v="4"/>
    <n v="447"/>
    <n v="1788"/>
    <m/>
    <m/>
    <m/>
    <n v="0"/>
    <x v="0"/>
    <n v="38"/>
    <s v="Female"/>
  </r>
  <r>
    <s v="SWG2293"/>
    <d v="2024-02-06T00:00:00"/>
    <x v="7"/>
    <s v="Tue"/>
    <s v="Deepak Sweets, Farsan &amp; Dry Fruits"/>
    <x v="7"/>
    <s v="Desserts, Snacks"/>
    <x v="4"/>
    <s v="Veg"/>
    <n v="3"/>
    <n v="235"/>
    <n v="705"/>
    <m/>
    <m/>
    <m/>
    <n v="0"/>
    <x v="1"/>
    <n v="49"/>
    <s v="Female"/>
  </r>
  <r>
    <s v="SWG2294"/>
    <d v="2024-05-05T00:00:00"/>
    <x v="5"/>
    <s v="Sun"/>
    <s v="Chatisfied"/>
    <x v="7"/>
    <s v="Snacks, Street Food, Beverages"/>
    <x v="3"/>
    <s v="Veg"/>
    <n v="3"/>
    <n v="548"/>
    <n v="1644"/>
    <n v="2.2999999999999998"/>
    <n v="35"/>
    <m/>
    <n v="0"/>
    <x v="3"/>
    <n v="39"/>
    <s v="Female"/>
  </r>
  <r>
    <s v="SWG2295"/>
    <d v="2024-05-18T00:00:00"/>
    <x v="5"/>
    <s v="Sat"/>
    <s v="Bangg On Bakes"/>
    <x v="11"/>
    <s v="Bakery, Cakes and Pastries, Desserts"/>
    <x v="4"/>
    <s v="Veg"/>
    <n v="1"/>
    <n v="456"/>
    <n v="456"/>
    <m/>
    <m/>
    <n v="500"/>
    <n v="25"/>
    <x v="0"/>
    <n v="37"/>
    <s v="Female"/>
  </r>
  <r>
    <s v="SWG2296"/>
    <d v="2024-04-09T00:00:00"/>
    <x v="0"/>
    <s v="Tue"/>
    <s v="Khaugalli bahuballi"/>
    <x v="11"/>
    <s v="South Indian"/>
    <x v="5"/>
    <s v="Veg"/>
    <n v="2"/>
    <n v="456"/>
    <n v="912"/>
    <m/>
    <m/>
    <m/>
    <n v="0"/>
    <x v="2"/>
    <n v="43"/>
    <s v="Female"/>
  </r>
  <r>
    <s v="SWG2297"/>
    <d v="2024-03-17T00:00:00"/>
    <x v="3"/>
    <s v="Sun"/>
    <s v="Mumbai Chinese Point"/>
    <x v="0"/>
    <s v="Chinese"/>
    <x v="5"/>
    <s v="Veg"/>
    <n v="3"/>
    <n v="488"/>
    <n v="1464"/>
    <n v="3.3"/>
    <n v="36"/>
    <n v="159"/>
    <n v="20"/>
    <x v="3"/>
    <n v="23"/>
    <s v="Male"/>
  </r>
  <r>
    <s v="SWG2298"/>
    <d v="2024-08-22T00:00:00"/>
    <x v="6"/>
    <s v="Thu"/>
    <s v="The Royal Surprise"/>
    <x v="2"/>
    <s v="Bakery"/>
    <x v="5"/>
    <s v="Veg"/>
    <n v="2"/>
    <n v="344"/>
    <n v="688"/>
    <m/>
    <m/>
    <m/>
    <n v="0"/>
    <x v="3"/>
    <n v="49"/>
    <s v="Female"/>
  </r>
  <r>
    <s v="SWG2299"/>
    <d v="2024-01-03T00:00:00"/>
    <x v="2"/>
    <s v="Wed"/>
    <s v="Asha Restaurant  Chaitanya Restaurant"/>
    <x v="7"/>
    <s v="Indian, Tandoor, Seafood"/>
    <x v="5"/>
    <s v="Veg"/>
    <n v="2"/>
    <n v="471"/>
    <n v="942"/>
    <n v="3.7"/>
    <n v="36"/>
    <m/>
    <n v="0"/>
    <x v="2"/>
    <n v="40"/>
    <s v="Female"/>
  </r>
  <r>
    <s v="SWG2300"/>
    <d v="2024-06-09T00:00:00"/>
    <x v="1"/>
    <s v="Sun"/>
    <s v="Lal Tadka"/>
    <x v="27"/>
    <s v="North Indian, Asian, Italian, Beverages"/>
    <x v="3"/>
    <s v="Veg"/>
    <n v="1"/>
    <n v="447"/>
    <n v="447"/>
    <n v="3.5"/>
    <n v="36"/>
    <m/>
    <n v="0"/>
    <x v="1"/>
    <n v="42"/>
    <s v="Female"/>
  </r>
  <r>
    <s v="SWG2301"/>
    <d v="2024-05-13T00:00:00"/>
    <x v="5"/>
    <s v="Mon"/>
    <s v="Anand dairy farm"/>
    <x v="7"/>
    <s v="Snacks, Desserts"/>
    <x v="4"/>
    <s v="Veg"/>
    <n v="3"/>
    <n v="266"/>
    <n v="798"/>
    <n v="4"/>
    <n v="36"/>
    <m/>
    <n v="0"/>
    <x v="2"/>
    <n v="27"/>
    <s v="Male"/>
  </r>
  <r>
    <s v="SWG2302"/>
    <d v="2024-06-26T00:00:00"/>
    <x v="1"/>
    <s v="Wed"/>
    <s v="Thaliwaala"/>
    <x v="2"/>
    <s v="Indian, Thalis, Snacks"/>
    <x v="5"/>
    <s v="Veg"/>
    <n v="1"/>
    <n v="182"/>
    <n v="182"/>
    <m/>
    <m/>
    <m/>
    <n v="0"/>
    <x v="3"/>
    <n v="24"/>
    <s v="Female"/>
  </r>
  <r>
    <s v="SWG2303"/>
    <d v="2024-01-10T00:00:00"/>
    <x v="2"/>
    <s v="Wed"/>
    <s v="Geebees Appetites"/>
    <x v="0"/>
    <s v="North Indian, Chinese, Tibetan"/>
    <x v="5"/>
    <s v="Veg"/>
    <n v="1"/>
    <n v="413"/>
    <n v="413"/>
    <n v="4"/>
    <n v="34"/>
    <m/>
    <n v="0"/>
    <x v="1"/>
    <n v="39"/>
    <s v="Male"/>
  </r>
  <r>
    <s v="SWG2304"/>
    <d v="2024-01-05T00:00:00"/>
    <x v="2"/>
    <s v="Fri"/>
    <s v="Roti and Grill Catering"/>
    <x v="2"/>
    <s v="Indian"/>
    <x v="5"/>
    <s v="Veg"/>
    <n v="3"/>
    <n v="442"/>
    <n v="1326"/>
    <m/>
    <m/>
    <n v="50"/>
    <n v="20"/>
    <x v="0"/>
    <n v="34"/>
    <s v="Male"/>
  </r>
  <r>
    <s v="SWG2305"/>
    <d v="2024-05-30T00:00:00"/>
    <x v="5"/>
    <s v="Thu"/>
    <s v="Aaurum Family Restaurant And Bar"/>
    <x v="7"/>
    <s v="North Indian, Tandoor, Chinese, Snacks"/>
    <x v="5"/>
    <s v="Veg"/>
    <n v="3"/>
    <n v="562"/>
    <n v="1686"/>
    <n v="4"/>
    <n v="34"/>
    <m/>
    <n v="0"/>
    <x v="0"/>
    <n v="35"/>
    <s v="Male"/>
  </r>
  <r>
    <s v="SWG2306"/>
    <d v="2024-05-17T00:00:00"/>
    <x v="5"/>
    <s v="Fri"/>
    <s v="Shawarma Shark"/>
    <x v="11"/>
    <s v="Chinese, Indian, Pizzas, Burgers"/>
    <x v="1"/>
    <s v="Veg"/>
    <n v="4"/>
    <n v="444"/>
    <n v="1776"/>
    <m/>
    <m/>
    <m/>
    <n v="0"/>
    <x v="0"/>
    <n v="34"/>
    <s v="Male"/>
  </r>
  <r>
    <s v="SWG2307"/>
    <d v="2024-06-20T00:00:00"/>
    <x v="1"/>
    <s v="Thu"/>
    <s v="Half Plate Chinese"/>
    <x v="7"/>
    <s v="Chinese, Street Food"/>
    <x v="5"/>
    <s v="Veg"/>
    <n v="4"/>
    <n v="132"/>
    <n v="528"/>
    <n v="3.8"/>
    <n v="34"/>
    <m/>
    <n v="0"/>
    <x v="3"/>
    <n v="26"/>
    <s v="Male"/>
  </r>
  <r>
    <s v="SWG2308"/>
    <d v="2024-05-09T00:00:00"/>
    <x v="5"/>
    <s v="Thu"/>
    <s v="Bitchy Burgers"/>
    <x v="5"/>
    <s v="American, Snacks"/>
    <x v="5"/>
    <s v="Veg"/>
    <n v="2"/>
    <n v="550"/>
    <n v="1100"/>
    <m/>
    <m/>
    <m/>
    <n v="0"/>
    <x v="2"/>
    <n v="27"/>
    <s v="Female"/>
  </r>
  <r>
    <s v="SWG2309"/>
    <d v="2024-01-13T00:00:00"/>
    <x v="2"/>
    <s v="Sat"/>
    <s v="The Heavens Cake Shop"/>
    <x v="2"/>
    <s v="Bakery"/>
    <x v="5"/>
    <s v="Veg"/>
    <n v="3"/>
    <n v="308"/>
    <n v="924"/>
    <n v="4.0999999999999996"/>
    <n v="39"/>
    <m/>
    <n v="0"/>
    <x v="1"/>
    <n v="27"/>
    <s v="Female"/>
  </r>
  <r>
    <s v="SWG2310"/>
    <d v="2024-06-16T00:00:00"/>
    <x v="1"/>
    <s v="Sun"/>
    <s v="Shital's Kitchen"/>
    <x v="7"/>
    <s v="Fast Food, Thalis"/>
    <x v="5"/>
    <s v="Veg"/>
    <n v="4"/>
    <n v="406"/>
    <n v="1624"/>
    <m/>
    <m/>
    <m/>
    <n v="0"/>
    <x v="0"/>
    <n v="42"/>
    <s v="Male"/>
  </r>
  <r>
    <s v="SWG2311"/>
    <d v="2024-05-09T00:00:00"/>
    <x v="5"/>
    <s v="Thu"/>
    <s v="B K C Kitchen"/>
    <x v="7"/>
    <s v="Indian, Chinese"/>
    <x v="5"/>
    <s v="Veg"/>
    <n v="2"/>
    <n v="327"/>
    <n v="654"/>
    <n v="3.4"/>
    <n v="34"/>
    <m/>
    <n v="0"/>
    <x v="1"/>
    <n v="24"/>
    <s v="Male"/>
  </r>
  <r>
    <s v="SWG2312"/>
    <d v="2024-03-24T00:00:00"/>
    <x v="3"/>
    <s v="Sun"/>
    <s v="Manoj dosa"/>
    <x v="7"/>
    <s v="South Indian"/>
    <x v="5"/>
    <s v="Veg"/>
    <n v="2"/>
    <n v="233"/>
    <n v="466"/>
    <n v="2.2999999999999998"/>
    <n v="36"/>
    <m/>
    <n v="0"/>
    <x v="3"/>
    <n v="33"/>
    <s v="Male"/>
  </r>
  <r>
    <s v="SWG2313"/>
    <d v="2024-03-05T00:00:00"/>
    <x v="3"/>
    <s v="Tue"/>
    <s v="Bytes Momos"/>
    <x v="7"/>
    <s v="Chinese"/>
    <x v="5"/>
    <s v="Veg"/>
    <n v="2"/>
    <n v="599"/>
    <n v="1198"/>
    <m/>
    <m/>
    <m/>
    <n v="0"/>
    <x v="0"/>
    <n v="46"/>
    <s v="Female"/>
  </r>
  <r>
    <s v="SWG2314"/>
    <d v="2024-03-03T00:00:00"/>
    <x v="3"/>
    <s v="Sun"/>
    <s v="S.V. Kitchen"/>
    <x v="2"/>
    <s v="North Indian"/>
    <x v="5"/>
    <s v="Veg"/>
    <n v="4"/>
    <n v="141"/>
    <n v="564"/>
    <m/>
    <m/>
    <m/>
    <n v="0"/>
    <x v="3"/>
    <n v="35"/>
    <s v="Female"/>
  </r>
  <r>
    <s v="SWG2315"/>
    <d v="2024-04-10T00:00:00"/>
    <x v="0"/>
    <s v="Wed"/>
    <s v="JAYASHREE MISAL &amp; SNACKS (JMS)"/>
    <x v="5"/>
    <s v="Indian, Snacks"/>
    <x v="5"/>
    <s v="Veg"/>
    <n v="3"/>
    <n v="468"/>
    <n v="1404"/>
    <m/>
    <m/>
    <m/>
    <n v="0"/>
    <x v="2"/>
    <n v="23"/>
    <s v="Male"/>
  </r>
  <r>
    <s v="SWG2316"/>
    <d v="2024-03-13T00:00:00"/>
    <x v="3"/>
    <s v="Wed"/>
    <s v="Krem Icecreams"/>
    <x v="7"/>
    <s v="Ice Cream"/>
    <x v="5"/>
    <s v="Veg"/>
    <n v="1"/>
    <n v="333"/>
    <n v="333"/>
    <m/>
    <m/>
    <n v="249"/>
    <n v="0"/>
    <x v="3"/>
    <n v="44"/>
    <s v="Female"/>
  </r>
  <r>
    <s v="SWG2317"/>
    <d v="2024-01-17T00:00:00"/>
    <x v="2"/>
    <s v="Wed"/>
    <s v="Tummy Time"/>
    <x v="7"/>
    <s v="Indian"/>
    <x v="5"/>
    <s v="Veg"/>
    <n v="2"/>
    <n v="290"/>
    <n v="580"/>
    <m/>
    <m/>
    <m/>
    <n v="0"/>
    <x v="3"/>
    <n v="37"/>
    <s v="Female"/>
  </r>
  <r>
    <s v="SWG2318"/>
    <d v="2024-01-09T00:00:00"/>
    <x v="2"/>
    <s v="Tue"/>
    <s v="Cheese leela"/>
    <x v="7"/>
    <s v="Fast Food, Burgers, Pizzas, Snacks, Salads"/>
    <x v="1"/>
    <s v="Veg"/>
    <n v="4"/>
    <n v="442"/>
    <n v="1768"/>
    <m/>
    <m/>
    <n v="350"/>
    <n v="10"/>
    <x v="2"/>
    <n v="18"/>
    <s v="Male"/>
  </r>
  <r>
    <s v="SWG2319"/>
    <d v="2024-07-21T00:00:00"/>
    <x v="4"/>
    <s v="Sun"/>
    <s v="Flavour stones"/>
    <x v="3"/>
    <s v="Ice Cream"/>
    <x v="5"/>
    <s v="Veg"/>
    <n v="4"/>
    <n v="173"/>
    <n v="692"/>
    <n v="4.5999999999999996"/>
    <n v="31"/>
    <m/>
    <n v="0"/>
    <x v="1"/>
    <n v="18"/>
    <s v="Male"/>
  </r>
  <r>
    <s v="SWG2320"/>
    <d v="2024-05-22T00:00:00"/>
    <x v="5"/>
    <s v="Wed"/>
    <s v="Best Canteen"/>
    <x v="7"/>
    <s v="Indian"/>
    <x v="5"/>
    <s v="Veg"/>
    <n v="1"/>
    <n v="513"/>
    <n v="513"/>
    <m/>
    <m/>
    <m/>
    <n v="0"/>
    <x v="2"/>
    <n v="29"/>
    <s v="Female"/>
  </r>
  <r>
    <s v="SWG2321"/>
    <d v="2024-05-31T00:00:00"/>
    <x v="5"/>
    <s v="Fri"/>
    <s v="Chow By Mexichino"/>
    <x v="7"/>
    <s v="Chinese"/>
    <x v="5"/>
    <s v="Veg"/>
    <n v="1"/>
    <n v="417"/>
    <n v="417"/>
    <n v="3.8"/>
    <n v="32"/>
    <m/>
    <n v="0"/>
    <x v="2"/>
    <n v="38"/>
    <s v="Female"/>
  </r>
  <r>
    <s v="SWG2322"/>
    <d v="2024-02-07T00:00:00"/>
    <x v="7"/>
    <s v="Wed"/>
    <s v="Fusion Ice Cream House"/>
    <x v="5"/>
    <s v="Bakery, Desserts, Ice Cream"/>
    <x v="4"/>
    <s v="Veg"/>
    <n v="4"/>
    <n v="439"/>
    <n v="1756"/>
    <n v="4.9000000000000004"/>
    <n v="29"/>
    <n v="999"/>
    <n v="0"/>
    <x v="3"/>
    <n v="45"/>
    <s v="Female"/>
  </r>
  <r>
    <s v="SWG2323"/>
    <d v="2024-06-11T00:00:00"/>
    <x v="1"/>
    <s v="Tue"/>
    <s v="Finom Cake Stop"/>
    <x v="7"/>
    <s v="Bakery"/>
    <x v="5"/>
    <s v="Veg"/>
    <n v="3"/>
    <n v="245"/>
    <n v="735"/>
    <n v="3.4"/>
    <n v="31"/>
    <n v="1000"/>
    <n v="15"/>
    <x v="1"/>
    <n v="19"/>
    <s v="Male"/>
  </r>
  <r>
    <s v="SWG2324"/>
    <d v="2024-04-03T00:00:00"/>
    <x v="0"/>
    <s v="Wed"/>
    <s v="Hirral Z Sweet Treats9"/>
    <x v="7"/>
    <s v="Bakery, Desserts"/>
    <x v="4"/>
    <s v="Veg"/>
    <n v="1"/>
    <n v="396"/>
    <n v="396"/>
    <m/>
    <m/>
    <m/>
    <n v="0"/>
    <x v="0"/>
    <n v="21"/>
    <s v="Male"/>
  </r>
  <r>
    <s v="SWG2325"/>
    <d v="2024-04-04T00:00:00"/>
    <x v="0"/>
    <s v="Thu"/>
    <s v="High on Cafe"/>
    <x v="2"/>
    <s v="Indian, Juices, Beverages"/>
    <x v="3"/>
    <s v="Veg"/>
    <n v="4"/>
    <n v="583"/>
    <n v="2332"/>
    <m/>
    <m/>
    <m/>
    <n v="0"/>
    <x v="2"/>
    <n v="34"/>
    <s v="Male"/>
  </r>
  <r>
    <s v="SWG2326"/>
    <d v="2024-02-18T00:00:00"/>
    <x v="7"/>
    <s v="Sun"/>
    <s v="Bombay Bytes"/>
    <x v="3"/>
    <s v="Indian"/>
    <x v="5"/>
    <s v="Veg"/>
    <n v="1"/>
    <n v="323"/>
    <n v="323"/>
    <n v="3.9"/>
    <n v="41"/>
    <m/>
    <n v="0"/>
    <x v="1"/>
    <n v="21"/>
    <s v="Female"/>
  </r>
  <r>
    <s v="SWG2327"/>
    <d v="2024-03-09T00:00:00"/>
    <x v="3"/>
    <s v="Sat"/>
    <s v="Brishti chinese and lunch home"/>
    <x v="0"/>
    <s v="Indian"/>
    <x v="5"/>
    <s v="Veg"/>
    <n v="3"/>
    <n v="313"/>
    <n v="939"/>
    <n v="3.1"/>
    <n v="40"/>
    <m/>
    <n v="0"/>
    <x v="2"/>
    <n v="28"/>
    <s v="Female"/>
  </r>
  <r>
    <s v="SWG2328"/>
    <d v="2024-03-02T00:00:00"/>
    <x v="3"/>
    <s v="Sat"/>
    <s v="Panchayat - The Kulhad Cafe"/>
    <x v="3"/>
    <s v="Indian, Italian, Beverages"/>
    <x v="3"/>
    <s v="Veg"/>
    <n v="2"/>
    <n v="288"/>
    <n v="576"/>
    <n v="4.4000000000000004"/>
    <n v="40"/>
    <m/>
    <n v="0"/>
    <x v="2"/>
    <n v="39"/>
    <s v="Male"/>
  </r>
  <r>
    <s v="SWG2329"/>
    <d v="2024-07-06T00:00:00"/>
    <x v="4"/>
    <s v="Sat"/>
    <s v="Chowrangee Cafe"/>
    <x v="2"/>
    <s v="Chinese, Bengali, Fast Food"/>
    <x v="5"/>
    <s v="Veg"/>
    <n v="1"/>
    <n v="271"/>
    <n v="271"/>
    <n v="4.3"/>
    <n v="41"/>
    <n v="40"/>
    <n v="10"/>
    <x v="2"/>
    <n v="43"/>
    <s v="Female"/>
  </r>
  <r>
    <s v="SWG2330"/>
    <d v="2024-08-23T00:00:00"/>
    <x v="6"/>
    <s v="Fri"/>
    <s v="Fast Food Carnival"/>
    <x v="2"/>
    <s v="Pizzas, Beverages, Burgers, Pastas, Barbecue"/>
    <x v="1"/>
    <s v="Veg"/>
    <n v="3"/>
    <n v="154"/>
    <n v="462"/>
    <m/>
    <m/>
    <m/>
    <n v="0"/>
    <x v="2"/>
    <n v="21"/>
    <s v="Male"/>
  </r>
  <r>
    <s v="SWG2331"/>
    <d v="2024-06-26T00:00:00"/>
    <x v="1"/>
    <s v="Wed"/>
    <s v="Ignite Pan Shop And General Store"/>
    <x v="7"/>
    <s v="Paan"/>
    <x v="5"/>
    <s v="Veg"/>
    <n v="4"/>
    <n v="303"/>
    <n v="1212"/>
    <n v="4.4000000000000004"/>
    <n v="42"/>
    <n v="120"/>
    <n v="20"/>
    <x v="3"/>
    <n v="18"/>
    <s v="Female"/>
  </r>
  <r>
    <s v="SWG2332"/>
    <d v="2024-03-18T00:00:00"/>
    <x v="3"/>
    <s v="Mon"/>
    <s v="Jai Ambe Fast Food"/>
    <x v="7"/>
    <s v="Fast Food, Pizzas, Waffle, Snacks, Beverages"/>
    <x v="1"/>
    <s v="Veg"/>
    <n v="1"/>
    <n v="405"/>
    <n v="405"/>
    <m/>
    <m/>
    <m/>
    <n v="0"/>
    <x v="1"/>
    <n v="24"/>
    <s v="Male"/>
  </r>
  <r>
    <s v="SWG2333"/>
    <d v="2024-04-26T00:00:00"/>
    <x v="0"/>
    <s v="Fri"/>
    <s v="MMD Cafe Village"/>
    <x v="2"/>
    <s v="Beverages, Pizzas, Fast Food, Chinese, Italian"/>
    <x v="1"/>
    <s v="Veg"/>
    <n v="1"/>
    <n v="176"/>
    <n v="176"/>
    <m/>
    <m/>
    <m/>
    <n v="0"/>
    <x v="1"/>
    <n v="47"/>
    <s v="Female"/>
  </r>
  <r>
    <s v="SWG2334"/>
    <d v="2024-04-29T00:00:00"/>
    <x v="0"/>
    <s v="Mon"/>
    <s v="Khao piyo junction"/>
    <x v="2"/>
    <s v="Chinese, Indian, Malwani, Biryani"/>
    <x v="2"/>
    <s v="Non-Veg"/>
    <n v="4"/>
    <n v="341"/>
    <n v="1364"/>
    <m/>
    <m/>
    <m/>
    <n v="0"/>
    <x v="1"/>
    <n v="35"/>
    <s v="Female"/>
  </r>
  <r>
    <s v="SWG2335"/>
    <d v="2024-07-21T00:00:00"/>
    <x v="4"/>
    <s v="Sun"/>
    <s v="Flavour Fushion"/>
    <x v="2"/>
    <s v="Burgers"/>
    <x v="0"/>
    <s v="Veg"/>
    <n v="2"/>
    <n v="422"/>
    <n v="844"/>
    <m/>
    <m/>
    <n v="159"/>
    <n v="40"/>
    <x v="2"/>
    <n v="26"/>
    <s v="Male"/>
  </r>
  <r>
    <s v="SWG2336"/>
    <d v="2024-05-16T00:00:00"/>
    <x v="5"/>
    <s v="Thu"/>
    <s v="The Bun Bites"/>
    <x v="11"/>
    <s v="Bakery, Desserts"/>
    <x v="4"/>
    <s v="Veg"/>
    <n v="4"/>
    <n v="282"/>
    <n v="1128"/>
    <m/>
    <m/>
    <n v="120"/>
    <n v="20"/>
    <x v="3"/>
    <n v="46"/>
    <s v="Male"/>
  </r>
  <r>
    <s v="SWG2337"/>
    <d v="2024-06-10T00:00:00"/>
    <x v="1"/>
    <s v="Mon"/>
    <s v="Mumbai Cake Company"/>
    <x v="2"/>
    <s v="Bakery, Desserts"/>
    <x v="4"/>
    <s v="Veg"/>
    <n v="1"/>
    <n v="138"/>
    <n v="138"/>
    <m/>
    <m/>
    <n v="999"/>
    <n v="0"/>
    <x v="2"/>
    <n v="20"/>
    <s v="Male"/>
  </r>
  <r>
    <s v="SWG2338"/>
    <d v="2024-03-16T00:00:00"/>
    <x v="3"/>
    <s v="Sat"/>
    <s v="Mahakal Matka Kulfi"/>
    <x v="11"/>
    <s v="Beverages"/>
    <x v="3"/>
    <s v="Veg"/>
    <n v="4"/>
    <n v="489"/>
    <n v="1956"/>
    <m/>
    <m/>
    <m/>
    <n v="0"/>
    <x v="2"/>
    <n v="25"/>
    <s v="Male"/>
  </r>
  <r>
    <s v="SWG2339"/>
    <d v="2024-08-14T00:00:00"/>
    <x v="6"/>
    <s v="Wed"/>
    <s v="THALIVERY FOOD"/>
    <x v="2"/>
    <s v="Indian, Snacks, Fast Food"/>
    <x v="5"/>
    <s v="Veg"/>
    <n v="3"/>
    <n v="383"/>
    <n v="1149"/>
    <m/>
    <m/>
    <m/>
    <n v="0"/>
    <x v="1"/>
    <n v="46"/>
    <s v="Male"/>
  </r>
  <r>
    <s v="SWG2340"/>
    <d v="2024-02-04T00:00:00"/>
    <x v="7"/>
    <s v="Sun"/>
    <s v="Baithak - Taste of Kulhad"/>
    <x v="92"/>
    <s v="Beverages, Italian-American, Fast Food, Chinese, Snacks"/>
    <x v="3"/>
    <s v="Veg"/>
    <n v="4"/>
    <n v="401"/>
    <n v="1604"/>
    <m/>
    <m/>
    <m/>
    <n v="0"/>
    <x v="2"/>
    <n v="41"/>
    <s v="Female"/>
  </r>
  <r>
    <s v="SWG2341"/>
    <d v="2024-01-01T00:00:00"/>
    <x v="2"/>
    <s v="Mon"/>
    <s v="Biryani Daawat"/>
    <x v="2"/>
    <s v="Biryani, Beverages, Indian"/>
    <x v="2"/>
    <s v="Non-Veg"/>
    <n v="1"/>
    <n v="232"/>
    <n v="232"/>
    <n v="4.0999999999999996"/>
    <n v="30"/>
    <n v="100"/>
    <n v="50"/>
    <x v="0"/>
    <n v="36"/>
    <s v="Male"/>
  </r>
  <r>
    <s v="SWG2342"/>
    <d v="2024-02-09T00:00:00"/>
    <x v="7"/>
    <s v="Fri"/>
    <s v="Rocky Rolls Cafe"/>
    <x v="2"/>
    <s v="Fast Food, Snacks"/>
    <x v="5"/>
    <s v="Veg"/>
    <n v="4"/>
    <n v="446"/>
    <n v="1784"/>
    <n v="4.2"/>
    <n v="24"/>
    <m/>
    <n v="0"/>
    <x v="2"/>
    <n v="21"/>
    <s v="Male"/>
  </r>
  <r>
    <s v="SWG2343"/>
    <d v="2024-03-04T00:00:00"/>
    <x v="3"/>
    <s v="Mon"/>
    <s v="Starwar Pizza"/>
    <x v="2"/>
    <s v="Chinese, Italian, Burgers, Pizzas, Desserts, Pastas"/>
    <x v="1"/>
    <s v="Veg"/>
    <n v="2"/>
    <n v="149"/>
    <n v="298"/>
    <n v="4.4000000000000004"/>
    <n v="26"/>
    <n v="100"/>
    <n v="50"/>
    <x v="0"/>
    <n v="35"/>
    <s v="Male"/>
  </r>
  <r>
    <s v="SWG2344"/>
    <d v="2024-05-29T00:00:00"/>
    <x v="5"/>
    <s v="Wed"/>
    <s v="Reena's Parathas"/>
    <x v="2"/>
    <s v="Indian, Italian"/>
    <x v="5"/>
    <s v="Veg"/>
    <n v="4"/>
    <n v="254"/>
    <n v="1016"/>
    <m/>
    <m/>
    <n v="150"/>
    <n v="30"/>
    <x v="2"/>
    <n v="37"/>
    <s v="Male"/>
  </r>
  <r>
    <s v="SWG2345"/>
    <d v="2024-02-29T00:00:00"/>
    <x v="7"/>
    <s v="Thu"/>
    <s v="Delicious Cake Shop"/>
    <x v="2"/>
    <s v="Bakery, Desserts"/>
    <x v="4"/>
    <s v="Veg"/>
    <n v="2"/>
    <n v="186"/>
    <n v="372"/>
    <m/>
    <m/>
    <n v="40"/>
    <n v="10"/>
    <x v="3"/>
    <n v="44"/>
    <s v="Male"/>
  </r>
  <r>
    <s v="SWG2346"/>
    <d v="2024-03-04T00:00:00"/>
    <x v="3"/>
    <s v="Mon"/>
    <s v="Madhurika's Kitchen"/>
    <x v="2"/>
    <s v="North Indian, South Indian, Snacks, Beverages"/>
    <x v="3"/>
    <s v="Veg"/>
    <n v="3"/>
    <n v="184"/>
    <n v="552"/>
    <n v="3.5"/>
    <n v="27"/>
    <n v="999"/>
    <n v="0"/>
    <x v="3"/>
    <n v="28"/>
    <s v="Female"/>
  </r>
  <r>
    <s v="SWG2347"/>
    <d v="2024-04-02T00:00:00"/>
    <x v="0"/>
    <s v="Tue"/>
    <s v="Veg Pizza-2X Topping"/>
    <x v="2"/>
    <s v="Indian"/>
    <x v="5"/>
    <s v="Veg"/>
    <n v="2"/>
    <n v="411"/>
    <n v="822"/>
    <m/>
    <m/>
    <n v="100"/>
    <n v="50"/>
    <x v="1"/>
    <n v="44"/>
    <s v="Male"/>
  </r>
  <r>
    <s v="SWG2348"/>
    <d v="2024-03-12T00:00:00"/>
    <x v="3"/>
    <s v="Tue"/>
    <s v="Tuk Tuk"/>
    <x v="2"/>
    <s v="Chinese, Fast Food"/>
    <x v="5"/>
    <s v="Veg"/>
    <n v="4"/>
    <n v="144"/>
    <n v="576"/>
    <m/>
    <m/>
    <m/>
    <n v="0"/>
    <x v="2"/>
    <n v="49"/>
    <s v="Male"/>
  </r>
  <r>
    <s v="SWG2349"/>
    <d v="2024-01-11T00:00:00"/>
    <x v="2"/>
    <s v="Thu"/>
    <s v="Foodys guys"/>
    <x v="2"/>
    <s v="Indian, Chinese, Mughlai, Tandoor, Arabian, Biryani"/>
    <x v="2"/>
    <s v="Non-Veg"/>
    <n v="1"/>
    <n v="156"/>
    <n v="156"/>
    <m/>
    <m/>
    <m/>
    <n v="0"/>
    <x v="0"/>
    <n v="31"/>
    <s v="Male"/>
  </r>
  <r>
    <s v="SWG2350"/>
    <d v="2024-04-14T00:00:00"/>
    <x v="0"/>
    <s v="Sun"/>
    <s v="MOGO Pizza"/>
    <x v="0"/>
    <s v="Pizzas, Burgers, Chinese, Desserts, Pastas, Italian"/>
    <x v="1"/>
    <s v="Veg"/>
    <n v="2"/>
    <n v="120"/>
    <n v="240"/>
    <n v="4.4000000000000004"/>
    <n v="24"/>
    <n v="100"/>
    <n v="50"/>
    <x v="0"/>
    <n v="42"/>
    <s v="Female"/>
  </r>
  <r>
    <s v="SWG2351"/>
    <d v="2024-08-16T00:00:00"/>
    <x v="6"/>
    <s v="Fri"/>
    <s v="Oven Bake Pizza"/>
    <x v="2"/>
    <s v="Pizzas"/>
    <x v="1"/>
    <s v="Veg"/>
    <n v="3"/>
    <n v="518"/>
    <n v="1554"/>
    <m/>
    <m/>
    <n v="100"/>
    <n v="50"/>
    <x v="2"/>
    <n v="35"/>
    <s v="Female"/>
  </r>
  <r>
    <s v="SWG2352"/>
    <d v="2024-01-14T00:00:00"/>
    <x v="2"/>
    <s v="Sun"/>
    <s v="Hotel Sheetal Picnic"/>
    <x v="8"/>
    <s v="North Indian, Thalis, Biryani"/>
    <x v="2"/>
    <s v="Non-Veg"/>
    <n v="2"/>
    <n v="156"/>
    <n v="312"/>
    <n v="2.8"/>
    <n v="27"/>
    <m/>
    <n v="0"/>
    <x v="0"/>
    <n v="45"/>
    <s v="Male"/>
  </r>
  <r>
    <s v="SWG2353"/>
    <d v="2024-02-29T00:00:00"/>
    <x v="7"/>
    <s v="Thu"/>
    <s v="Baskin Robbins Food Court"/>
    <x v="2"/>
    <s v="Ice Cream"/>
    <x v="5"/>
    <s v="Veg"/>
    <n v="2"/>
    <n v="260"/>
    <n v="520"/>
    <m/>
    <m/>
    <m/>
    <n v="0"/>
    <x v="3"/>
    <n v="45"/>
    <s v="Male"/>
  </r>
  <r>
    <s v="SWG2354"/>
    <d v="2024-01-30T00:00:00"/>
    <x v="2"/>
    <s v="Tue"/>
    <s v="Om Sai Sandwich Corner"/>
    <x v="2"/>
    <s v="Fast Food, Pizzas"/>
    <x v="1"/>
    <s v="Veg"/>
    <n v="2"/>
    <n v="351"/>
    <n v="702"/>
    <n v="4.5"/>
    <n v="26"/>
    <m/>
    <n v="0"/>
    <x v="0"/>
    <n v="46"/>
    <s v="Female"/>
  </r>
  <r>
    <s v="SWG2355"/>
    <d v="2024-02-04T00:00:00"/>
    <x v="7"/>
    <s v="Sun"/>
    <s v="Quenchers By Uk"/>
    <x v="2"/>
    <s v="Bakery, Desserts, Indian"/>
    <x v="4"/>
    <s v="Veg"/>
    <n v="3"/>
    <n v="255"/>
    <n v="765"/>
    <m/>
    <m/>
    <m/>
    <n v="0"/>
    <x v="1"/>
    <n v="33"/>
    <s v="Female"/>
  </r>
  <r>
    <s v="SWG2356"/>
    <d v="2024-07-31T00:00:00"/>
    <x v="4"/>
    <s v="Wed"/>
    <s v="Maa Sita Rasoi"/>
    <x v="2"/>
    <s v="Indian"/>
    <x v="5"/>
    <s v="Veg"/>
    <n v="4"/>
    <n v="508"/>
    <n v="2032"/>
    <m/>
    <m/>
    <m/>
    <n v="0"/>
    <x v="3"/>
    <n v="20"/>
    <s v="Female"/>
  </r>
  <r>
    <s v="SWG2357"/>
    <d v="2024-06-13T00:00:00"/>
    <x v="1"/>
    <s v="Thu"/>
    <s v="All Seasons Kitchen and Bar"/>
    <x v="7"/>
    <s v="North Indian, Chinese, Biryani, Tandoor, Thai, Chaat, Indian, Desserts"/>
    <x v="2"/>
    <s v="Non-Veg"/>
    <n v="2"/>
    <n v="307"/>
    <n v="614"/>
    <n v="3.9"/>
    <n v="30"/>
    <m/>
    <n v="0"/>
    <x v="3"/>
    <n v="32"/>
    <s v="Male"/>
  </r>
  <r>
    <s v="SWG2358"/>
    <d v="2024-01-05T00:00:00"/>
    <x v="2"/>
    <s v="Fri"/>
    <s v="Meethi Elaichi"/>
    <x v="2"/>
    <s v="Desserts, Sweets, Beverages"/>
    <x v="4"/>
    <s v="Veg"/>
    <n v="2"/>
    <n v="247"/>
    <n v="494"/>
    <n v="5"/>
    <n v="25"/>
    <n v="150"/>
    <n v="30"/>
    <x v="3"/>
    <n v="44"/>
    <s v="Male"/>
  </r>
  <r>
    <s v="SWG2359"/>
    <d v="2024-03-23T00:00:00"/>
    <x v="3"/>
    <s v="Sat"/>
    <s v="Nityanand Chinese"/>
    <x v="2"/>
    <s v="Indian, Chinese"/>
    <x v="5"/>
    <s v="Veg"/>
    <n v="1"/>
    <n v="320"/>
    <n v="320"/>
    <m/>
    <m/>
    <m/>
    <n v="0"/>
    <x v="2"/>
    <n v="44"/>
    <s v="Female"/>
  </r>
  <r>
    <s v="SWG2360"/>
    <d v="2024-05-02T00:00:00"/>
    <x v="5"/>
    <s v="Thu"/>
    <s v="Green Dot Momos"/>
    <x v="7"/>
    <s v="Asian, Tibetan, Desserts, Beverages"/>
    <x v="4"/>
    <s v="Veg"/>
    <n v="3"/>
    <n v="246"/>
    <n v="738"/>
    <m/>
    <m/>
    <n v="249"/>
    <n v="0"/>
    <x v="2"/>
    <n v="48"/>
    <s v="Male"/>
  </r>
  <r>
    <s v="SWG2361"/>
    <d v="2024-03-18T00:00:00"/>
    <x v="3"/>
    <s v="Mon"/>
    <s v="Happy Da Paratha"/>
    <x v="42"/>
    <s v="Indian"/>
    <x v="5"/>
    <s v="Veg"/>
    <n v="2"/>
    <n v="376"/>
    <n v="752"/>
    <n v="2.7"/>
    <n v="41"/>
    <m/>
    <n v="0"/>
    <x v="3"/>
    <n v="21"/>
    <s v="Female"/>
  </r>
  <r>
    <s v="SWG2362"/>
    <d v="2024-06-02T00:00:00"/>
    <x v="1"/>
    <s v="Sun"/>
    <s v="Purple Foods"/>
    <x v="22"/>
    <s v="Indian, Tandoor, Biryani, Desserts, Beverages"/>
    <x v="2"/>
    <s v="Non-Veg"/>
    <n v="3"/>
    <n v="283"/>
    <n v="849"/>
    <n v="4.2"/>
    <n v="49"/>
    <n v="599"/>
    <n v="0"/>
    <x v="2"/>
    <n v="22"/>
    <s v="Female"/>
  </r>
  <r>
    <s v="SWG2363"/>
    <d v="2024-03-02T00:00:00"/>
    <x v="3"/>
    <s v="Sat"/>
    <s v="Masterchef Kitchen"/>
    <x v="2"/>
    <s v="Chinese, Asian, Thai"/>
    <x v="5"/>
    <s v="Veg"/>
    <n v="2"/>
    <n v="154"/>
    <n v="308"/>
    <n v="3.5"/>
    <n v="44"/>
    <n v="150"/>
    <n v="30"/>
    <x v="0"/>
    <n v="34"/>
    <s v="Female"/>
  </r>
  <r>
    <s v="SWG2364"/>
    <d v="2024-05-11T00:00:00"/>
    <x v="5"/>
    <s v="Sat"/>
    <s v="Flavours Of Biryani"/>
    <x v="11"/>
    <s v="Biryani, Tandoor, Kebabs"/>
    <x v="2"/>
    <s v="Non-Veg"/>
    <n v="4"/>
    <n v="313"/>
    <n v="1252"/>
    <n v="3.4"/>
    <n v="49"/>
    <m/>
    <n v="0"/>
    <x v="2"/>
    <n v="24"/>
    <s v="Male"/>
  </r>
  <r>
    <s v="SWG2365"/>
    <d v="2024-03-29T00:00:00"/>
    <x v="3"/>
    <s v="Fri"/>
    <s v="Egg Free Cakes"/>
    <x v="33"/>
    <s v="Bakery, Desserts"/>
    <x v="4"/>
    <s v="Veg"/>
    <n v="4"/>
    <n v="310"/>
    <n v="1240"/>
    <m/>
    <m/>
    <m/>
    <n v="0"/>
    <x v="2"/>
    <n v="33"/>
    <s v="Female"/>
  </r>
  <r>
    <s v="SWG2366"/>
    <d v="2024-08-24T00:00:00"/>
    <x v="6"/>
    <s v="Sat"/>
    <s v="Celebration Special by CakeZone"/>
    <x v="21"/>
    <s v="Bakery, Desserts"/>
    <x v="4"/>
    <s v="Veg"/>
    <n v="2"/>
    <n v="223"/>
    <n v="446"/>
    <n v="3.7"/>
    <n v="41"/>
    <n v="699"/>
    <n v="0"/>
    <x v="3"/>
    <n v="31"/>
    <s v="Female"/>
  </r>
  <r>
    <s v="SWG2367"/>
    <d v="2024-02-11T00:00:00"/>
    <x v="7"/>
    <s v="Sun"/>
    <s v="Spicy Chicken"/>
    <x v="11"/>
    <s v="North Indian"/>
    <x v="5"/>
    <s v="Veg"/>
    <n v="4"/>
    <n v="142"/>
    <n v="568"/>
    <m/>
    <m/>
    <m/>
    <n v="0"/>
    <x v="1"/>
    <n v="43"/>
    <s v="Male"/>
  </r>
  <r>
    <s v="SWG2368"/>
    <d v="2024-03-29T00:00:00"/>
    <x v="3"/>
    <s v="Fri"/>
    <s v="The J's Pizza"/>
    <x v="42"/>
    <s v="Pizzas, Pastas"/>
    <x v="1"/>
    <s v="Veg"/>
    <n v="2"/>
    <n v="384"/>
    <n v="768"/>
    <m/>
    <m/>
    <m/>
    <n v="0"/>
    <x v="1"/>
    <n v="33"/>
    <s v="Female"/>
  </r>
  <r>
    <s v="SWG2369"/>
    <d v="2024-05-25T00:00:00"/>
    <x v="5"/>
    <s v="Sat"/>
    <s v="Fud Boy"/>
    <x v="11"/>
    <s v="Biryani, Indian, Kebabs, Beverages"/>
    <x v="2"/>
    <s v="Non-Veg"/>
    <n v="4"/>
    <n v="409"/>
    <n v="1636"/>
    <m/>
    <m/>
    <n v="150"/>
    <n v="30"/>
    <x v="1"/>
    <n v="24"/>
    <s v="Male"/>
  </r>
  <r>
    <s v="SWG2370"/>
    <d v="2024-02-09T00:00:00"/>
    <x v="7"/>
    <s v="Fri"/>
    <s v="Momoya"/>
    <x v="42"/>
    <s v="Chinese"/>
    <x v="5"/>
    <s v="Veg"/>
    <n v="1"/>
    <n v="549"/>
    <n v="549"/>
    <m/>
    <m/>
    <m/>
    <n v="0"/>
    <x v="0"/>
    <n v="26"/>
    <s v="Female"/>
  </r>
  <r>
    <s v="SWG2371"/>
    <d v="2024-03-12T00:00:00"/>
    <x v="3"/>
    <s v="Tue"/>
    <s v="Wandercrust"/>
    <x v="24"/>
    <s v="Pizzas, Italian"/>
    <x v="1"/>
    <s v="Veg"/>
    <n v="1"/>
    <n v="581"/>
    <n v="581"/>
    <n v="3.9"/>
    <n v="49"/>
    <n v="120"/>
    <n v="25"/>
    <x v="2"/>
    <n v="21"/>
    <s v="Male"/>
  </r>
  <r>
    <s v="SWG2372"/>
    <d v="2024-02-08T00:00:00"/>
    <x v="7"/>
    <s v="Thu"/>
    <s v="Swaad Snacks and Namkeen"/>
    <x v="7"/>
    <s v="Indian"/>
    <x v="5"/>
    <s v="Veg"/>
    <n v="1"/>
    <n v="503"/>
    <n v="503"/>
    <n v="4.4000000000000004"/>
    <n v="37"/>
    <m/>
    <n v="0"/>
    <x v="1"/>
    <n v="47"/>
    <s v="Female"/>
  </r>
  <r>
    <s v="SWG2373"/>
    <d v="2024-04-13T00:00:00"/>
    <x v="0"/>
    <s v="Sat"/>
    <s v="Lucky chinese center"/>
    <x v="29"/>
    <s v="Chinese"/>
    <x v="5"/>
    <s v="Veg"/>
    <n v="3"/>
    <n v="379"/>
    <n v="1137"/>
    <m/>
    <m/>
    <m/>
    <n v="0"/>
    <x v="3"/>
    <n v="47"/>
    <s v="Female"/>
  </r>
  <r>
    <s v="SWG2374"/>
    <d v="2024-01-14T00:00:00"/>
    <x v="2"/>
    <s v="Sun"/>
    <s v="Das Chilly Chinese"/>
    <x v="29"/>
    <s v="Chinese"/>
    <x v="5"/>
    <s v="Veg"/>
    <n v="3"/>
    <n v="533"/>
    <n v="1599"/>
    <m/>
    <m/>
    <m/>
    <n v="0"/>
    <x v="1"/>
    <n v="39"/>
    <s v="Female"/>
  </r>
  <r>
    <s v="SWG2375"/>
    <d v="2024-02-01T00:00:00"/>
    <x v="7"/>
    <s v="Thu"/>
    <s v="Raja Vada Pav Goregaon Wala"/>
    <x v="7"/>
    <s v="Snacks, Fast Food"/>
    <x v="5"/>
    <s v="Veg"/>
    <n v="1"/>
    <n v="598"/>
    <n v="598"/>
    <n v="3.9"/>
    <n v="37"/>
    <m/>
    <n v="0"/>
    <x v="1"/>
    <n v="28"/>
    <s v="Female"/>
  </r>
  <r>
    <s v="SWG2376"/>
    <d v="2024-06-27T00:00:00"/>
    <x v="1"/>
    <s v="Thu"/>
    <s v="Sandy's Thick Shake"/>
    <x v="7"/>
    <s v="Desserts, Beverages"/>
    <x v="4"/>
    <s v="Veg"/>
    <n v="3"/>
    <n v="477"/>
    <n v="1431"/>
    <n v="2.4"/>
    <n v="37"/>
    <m/>
    <n v="0"/>
    <x v="2"/>
    <n v="19"/>
    <s v="Female"/>
  </r>
  <r>
    <s v="SWG2377"/>
    <d v="2024-05-04T00:00:00"/>
    <x v="5"/>
    <s v="Sat"/>
    <s v="hotel shri krishna"/>
    <x v="7"/>
    <s v="South Indian, North Indian, Chinese, Beverages, Snacks"/>
    <x v="3"/>
    <s v="Veg"/>
    <n v="4"/>
    <n v="194"/>
    <n v="776"/>
    <m/>
    <m/>
    <m/>
    <n v="0"/>
    <x v="2"/>
    <n v="29"/>
    <s v="Male"/>
  </r>
  <r>
    <s v="SWG2378"/>
    <d v="2024-06-14T00:00:00"/>
    <x v="1"/>
    <s v="Fri"/>
    <s v="Hem-The Cake Shop"/>
    <x v="5"/>
    <s v="Desserts"/>
    <x v="4"/>
    <s v="Veg"/>
    <n v="2"/>
    <n v="474"/>
    <n v="948"/>
    <n v="3.6"/>
    <n v="39"/>
    <m/>
    <n v="0"/>
    <x v="2"/>
    <n v="29"/>
    <s v="Male"/>
  </r>
  <r>
    <s v="SWG2379"/>
    <d v="2024-04-06T00:00:00"/>
    <x v="0"/>
    <s v="Sat"/>
    <s v="Zero Gravity ( Boriwali )"/>
    <x v="7"/>
    <s v="Indian"/>
    <x v="5"/>
    <s v="Veg"/>
    <n v="2"/>
    <n v="191"/>
    <n v="382"/>
    <n v="2.6"/>
    <n v="39"/>
    <m/>
    <n v="0"/>
    <x v="0"/>
    <n v="47"/>
    <s v="Female"/>
  </r>
  <r>
    <s v="SWG2380"/>
    <d v="2024-01-23T00:00:00"/>
    <x v="2"/>
    <s v="Tue"/>
    <s v="The Pastelworks Co. Malad"/>
    <x v="22"/>
    <s v="Bakery"/>
    <x v="5"/>
    <s v="Veg"/>
    <n v="2"/>
    <n v="378"/>
    <n v="756"/>
    <n v="3.9"/>
    <n v="38"/>
    <n v="150"/>
    <n v="30"/>
    <x v="0"/>
    <n v="21"/>
    <s v="Female"/>
  </r>
  <r>
    <s v="SWG2381"/>
    <d v="2024-03-03T00:00:00"/>
    <x v="3"/>
    <s v="Sun"/>
    <s v="Kulchizza Factory"/>
    <x v="7"/>
    <s v="North Indian, Chinese, Fast Food"/>
    <x v="5"/>
    <s v="Veg"/>
    <n v="1"/>
    <n v="517"/>
    <n v="517"/>
    <m/>
    <m/>
    <m/>
    <n v="0"/>
    <x v="1"/>
    <n v="35"/>
    <s v="Female"/>
  </r>
  <r>
    <s v="SWG2382"/>
    <d v="2024-05-22T00:00:00"/>
    <x v="5"/>
    <s v="Wed"/>
    <s v="GURU KRUPA JUICE CENTER"/>
    <x v="7"/>
    <s v="Beverages, Juices"/>
    <x v="3"/>
    <s v="Veg"/>
    <n v="3"/>
    <n v="307"/>
    <n v="921"/>
    <m/>
    <m/>
    <m/>
    <n v="0"/>
    <x v="2"/>
    <n v="43"/>
    <s v="Male"/>
  </r>
  <r>
    <s v="SWG2383"/>
    <d v="2024-08-12T00:00:00"/>
    <x v="6"/>
    <s v="Mon"/>
    <s v="Indocafe"/>
    <x v="7"/>
    <s v="Continental, Mexican, Italian, Desserts, Beverages"/>
    <x v="4"/>
    <s v="Veg"/>
    <n v="4"/>
    <n v="580"/>
    <n v="2320"/>
    <n v="2.8"/>
    <n v="37"/>
    <m/>
    <n v="0"/>
    <x v="1"/>
    <n v="38"/>
    <s v="Male"/>
  </r>
  <r>
    <s v="SWG2384"/>
    <d v="2024-06-01T00:00:00"/>
    <x v="1"/>
    <s v="Sat"/>
    <s v="Cafe Bahar Restaurant"/>
    <x v="2"/>
    <s v="Biryani, Arabian, Chinese, North Indian"/>
    <x v="2"/>
    <s v="Non-Veg"/>
    <n v="4"/>
    <n v="292"/>
    <n v="1168"/>
    <n v="3.8"/>
    <n v="38"/>
    <m/>
    <n v="0"/>
    <x v="3"/>
    <n v="48"/>
    <s v="Female"/>
  </r>
  <r>
    <s v="SWG2385"/>
    <d v="2024-05-24T00:00:00"/>
    <x v="5"/>
    <s v="Fri"/>
    <s v="The Pavilion Bar And Resturant"/>
    <x v="93"/>
    <s v="North Indian, Biryani, Seafood, Chinese, Tandoor, Kebabs"/>
    <x v="2"/>
    <s v="Non-Veg"/>
    <n v="1"/>
    <n v="599"/>
    <n v="599"/>
    <n v="4.0999999999999996"/>
    <n v="39"/>
    <m/>
    <n v="0"/>
    <x v="3"/>
    <n v="24"/>
    <s v="Male"/>
  </r>
  <r>
    <s v="SWG2386"/>
    <d v="2024-08-12T00:00:00"/>
    <x v="6"/>
    <s v="Mon"/>
    <s v="Twist and Taste"/>
    <x v="7"/>
    <s v="Chinese, Snacks"/>
    <x v="5"/>
    <s v="Veg"/>
    <n v="4"/>
    <n v="409"/>
    <n v="1636"/>
    <m/>
    <m/>
    <m/>
    <n v="0"/>
    <x v="2"/>
    <n v="46"/>
    <s v="Female"/>
  </r>
  <r>
    <s v="SWG2387"/>
    <d v="2024-08-26T00:00:00"/>
    <x v="6"/>
    <s v="Mon"/>
    <s v="My Choice Franky House"/>
    <x v="11"/>
    <s v="Fast Food"/>
    <x v="5"/>
    <s v="Veg"/>
    <n v="4"/>
    <n v="164"/>
    <n v="656"/>
    <n v="3.7"/>
    <n v="39"/>
    <m/>
    <n v="0"/>
    <x v="2"/>
    <n v="18"/>
    <s v="Female"/>
  </r>
  <r>
    <s v="SWG2388"/>
    <d v="2024-07-12T00:00:00"/>
    <x v="4"/>
    <s v="Fri"/>
    <s v="The Chocolate Chips"/>
    <x v="7"/>
    <s v="Indian"/>
    <x v="5"/>
    <s v="Veg"/>
    <n v="4"/>
    <n v="180"/>
    <n v="720"/>
    <n v="4.4000000000000004"/>
    <n v="34"/>
    <m/>
    <n v="0"/>
    <x v="3"/>
    <n v="48"/>
    <s v="Female"/>
  </r>
  <r>
    <s v="SWG2389"/>
    <d v="2024-07-24T00:00:00"/>
    <x v="4"/>
    <s v="Wed"/>
    <s v="Saucy Pasta Cartel"/>
    <x v="7"/>
    <s v="Pastas"/>
    <x v="5"/>
    <s v="Veg"/>
    <n v="4"/>
    <n v="202"/>
    <n v="808"/>
    <m/>
    <m/>
    <m/>
    <n v="0"/>
    <x v="2"/>
    <n v="43"/>
    <s v="Male"/>
  </r>
  <r>
    <s v="SWG2390"/>
    <d v="2024-02-22T00:00:00"/>
    <x v="7"/>
    <s v="Thu"/>
    <s v="Momos 8849"/>
    <x v="7"/>
    <s v="Fast Food"/>
    <x v="5"/>
    <s v="Veg"/>
    <n v="3"/>
    <n v="242"/>
    <n v="726"/>
    <m/>
    <m/>
    <m/>
    <n v="0"/>
    <x v="0"/>
    <n v="43"/>
    <s v="Female"/>
  </r>
  <r>
    <s v="SWG2391"/>
    <d v="2024-04-13T00:00:00"/>
    <x v="0"/>
    <s v="Sat"/>
    <s v="Veg Curries Of India"/>
    <x v="7"/>
    <s v="North Indian, Chinese, Street Food, Mughlai, Tandoor, Kebabs, Punjabi, Biryani, Snacks"/>
    <x v="2"/>
    <s v="Non-Veg"/>
    <n v="4"/>
    <n v="477"/>
    <n v="1908"/>
    <n v="4.5"/>
    <n v="37"/>
    <m/>
    <n v="0"/>
    <x v="0"/>
    <n v="40"/>
    <s v="Female"/>
  </r>
  <r>
    <s v="SWG2392"/>
    <d v="2024-04-13T00:00:00"/>
    <x v="0"/>
    <s v="Sat"/>
    <s v="Chef De Partie"/>
    <x v="29"/>
    <s v="Bakery, Beverages, Desserts"/>
    <x v="4"/>
    <s v="Veg"/>
    <n v="2"/>
    <n v="135"/>
    <n v="270"/>
    <m/>
    <m/>
    <m/>
    <n v="0"/>
    <x v="2"/>
    <n v="43"/>
    <s v="Female"/>
  </r>
  <r>
    <s v="SWG2393"/>
    <d v="2024-06-27T00:00:00"/>
    <x v="1"/>
    <s v="Thu"/>
    <s v="Bolbol Burgers"/>
    <x v="3"/>
    <s v="Indian, Snacks, North Indian"/>
    <x v="5"/>
    <s v="Veg"/>
    <n v="1"/>
    <n v="185"/>
    <n v="185"/>
    <n v="4.2"/>
    <n v="39"/>
    <m/>
    <n v="0"/>
    <x v="3"/>
    <n v="30"/>
    <s v="Male"/>
  </r>
  <r>
    <s v="SWG2394"/>
    <d v="2024-02-08T00:00:00"/>
    <x v="7"/>
    <s v="Thu"/>
    <s v="Buns &amp; Deluchas"/>
    <x v="7"/>
    <s v="Bakery, Desserts"/>
    <x v="4"/>
    <s v="Veg"/>
    <n v="3"/>
    <n v="543"/>
    <n v="1629"/>
    <m/>
    <m/>
    <m/>
    <n v="0"/>
    <x v="1"/>
    <n v="23"/>
    <s v="Male"/>
  </r>
  <r>
    <s v="SWG2395"/>
    <d v="2024-06-27T00:00:00"/>
    <x v="1"/>
    <s v="Thu"/>
    <s v="BHURAJI SANDWICH"/>
    <x v="11"/>
    <s v="Fast Food, Snacks"/>
    <x v="5"/>
    <s v="Veg"/>
    <n v="4"/>
    <n v="264"/>
    <n v="1056"/>
    <m/>
    <m/>
    <m/>
    <n v="0"/>
    <x v="2"/>
    <n v="23"/>
    <s v="Male"/>
  </r>
  <r>
    <s v="SWG2396"/>
    <d v="2024-07-16T00:00:00"/>
    <x v="4"/>
    <s v="Tue"/>
    <s v="Hidden Spot Cafe &amp; Resto"/>
    <x v="7"/>
    <s v="Pizzas"/>
    <x v="1"/>
    <s v="Veg"/>
    <n v="3"/>
    <n v="494"/>
    <n v="1482"/>
    <m/>
    <m/>
    <m/>
    <n v="0"/>
    <x v="2"/>
    <n v="29"/>
    <s v="Female"/>
  </r>
  <r>
    <s v="SWG2397"/>
    <d v="2024-05-13T00:00:00"/>
    <x v="5"/>
    <s v="Mon"/>
    <s v="Thick Shakes Magic- CAD B"/>
    <x v="29"/>
    <s v="Indian"/>
    <x v="5"/>
    <s v="Veg"/>
    <n v="4"/>
    <n v="281"/>
    <n v="1124"/>
    <m/>
    <m/>
    <n v="150"/>
    <n v="30"/>
    <x v="1"/>
    <n v="25"/>
    <s v="Male"/>
  </r>
  <r>
    <s v="SWG2398"/>
    <d v="2024-03-07T00:00:00"/>
    <x v="3"/>
    <s v="Thu"/>
    <s v="Ekdum Biryani"/>
    <x v="5"/>
    <s v="Biryani, North Indian, Mughlai, Tandoor, Kebabs"/>
    <x v="2"/>
    <s v="Non-Veg"/>
    <n v="2"/>
    <n v="353"/>
    <n v="706"/>
    <n v="3.9"/>
    <n v="39"/>
    <n v="700"/>
    <n v="20"/>
    <x v="2"/>
    <n v="41"/>
    <s v="Female"/>
  </r>
  <r>
    <s v="SWG2399"/>
    <d v="2024-05-14T00:00:00"/>
    <x v="5"/>
    <s v="Tue"/>
    <s v="Chaap Central by Punjabi Grill Dhaba"/>
    <x v="11"/>
    <s v="Indian"/>
    <x v="5"/>
    <s v="Veg"/>
    <n v="1"/>
    <n v="499"/>
    <n v="499"/>
    <n v="3.6"/>
    <n v="38"/>
    <m/>
    <n v="0"/>
    <x v="1"/>
    <n v="39"/>
    <s v="Male"/>
  </r>
  <r>
    <s v="SWG2400"/>
    <d v="2024-06-27T00:00:00"/>
    <x v="1"/>
    <s v="Thu"/>
    <s v="Vicky Chinese"/>
    <x v="29"/>
    <s v="Chinese"/>
    <x v="5"/>
    <s v="Veg"/>
    <n v="4"/>
    <n v="263"/>
    <n v="1052"/>
    <m/>
    <m/>
    <m/>
    <n v="0"/>
    <x v="3"/>
    <n v="36"/>
    <s v="Female"/>
  </r>
  <r>
    <s v="SWG2401"/>
    <d v="2024-07-18T00:00:00"/>
    <x v="4"/>
    <s v="Thu"/>
    <s v="Kokan Chinese Corner"/>
    <x v="11"/>
    <s v="Chinese, Snacks"/>
    <x v="5"/>
    <s v="Veg"/>
    <n v="4"/>
    <n v="477"/>
    <n v="1908"/>
    <m/>
    <m/>
    <m/>
    <n v="0"/>
    <x v="0"/>
    <n v="22"/>
    <s v="Male"/>
  </r>
  <r>
    <s v="SWG2402"/>
    <d v="2024-02-11T00:00:00"/>
    <x v="7"/>
    <s v="Sun"/>
    <s v="Noor Chinese and tandoor"/>
    <x v="7"/>
    <s v="Chinese"/>
    <x v="5"/>
    <s v="Veg"/>
    <n v="4"/>
    <n v="307"/>
    <n v="1228"/>
    <m/>
    <m/>
    <m/>
    <n v="0"/>
    <x v="3"/>
    <n v="35"/>
    <s v="Female"/>
  </r>
  <r>
    <s v="SWG2403"/>
    <d v="2024-07-10T00:00:00"/>
    <x v="4"/>
    <s v="Wed"/>
    <s v="Shree Samarth Malvani Food'S"/>
    <x v="7"/>
    <s v="North Indian, Indian"/>
    <x v="5"/>
    <s v="Veg"/>
    <n v="4"/>
    <n v="441"/>
    <n v="1764"/>
    <m/>
    <m/>
    <m/>
    <n v="0"/>
    <x v="0"/>
    <n v="48"/>
    <s v="Male"/>
  </r>
  <r>
    <s v="SWG2404"/>
    <d v="2024-01-15T00:00:00"/>
    <x v="2"/>
    <s v="Mon"/>
    <s v="Chavishtha Ventures Llp"/>
    <x v="29"/>
    <s v="Indian, Seafood, Snacks"/>
    <x v="5"/>
    <s v="Veg"/>
    <n v="1"/>
    <n v="569"/>
    <n v="569"/>
    <n v="4.0999999999999996"/>
    <n v="38"/>
    <m/>
    <n v="0"/>
    <x v="1"/>
    <n v="47"/>
    <s v="Male"/>
  </r>
  <r>
    <s v="SWG2405"/>
    <d v="2024-04-20T00:00:00"/>
    <x v="0"/>
    <s v="Sat"/>
    <s v="D Sandwicha &amp; snakes corner"/>
    <x v="29"/>
    <s v="Italian, Pizzas, Snacks"/>
    <x v="1"/>
    <s v="Veg"/>
    <n v="1"/>
    <n v="593"/>
    <n v="593"/>
    <m/>
    <m/>
    <m/>
    <n v="0"/>
    <x v="0"/>
    <n v="22"/>
    <s v="Male"/>
  </r>
  <r>
    <s v="SWG2406"/>
    <d v="2024-06-05T00:00:00"/>
    <x v="1"/>
    <s v="Wed"/>
    <s v="Kulfi Bite"/>
    <x v="11"/>
    <s v="Indian"/>
    <x v="5"/>
    <s v="Veg"/>
    <n v="2"/>
    <n v="132"/>
    <n v="264"/>
    <m/>
    <m/>
    <m/>
    <n v="0"/>
    <x v="3"/>
    <n v="47"/>
    <s v="Female"/>
  </r>
  <r>
    <s v="SWG2407"/>
    <d v="2024-02-02T00:00:00"/>
    <x v="7"/>
    <s v="Fri"/>
    <s v="Gladmad Pizza"/>
    <x v="7"/>
    <s v="Italian-American, Pizzas, Beverages"/>
    <x v="1"/>
    <s v="Veg"/>
    <n v="1"/>
    <n v="303"/>
    <n v="303"/>
    <n v="4"/>
    <n v="39"/>
    <m/>
    <n v="0"/>
    <x v="0"/>
    <n v="42"/>
    <s v="Male"/>
  </r>
  <r>
    <s v="SWG2408"/>
    <d v="2024-08-09T00:00:00"/>
    <x v="6"/>
    <s v="Fri"/>
    <s v="The Elegant Spatula-Creative Cakes n Cookies"/>
    <x v="7"/>
    <s v="Bakery"/>
    <x v="5"/>
    <s v="Veg"/>
    <n v="4"/>
    <n v="230"/>
    <n v="920"/>
    <m/>
    <m/>
    <m/>
    <n v="0"/>
    <x v="1"/>
    <n v="27"/>
    <s v="Male"/>
  </r>
  <r>
    <s v="SWG2409"/>
    <d v="2024-08-18T00:00:00"/>
    <x v="6"/>
    <s v="Sun"/>
    <s v="Navkar Mart"/>
    <x v="5"/>
    <s v="Snacks, Gujarati"/>
    <x v="5"/>
    <s v="Veg"/>
    <n v="2"/>
    <n v="534"/>
    <n v="1068"/>
    <m/>
    <m/>
    <n v="749"/>
    <n v="0"/>
    <x v="0"/>
    <n v="18"/>
    <s v="Male"/>
  </r>
  <r>
    <s v="SWG2410"/>
    <d v="2024-06-03T00:00:00"/>
    <x v="1"/>
    <s v="Mon"/>
    <s v="Kings Corner"/>
    <x v="6"/>
    <s v="Chinese"/>
    <x v="5"/>
    <s v="Veg"/>
    <n v="2"/>
    <n v="409"/>
    <n v="818"/>
    <n v="3.4"/>
    <n v="38"/>
    <m/>
    <n v="0"/>
    <x v="2"/>
    <n v="27"/>
    <s v="Male"/>
  </r>
  <r>
    <s v="SWG2411"/>
    <d v="2024-06-12T00:00:00"/>
    <x v="1"/>
    <s v="Wed"/>
    <s v="Miss U Cake N Bake"/>
    <x v="2"/>
    <s v="Bakery, Jain"/>
    <x v="5"/>
    <s v="Veg"/>
    <n v="2"/>
    <n v="414"/>
    <n v="828"/>
    <m/>
    <m/>
    <m/>
    <n v="0"/>
    <x v="3"/>
    <n v="22"/>
    <s v="Female"/>
  </r>
  <r>
    <s v="SWG2412"/>
    <d v="2024-06-05T00:00:00"/>
    <x v="1"/>
    <s v="Wed"/>
    <s v="Radha Krishna Pav Bhaji"/>
    <x v="7"/>
    <s v="Indian"/>
    <x v="5"/>
    <s v="Veg"/>
    <n v="4"/>
    <n v="570"/>
    <n v="2280"/>
    <m/>
    <m/>
    <m/>
    <n v="0"/>
    <x v="2"/>
    <n v="29"/>
    <s v="Male"/>
  </r>
  <r>
    <s v="SWG2413"/>
    <d v="2024-02-07T00:00:00"/>
    <x v="7"/>
    <s v="Wed"/>
    <s v="Shree Mahalaxmi Fast Food &amp; Juice Center"/>
    <x v="7"/>
    <s v="Chaat, Fast Food"/>
    <x v="5"/>
    <s v="Veg"/>
    <n v="3"/>
    <n v="511"/>
    <n v="1533"/>
    <m/>
    <m/>
    <m/>
    <n v="0"/>
    <x v="1"/>
    <n v="39"/>
    <s v="Female"/>
  </r>
  <r>
    <s v="SWG2414"/>
    <d v="2024-07-03T00:00:00"/>
    <x v="4"/>
    <s v="Wed"/>
    <s v="Gobble Up"/>
    <x v="7"/>
    <s v="Fast Food, Snacks, Chinese"/>
    <x v="5"/>
    <s v="Veg"/>
    <n v="4"/>
    <n v="334"/>
    <n v="1336"/>
    <m/>
    <m/>
    <m/>
    <n v="0"/>
    <x v="0"/>
    <n v="47"/>
    <s v="Female"/>
  </r>
  <r>
    <s v="SWG2415"/>
    <d v="2024-04-06T00:00:00"/>
    <x v="0"/>
    <s v="Sat"/>
    <s v="Shakeoty"/>
    <x v="3"/>
    <s v="Beverages"/>
    <x v="3"/>
    <s v="Veg"/>
    <n v="1"/>
    <n v="581"/>
    <n v="581"/>
    <n v="3.9"/>
    <n v="37"/>
    <n v="999"/>
    <n v="0"/>
    <x v="2"/>
    <n v="44"/>
    <s v="Female"/>
  </r>
  <r>
    <s v="SWG2416"/>
    <d v="2024-08-16T00:00:00"/>
    <x v="6"/>
    <s v="Fri"/>
    <s v="Samarth Krupa Chinese Corner Tifin Service"/>
    <x v="29"/>
    <s v="North Indian, Chinese"/>
    <x v="5"/>
    <s v="Veg"/>
    <n v="1"/>
    <n v="239"/>
    <n v="239"/>
    <m/>
    <m/>
    <m/>
    <n v="0"/>
    <x v="2"/>
    <n v="24"/>
    <s v="Female"/>
  </r>
  <r>
    <s v="SWG2417"/>
    <d v="2024-06-03T00:00:00"/>
    <x v="1"/>
    <s v="Mon"/>
    <s v="The Yellow Tadka"/>
    <x v="3"/>
    <s v="Indian, Chinese, Street Food, Thalis, Biryani, Tandoor"/>
    <x v="2"/>
    <s v="Non-Veg"/>
    <n v="4"/>
    <n v="501"/>
    <n v="2004"/>
    <m/>
    <m/>
    <m/>
    <n v="0"/>
    <x v="0"/>
    <n v="26"/>
    <s v="Male"/>
  </r>
  <r>
    <s v="SWG2418"/>
    <d v="2024-07-01T00:00:00"/>
    <x v="4"/>
    <s v="Mon"/>
    <s v="Sainath Hotel"/>
    <x v="29"/>
    <s v="Chinese, North Indian, South Indian"/>
    <x v="5"/>
    <s v="Veg"/>
    <n v="4"/>
    <n v="174"/>
    <n v="696"/>
    <n v="2.8"/>
    <n v="39"/>
    <m/>
    <n v="0"/>
    <x v="0"/>
    <n v="39"/>
    <s v="Female"/>
  </r>
  <r>
    <s v="SWG2419"/>
    <d v="2024-02-02T00:00:00"/>
    <x v="7"/>
    <s v="Fri"/>
    <s v="The Indian Gourmet Kitchen"/>
    <x v="2"/>
    <s v="Indian, Mughlai"/>
    <x v="5"/>
    <s v="Veg"/>
    <n v="2"/>
    <n v="146"/>
    <n v="292"/>
    <n v="4.7"/>
    <n v="39"/>
    <n v="100"/>
    <n v="50"/>
    <x v="3"/>
    <n v="38"/>
    <s v="Female"/>
  </r>
  <r>
    <s v="SWG2420"/>
    <d v="2024-07-14T00:00:00"/>
    <x v="4"/>
    <s v="Sun"/>
    <s v="Tea Pea Cafe Borivali(W)"/>
    <x v="3"/>
    <s v="Indian, Fast Food, Italian-American, Snacks, Waffle"/>
    <x v="5"/>
    <s v="Veg"/>
    <n v="4"/>
    <n v="237"/>
    <n v="948"/>
    <n v="4.5"/>
    <n v="55"/>
    <m/>
    <n v="0"/>
    <x v="2"/>
    <n v="29"/>
    <s v="Female"/>
  </r>
  <r>
    <s v="SWG2421"/>
    <d v="2024-03-26T00:00:00"/>
    <x v="3"/>
    <s v="Tue"/>
    <s v="Aromas Bingee"/>
    <x v="94"/>
    <s v="South Indian, Chinese, Fast Food"/>
    <x v="5"/>
    <s v="Veg"/>
    <n v="2"/>
    <n v="340"/>
    <n v="680"/>
    <n v="4.3"/>
    <n v="44"/>
    <n v="999"/>
    <n v="0"/>
    <x v="2"/>
    <n v="40"/>
    <s v="Female"/>
  </r>
  <r>
    <s v="SWG2422"/>
    <d v="2024-03-06T00:00:00"/>
    <x v="3"/>
    <s v="Wed"/>
    <s v="ShreeG"/>
    <x v="29"/>
    <s v="Chinese"/>
    <x v="5"/>
    <s v="Veg"/>
    <n v="1"/>
    <n v="350"/>
    <n v="350"/>
    <n v="3.3"/>
    <n v="45"/>
    <m/>
    <n v="0"/>
    <x v="1"/>
    <n v="46"/>
    <s v="Male"/>
  </r>
  <r>
    <s v="SWG2423"/>
    <d v="2024-01-10T00:00:00"/>
    <x v="2"/>
    <s v="Wed"/>
    <s v="Delicious Chinese Cuisine"/>
    <x v="29"/>
    <s v="Chinese"/>
    <x v="5"/>
    <s v="Veg"/>
    <n v="2"/>
    <n v="172"/>
    <n v="344"/>
    <n v="2.1"/>
    <n v="40"/>
    <m/>
    <n v="0"/>
    <x v="3"/>
    <n v="18"/>
    <s v="Male"/>
  </r>
  <r>
    <s v="SWG2424"/>
    <d v="2024-01-05T00:00:00"/>
    <x v="2"/>
    <s v="Fri"/>
    <s v="Gupta Juice And Sandwich"/>
    <x v="7"/>
    <s v="Juices, Fast Food, Beverages, Snacks, Pastas"/>
    <x v="3"/>
    <s v="Veg"/>
    <n v="4"/>
    <n v="414"/>
    <n v="1656"/>
    <m/>
    <m/>
    <m/>
    <n v="0"/>
    <x v="1"/>
    <n v="28"/>
    <s v="Female"/>
  </r>
  <r>
    <s v="SWG2425"/>
    <d v="2024-05-02T00:00:00"/>
    <x v="5"/>
    <s v="Thu"/>
    <s v="Ice Cream Cake Factory"/>
    <x v="4"/>
    <s v="Ice Cream Cakes"/>
    <x v="5"/>
    <s v="Veg"/>
    <n v="1"/>
    <n v="440"/>
    <n v="440"/>
    <n v="3.7"/>
    <n v="47"/>
    <n v="999"/>
    <n v="0"/>
    <x v="2"/>
    <n v="47"/>
    <s v="Female"/>
  </r>
  <r>
    <s v="SWG2426"/>
    <d v="2024-03-14T00:00:00"/>
    <x v="3"/>
    <s v="Thu"/>
    <s v="Italiiano"/>
    <x v="19"/>
    <s v="Pizzas, Mexican, Italian, Pastas, Burgers"/>
    <x v="1"/>
    <s v="Veg"/>
    <n v="3"/>
    <n v="520"/>
    <n v="1560"/>
    <m/>
    <m/>
    <m/>
    <n v="0"/>
    <x v="1"/>
    <n v="38"/>
    <s v="Female"/>
  </r>
  <r>
    <s v="SWG2427"/>
    <d v="2024-04-06T00:00:00"/>
    <x v="0"/>
    <s v="Sat"/>
    <s v="Le Quatre"/>
    <x v="95"/>
    <s v="Desserts, Bakery, Snacks"/>
    <x v="4"/>
    <s v="Veg"/>
    <n v="2"/>
    <n v="352"/>
    <n v="704"/>
    <n v="3.2"/>
    <n v="51"/>
    <m/>
    <n v="0"/>
    <x v="2"/>
    <n v="32"/>
    <s v="Male"/>
  </r>
  <r>
    <s v="SWG2428"/>
    <d v="2024-04-27T00:00:00"/>
    <x v="0"/>
    <s v="Sat"/>
    <s v="Ami Ice-Cream"/>
    <x v="11"/>
    <s v="Desserts"/>
    <x v="4"/>
    <s v="Veg"/>
    <n v="1"/>
    <n v="277"/>
    <n v="277"/>
    <m/>
    <m/>
    <m/>
    <n v="0"/>
    <x v="2"/>
    <n v="19"/>
    <s v="Male"/>
  </r>
  <r>
    <s v="SWG2429"/>
    <d v="2024-02-07T00:00:00"/>
    <x v="7"/>
    <s v="Wed"/>
    <s v="Eat Cake Love"/>
    <x v="11"/>
    <s v="Bakery"/>
    <x v="5"/>
    <s v="Veg"/>
    <n v="2"/>
    <n v="556"/>
    <n v="1112"/>
    <m/>
    <m/>
    <m/>
    <n v="0"/>
    <x v="1"/>
    <n v="37"/>
    <s v="Male"/>
  </r>
  <r>
    <s v="SWG2430"/>
    <d v="2024-05-20T00:00:00"/>
    <x v="5"/>
    <s v="Mon"/>
    <s v="Sai Rameshwar"/>
    <x v="7"/>
    <s v="Chinese"/>
    <x v="5"/>
    <s v="Veg"/>
    <n v="1"/>
    <n v="388"/>
    <n v="388"/>
    <m/>
    <m/>
    <m/>
    <n v="0"/>
    <x v="1"/>
    <n v="24"/>
    <s v="Male"/>
  </r>
  <r>
    <s v="SWG2431"/>
    <d v="2024-06-07T00:00:00"/>
    <x v="1"/>
    <s v="Fri"/>
    <s v="Jodhana Zaika"/>
    <x v="7"/>
    <s v="Chinese, Indian, Beverages"/>
    <x v="3"/>
    <s v="Veg"/>
    <n v="1"/>
    <n v="140"/>
    <n v="140"/>
    <m/>
    <m/>
    <m/>
    <n v="0"/>
    <x v="0"/>
    <n v="38"/>
    <s v="Male"/>
  </r>
  <r>
    <s v="SWG2432"/>
    <d v="2024-02-16T00:00:00"/>
    <x v="7"/>
    <s v="Fri"/>
    <s v="Shree Krishna Family Restaurant &amp; Bar"/>
    <x v="6"/>
    <s v="Indian, Chinese, Biryani"/>
    <x v="2"/>
    <s v="Non-Veg"/>
    <n v="2"/>
    <n v="522"/>
    <n v="1044"/>
    <m/>
    <m/>
    <m/>
    <n v="0"/>
    <x v="0"/>
    <n v="29"/>
    <s v="Female"/>
  </r>
  <r>
    <s v="SWG2433"/>
    <d v="2024-08-15T00:00:00"/>
    <x v="6"/>
    <s v="Thu"/>
    <s v="Hunger's Food"/>
    <x v="7"/>
    <s v="Chinese"/>
    <x v="5"/>
    <s v="Veg"/>
    <n v="3"/>
    <n v="172"/>
    <n v="516"/>
    <n v="2.8"/>
    <n v="40"/>
    <m/>
    <n v="0"/>
    <x v="0"/>
    <n v="39"/>
    <s v="Male"/>
  </r>
  <r>
    <s v="SWG2434"/>
    <d v="2024-04-18T00:00:00"/>
    <x v="0"/>
    <s v="Thu"/>
    <s v="Billy's Burgers"/>
    <x v="4"/>
    <s v="Fast Food, Desserts, Beverages"/>
    <x v="4"/>
    <s v="Veg"/>
    <n v="1"/>
    <n v="394"/>
    <n v="394"/>
    <n v="4.4000000000000004"/>
    <n v="51"/>
    <m/>
    <n v="0"/>
    <x v="2"/>
    <n v="35"/>
    <s v="Male"/>
  </r>
  <r>
    <s v="SWG2435"/>
    <d v="2024-08-03T00:00:00"/>
    <x v="6"/>
    <s v="Sat"/>
    <s v="Ambrosia Cakes Bakes and Snacks"/>
    <x v="5"/>
    <s v="Bakery, Snacks, Desserts, Continental"/>
    <x v="4"/>
    <s v="Veg"/>
    <n v="1"/>
    <n v="432"/>
    <n v="432"/>
    <n v="3.9"/>
    <n v="43"/>
    <n v="800"/>
    <n v="20"/>
    <x v="1"/>
    <n v="20"/>
    <s v="Female"/>
  </r>
  <r>
    <s v="SWG2436"/>
    <d v="2024-06-28T00:00:00"/>
    <x v="1"/>
    <s v="Fri"/>
    <s v="Aarti'S Food Magic"/>
    <x v="96"/>
    <s v="Indian, Biryani, Beverages"/>
    <x v="2"/>
    <s v="Non-Veg"/>
    <n v="1"/>
    <n v="400"/>
    <n v="400"/>
    <m/>
    <m/>
    <m/>
    <n v="0"/>
    <x v="3"/>
    <n v="24"/>
    <s v="Male"/>
  </r>
  <r>
    <s v="SWG2437"/>
    <d v="2024-07-02T00:00:00"/>
    <x v="4"/>
    <s v="Tue"/>
    <s v="Sv Food Hub"/>
    <x v="22"/>
    <s v="Pizzas, Desserts"/>
    <x v="1"/>
    <s v="Veg"/>
    <n v="3"/>
    <n v="333"/>
    <n v="999"/>
    <n v="3.9"/>
    <n v="42"/>
    <m/>
    <n v="0"/>
    <x v="2"/>
    <n v="28"/>
    <s v="Male"/>
  </r>
  <r>
    <s v="SWG2438"/>
    <d v="2024-01-15T00:00:00"/>
    <x v="2"/>
    <s v="Mon"/>
    <s v="Momo Dynasty"/>
    <x v="7"/>
    <s v="Chinese"/>
    <x v="5"/>
    <s v="Veg"/>
    <n v="3"/>
    <n v="150"/>
    <n v="450"/>
    <m/>
    <m/>
    <m/>
    <n v="0"/>
    <x v="3"/>
    <n v="35"/>
    <s v="Male"/>
  </r>
  <r>
    <s v="SWG2439"/>
    <d v="2024-06-05T00:00:00"/>
    <x v="1"/>
    <s v="Wed"/>
    <s v="Quest"/>
    <x v="7"/>
    <s v="North Indian, Chinese, Continental, Oriental, Desserts"/>
    <x v="4"/>
    <s v="Veg"/>
    <n v="4"/>
    <n v="456"/>
    <n v="1824"/>
    <n v="4.4000000000000004"/>
    <n v="41"/>
    <m/>
    <n v="0"/>
    <x v="1"/>
    <n v="29"/>
    <s v="Female"/>
  </r>
  <r>
    <s v="SWG2440"/>
    <d v="2024-05-15T00:00:00"/>
    <x v="5"/>
    <s v="Wed"/>
    <s v="Nutrii Chef"/>
    <x v="11"/>
    <s v="Salads, Healthy Food"/>
    <x v="5"/>
    <s v="Veg"/>
    <n v="2"/>
    <n v="302"/>
    <n v="604"/>
    <n v="3.6"/>
    <n v="47"/>
    <n v="125"/>
    <n v="25"/>
    <x v="2"/>
    <n v="23"/>
    <s v="Male"/>
  </r>
  <r>
    <s v="SWG2441"/>
    <d v="2024-01-05T00:00:00"/>
    <x v="2"/>
    <s v="Fri"/>
    <s v="Fresh Rasoi"/>
    <x v="11"/>
    <s v="Indian, Chinese, Beverages, Desserts, Biryani"/>
    <x v="2"/>
    <s v="Non-Veg"/>
    <n v="3"/>
    <n v="142"/>
    <n v="426"/>
    <m/>
    <m/>
    <m/>
    <n v="0"/>
    <x v="3"/>
    <n v="22"/>
    <s v="Female"/>
  </r>
  <r>
    <s v="SWG2442"/>
    <d v="2024-06-05T00:00:00"/>
    <x v="1"/>
    <s v="Wed"/>
    <s v="Chinese &amp; Momos Express"/>
    <x v="2"/>
    <s v="Chinese, Combo"/>
    <x v="5"/>
    <s v="Veg"/>
    <n v="2"/>
    <n v="151"/>
    <n v="302"/>
    <n v="4.5"/>
    <n v="49"/>
    <n v="200"/>
    <n v="40"/>
    <x v="3"/>
    <n v="43"/>
    <s v="Female"/>
  </r>
  <r>
    <s v="SWG2443"/>
    <d v="2024-02-16T00:00:00"/>
    <x v="7"/>
    <s v="Fri"/>
    <s v="Borivali Healthy Juices"/>
    <x v="7"/>
    <s v="Juices, Beverages, Fast Food, Snacks, Pastas"/>
    <x v="3"/>
    <s v="Veg"/>
    <n v="4"/>
    <n v="565"/>
    <n v="2260"/>
    <m/>
    <m/>
    <m/>
    <n v="0"/>
    <x v="0"/>
    <n v="18"/>
    <s v="Male"/>
  </r>
  <r>
    <s v="SWG2444"/>
    <d v="2024-03-08T00:00:00"/>
    <x v="3"/>
    <s v="Fri"/>
    <s v="Me Chinese!"/>
    <x v="22"/>
    <s v="Chinese, Thai, Arabian"/>
    <x v="5"/>
    <s v="Veg"/>
    <n v="2"/>
    <n v="193"/>
    <n v="386"/>
    <m/>
    <m/>
    <n v="200"/>
    <n v="40"/>
    <x v="0"/>
    <n v="29"/>
    <s v="Male"/>
  </r>
  <r>
    <s v="SWG2445"/>
    <d v="2024-03-16T00:00:00"/>
    <x v="3"/>
    <s v="Sat"/>
    <s v="Ram'S Radhe Krishna Cafe"/>
    <x v="11"/>
    <s v="South Indian"/>
    <x v="5"/>
    <s v="Veg"/>
    <n v="3"/>
    <n v="129"/>
    <n v="387"/>
    <m/>
    <m/>
    <m/>
    <n v="0"/>
    <x v="0"/>
    <n v="44"/>
    <s v="Male"/>
  </r>
  <r>
    <s v="SWG2446"/>
    <d v="2024-06-21T00:00:00"/>
    <x v="1"/>
    <s v="Fri"/>
    <s v="Umesh sandwich"/>
    <x v="7"/>
    <s v="Fast Food"/>
    <x v="5"/>
    <s v="Veg"/>
    <n v="2"/>
    <n v="575"/>
    <n v="1150"/>
    <m/>
    <m/>
    <m/>
    <n v="0"/>
    <x v="2"/>
    <n v="48"/>
    <s v="Male"/>
  </r>
  <r>
    <s v="SWG2447"/>
    <d v="2024-05-09T00:00:00"/>
    <x v="5"/>
    <s v="Thu"/>
    <s v="Svvad Kitchen"/>
    <x v="7"/>
    <s v="Chinese, Pastas, Snacks"/>
    <x v="5"/>
    <s v="Veg"/>
    <n v="3"/>
    <n v="173"/>
    <n v="519"/>
    <m/>
    <m/>
    <m/>
    <n v="0"/>
    <x v="1"/>
    <n v="43"/>
    <s v="Female"/>
  </r>
  <r>
    <s v="SWG2448"/>
    <d v="2024-06-03T00:00:00"/>
    <x v="1"/>
    <s v="Mon"/>
    <s v="Chinese Walla"/>
    <x v="7"/>
    <s v="Indian"/>
    <x v="5"/>
    <s v="Veg"/>
    <n v="2"/>
    <n v="171"/>
    <n v="342"/>
    <m/>
    <m/>
    <m/>
    <n v="0"/>
    <x v="1"/>
    <n v="28"/>
    <s v="Male"/>
  </r>
  <r>
    <s v="SWG2449"/>
    <d v="2024-04-04T00:00:00"/>
    <x v="0"/>
    <s v="Thu"/>
    <s v="Mozzarella Pizza Hub"/>
    <x v="22"/>
    <s v="Pizzas, Snacks, Italian"/>
    <x v="1"/>
    <s v="Veg"/>
    <n v="3"/>
    <n v="267"/>
    <n v="801"/>
    <n v="4"/>
    <n v="44"/>
    <m/>
    <n v="0"/>
    <x v="0"/>
    <n v="21"/>
    <s v="Female"/>
  </r>
  <r>
    <s v="SWG2450"/>
    <d v="2024-04-24T00:00:00"/>
    <x v="0"/>
    <s v="Wed"/>
    <s v="Sai Jee Amruttulya &amp; Snacks"/>
    <x v="11"/>
    <s v="Chinese"/>
    <x v="5"/>
    <s v="Veg"/>
    <n v="3"/>
    <n v="279"/>
    <n v="837"/>
    <m/>
    <m/>
    <n v="120"/>
    <n v="20"/>
    <x v="0"/>
    <n v="44"/>
    <s v="Female"/>
  </r>
  <r>
    <s v="SWG2451"/>
    <d v="2024-06-12T00:00:00"/>
    <x v="1"/>
    <s v="Wed"/>
    <s v="Festive The Cake Shop"/>
    <x v="22"/>
    <s v="Desserts"/>
    <x v="4"/>
    <s v="Veg"/>
    <n v="2"/>
    <n v="489"/>
    <n v="978"/>
    <n v="4.0999999999999996"/>
    <n v="43"/>
    <m/>
    <n v="0"/>
    <x v="0"/>
    <n v="35"/>
    <s v="Female"/>
  </r>
  <r>
    <s v="SWG2452"/>
    <d v="2024-02-05T00:00:00"/>
    <x v="7"/>
    <s v="Mon"/>
    <s v="Sai Darbar Hotel"/>
    <x v="29"/>
    <s v="Chinese, Indian, Biryani"/>
    <x v="2"/>
    <s v="Non-Veg"/>
    <n v="4"/>
    <n v="133"/>
    <n v="532"/>
    <m/>
    <m/>
    <m/>
    <n v="0"/>
    <x v="3"/>
    <n v="21"/>
    <s v="Female"/>
  </r>
  <r>
    <s v="SWG2453"/>
    <d v="2024-01-26T00:00:00"/>
    <x v="2"/>
    <s v="Fri"/>
    <s v="Big Bro'S Pizza"/>
    <x v="2"/>
    <s v="Pizzas, Burgers, Chinese, Snacks"/>
    <x v="1"/>
    <s v="Veg"/>
    <n v="1"/>
    <n v="297"/>
    <n v="297"/>
    <m/>
    <m/>
    <m/>
    <n v="0"/>
    <x v="0"/>
    <n v="34"/>
    <s v="Female"/>
  </r>
  <r>
    <s v="SWG2454"/>
    <d v="2024-02-12T00:00:00"/>
    <x v="7"/>
    <s v="Mon"/>
    <s v="The Waffle Box"/>
    <x v="11"/>
    <s v="Waffle"/>
    <x v="5"/>
    <s v="Veg"/>
    <n v="4"/>
    <n v="531"/>
    <n v="2124"/>
    <n v="4"/>
    <n v="70"/>
    <n v="999"/>
    <n v="0"/>
    <x v="3"/>
    <n v="19"/>
    <s v="Male"/>
  </r>
  <r>
    <s v="SWG2455"/>
    <d v="2024-01-27T00:00:00"/>
    <x v="2"/>
    <s v="Sat"/>
    <s v="Bakewills Boulangerie And Cafe"/>
    <x v="8"/>
    <s v="Fast Food, Chinese, Burgers"/>
    <x v="0"/>
    <s v="Veg"/>
    <n v="2"/>
    <n v="485"/>
    <n v="970"/>
    <m/>
    <m/>
    <m/>
    <n v="0"/>
    <x v="1"/>
    <n v="46"/>
    <s v="Female"/>
  </r>
  <r>
    <s v="SWG2456"/>
    <d v="2024-03-09T00:00:00"/>
    <x v="3"/>
    <s v="Sat"/>
    <s v="Gopi Breakfast Point"/>
    <x v="7"/>
    <s v="Chinese, Beverages, Bakery"/>
    <x v="3"/>
    <s v="Veg"/>
    <n v="4"/>
    <n v="172"/>
    <n v="688"/>
    <m/>
    <m/>
    <n v="700"/>
    <n v="20"/>
    <x v="2"/>
    <n v="41"/>
    <s v="Female"/>
  </r>
  <r>
    <s v="SWG2457"/>
    <d v="2024-05-27T00:00:00"/>
    <x v="5"/>
    <s v="Mon"/>
    <s v="Warm Baker s World"/>
    <x v="3"/>
    <s v="Bakery"/>
    <x v="5"/>
    <s v="Veg"/>
    <n v="3"/>
    <n v="527"/>
    <n v="1581"/>
    <m/>
    <m/>
    <m/>
    <n v="0"/>
    <x v="2"/>
    <n v="39"/>
    <s v="Male"/>
  </r>
  <r>
    <s v="SWG2458"/>
    <d v="2024-01-11T00:00:00"/>
    <x v="2"/>
    <s v="Thu"/>
    <s v="Secret Multicuisine Restaurant"/>
    <x v="33"/>
    <s v="North Indian, Chinese, Biryani, Mughlai, Punjabi, Seafood, Beverages"/>
    <x v="2"/>
    <s v="Non-Veg"/>
    <n v="1"/>
    <n v="454"/>
    <n v="454"/>
    <n v="3.6"/>
    <n v="47"/>
    <m/>
    <n v="0"/>
    <x v="2"/>
    <n v="19"/>
    <s v="Male"/>
  </r>
  <r>
    <s v="SWG2459"/>
    <d v="2024-03-14T00:00:00"/>
    <x v="3"/>
    <s v="Thu"/>
    <s v="P Hand Coffee"/>
    <x v="11"/>
    <s v="Beverages, Pizzas, South Indian"/>
    <x v="1"/>
    <s v="Veg"/>
    <n v="2"/>
    <n v="141"/>
    <n v="282"/>
    <m/>
    <m/>
    <m/>
    <n v="0"/>
    <x v="2"/>
    <n v="29"/>
    <s v="Female"/>
  </r>
  <r>
    <s v="SWG2460"/>
    <d v="2024-04-13T00:00:00"/>
    <x v="0"/>
    <s v="Sat"/>
    <s v="Hunger Tea Cafe"/>
    <x v="7"/>
    <s v="Beverages, Snacks, Fast Food, Pizzas, Desserts"/>
    <x v="1"/>
    <s v="Veg"/>
    <n v="2"/>
    <n v="149"/>
    <n v="298"/>
    <m/>
    <m/>
    <m/>
    <n v="0"/>
    <x v="3"/>
    <n v="48"/>
    <s v="Female"/>
  </r>
  <r>
    <s v="SWG2461"/>
    <d v="2024-02-07T00:00:00"/>
    <x v="7"/>
    <s v="Wed"/>
    <s v="Raccoon kitchen"/>
    <x v="2"/>
    <s v="North Indian, Indian, Biryani"/>
    <x v="2"/>
    <s v="Non-Veg"/>
    <n v="2"/>
    <n v="310"/>
    <n v="620"/>
    <n v="4.9000000000000004"/>
    <n v="48"/>
    <m/>
    <n v="0"/>
    <x v="3"/>
    <n v="23"/>
    <s v="Male"/>
  </r>
  <r>
    <s v="SWG2462"/>
    <d v="2024-05-13T00:00:00"/>
    <x v="5"/>
    <s v="Mon"/>
    <s v="Red yellow restaurant"/>
    <x v="19"/>
    <s v="North Indian, Chinese, Biryani"/>
    <x v="2"/>
    <s v="Non-Veg"/>
    <n v="1"/>
    <n v="379"/>
    <n v="379"/>
    <m/>
    <m/>
    <m/>
    <n v="0"/>
    <x v="0"/>
    <n v="27"/>
    <s v="Female"/>
  </r>
  <r>
    <s v="SWG2463"/>
    <d v="2024-07-18T00:00:00"/>
    <x v="4"/>
    <s v="Thu"/>
    <s v="Mahesh Fine Dine"/>
    <x v="7"/>
    <s v="Indian, Fast Food"/>
    <x v="5"/>
    <s v="Veg"/>
    <n v="3"/>
    <n v="324"/>
    <n v="972"/>
    <n v="3.5"/>
    <n v="45"/>
    <m/>
    <n v="0"/>
    <x v="3"/>
    <n v="42"/>
    <s v="Male"/>
  </r>
  <r>
    <s v="SWG2464"/>
    <d v="2024-01-23T00:00:00"/>
    <x v="2"/>
    <s v="Tue"/>
    <s v="Fizzy"/>
    <x v="7"/>
    <s v="Snacks, Beverages"/>
    <x v="3"/>
    <s v="Veg"/>
    <n v="2"/>
    <n v="178"/>
    <n v="356"/>
    <n v="4.2"/>
    <n v="43"/>
    <m/>
    <n v="0"/>
    <x v="0"/>
    <n v="40"/>
    <s v="Male"/>
  </r>
  <r>
    <s v="SWG2465"/>
    <d v="2024-02-16T00:00:00"/>
    <x v="7"/>
    <s v="Fri"/>
    <s v="Western Burger"/>
    <x v="11"/>
    <s v="Chinese, Burgers, Pizzas"/>
    <x v="1"/>
    <s v="Veg"/>
    <n v="4"/>
    <n v="590"/>
    <n v="2360"/>
    <m/>
    <m/>
    <m/>
    <n v="0"/>
    <x v="0"/>
    <n v="42"/>
    <s v="Female"/>
  </r>
  <r>
    <s v="SWG2466"/>
    <d v="2024-03-30T00:00:00"/>
    <x v="3"/>
    <s v="Sat"/>
    <s v="J3Pizzaa"/>
    <x v="19"/>
    <s v="Italian, Pizzas"/>
    <x v="1"/>
    <s v="Veg"/>
    <n v="2"/>
    <n v="383"/>
    <n v="766"/>
    <n v="3.8"/>
    <n v="54"/>
    <m/>
    <n v="0"/>
    <x v="2"/>
    <n v="38"/>
    <s v="Male"/>
  </r>
  <r>
    <s v="SWG2467"/>
    <d v="2024-02-15T00:00:00"/>
    <x v="7"/>
    <s v="Thu"/>
    <s v="Miami Waffles &amp; Jawbreakers"/>
    <x v="4"/>
    <s v="Waffle, Desserts, Beverages"/>
    <x v="4"/>
    <s v="Veg"/>
    <n v="2"/>
    <n v="585"/>
    <n v="1170"/>
    <n v="4"/>
    <n v="48"/>
    <n v="449"/>
    <n v="0"/>
    <x v="3"/>
    <n v="40"/>
    <s v="Female"/>
  </r>
  <r>
    <s v="SWG2468"/>
    <d v="2024-04-16T00:00:00"/>
    <x v="0"/>
    <s v="Tue"/>
    <s v="Chaat Pat Snackks"/>
    <x v="2"/>
    <s v="Snacks, Fast Food, Chinese, Beverages"/>
    <x v="3"/>
    <s v="Veg"/>
    <n v="2"/>
    <n v="131"/>
    <n v="262"/>
    <n v="5"/>
    <n v="43"/>
    <m/>
    <n v="0"/>
    <x v="3"/>
    <n v="44"/>
    <s v="Female"/>
  </r>
  <r>
    <s v="SWG2469"/>
    <d v="2024-05-19T00:00:00"/>
    <x v="5"/>
    <s v="Sun"/>
    <s v="Fast Food And Beverage's"/>
    <x v="11"/>
    <s v="Beverages, Snacks, Pizzas, Fast Food"/>
    <x v="1"/>
    <s v="Veg"/>
    <n v="2"/>
    <n v="238"/>
    <n v="476"/>
    <m/>
    <m/>
    <m/>
    <n v="0"/>
    <x v="0"/>
    <n v="33"/>
    <s v="Female"/>
  </r>
  <r>
    <s v="SWG2470"/>
    <d v="2024-08-05T00:00:00"/>
    <x v="6"/>
    <s v="Mon"/>
    <s v="12th Pass Coffee And Tea"/>
    <x v="11"/>
    <s v="Beverages, Chinese, Burgers"/>
    <x v="0"/>
    <s v="Veg"/>
    <n v="3"/>
    <n v="534"/>
    <n v="1602"/>
    <m/>
    <m/>
    <m/>
    <n v="0"/>
    <x v="0"/>
    <n v="48"/>
    <s v="Male"/>
  </r>
  <r>
    <s v="SWG2471"/>
    <d v="2024-05-20T00:00:00"/>
    <x v="5"/>
    <s v="Mon"/>
    <s v="Aranyam Fine Dine &amp; Bar"/>
    <x v="24"/>
    <s v="North Indian, Chinese, Biryani"/>
    <x v="2"/>
    <s v="Non-Veg"/>
    <n v="4"/>
    <n v="581"/>
    <n v="2324"/>
    <m/>
    <m/>
    <n v="449"/>
    <n v="0"/>
    <x v="1"/>
    <n v="31"/>
    <s v="Female"/>
  </r>
  <r>
    <s v="SWG2472"/>
    <d v="2024-04-13T00:00:00"/>
    <x v="0"/>
    <s v="Sat"/>
    <s v="Quick Kukkad"/>
    <x v="7"/>
    <s v="Snacks, Kebabs, Tandoor"/>
    <x v="5"/>
    <s v="Non-Veg"/>
    <n v="3"/>
    <n v="409"/>
    <n v="1227"/>
    <n v="4.7"/>
    <n v="40"/>
    <n v="100"/>
    <n v="20"/>
    <x v="1"/>
    <n v="24"/>
    <s v="Male"/>
  </r>
  <r>
    <s v="SWG2473"/>
    <d v="2024-07-08T00:00:00"/>
    <x v="4"/>
    <s v="Mon"/>
    <s v="Veganiza"/>
    <x v="22"/>
    <s v="Snacks, Pastas"/>
    <x v="5"/>
    <s v="Veg"/>
    <n v="4"/>
    <n v="457"/>
    <n v="1828"/>
    <n v="5"/>
    <n v="45"/>
    <m/>
    <n v="0"/>
    <x v="0"/>
    <n v="45"/>
    <s v="Female"/>
  </r>
  <r>
    <s v="SWG2474"/>
    <d v="2024-07-28T00:00:00"/>
    <x v="4"/>
    <s v="Sun"/>
    <s v="Rashmin Patisserie &amp; Savory"/>
    <x v="2"/>
    <s v="Bakery, Desserts"/>
    <x v="4"/>
    <s v="Veg"/>
    <n v="2"/>
    <n v="367"/>
    <n v="734"/>
    <m/>
    <m/>
    <m/>
    <n v="0"/>
    <x v="1"/>
    <n v="49"/>
    <s v="Female"/>
  </r>
  <r>
    <s v="SWG2475"/>
    <d v="2024-08-04T00:00:00"/>
    <x v="6"/>
    <s v="Sun"/>
    <s v="Red Dots"/>
    <x v="19"/>
    <s v="North Indian, Chinese, Biryani"/>
    <x v="2"/>
    <s v="Non-Veg"/>
    <n v="1"/>
    <n v="473"/>
    <n v="473"/>
    <n v="2.9"/>
    <n v="55"/>
    <m/>
    <n v="0"/>
    <x v="1"/>
    <n v="45"/>
    <s v="Male"/>
  </r>
  <r>
    <s v="SWG2476"/>
    <d v="2024-08-12T00:00:00"/>
    <x v="6"/>
    <s v="Mon"/>
    <s v="Tanisha Dry Fruits"/>
    <x v="11"/>
    <s v="Indian"/>
    <x v="5"/>
    <s v="Veg"/>
    <n v="3"/>
    <n v="246"/>
    <n v="738"/>
    <m/>
    <m/>
    <m/>
    <n v="0"/>
    <x v="0"/>
    <n v="36"/>
    <s v="Female"/>
  </r>
  <r>
    <s v="SWG2477"/>
    <d v="2024-04-20T00:00:00"/>
    <x v="0"/>
    <s v="Sat"/>
    <s v="Cooper's Home Kitchen"/>
    <x v="11"/>
    <s v="Biryani, South Indian, Continental, Chinese"/>
    <x v="2"/>
    <s v="Non-Veg"/>
    <n v="1"/>
    <n v="194"/>
    <n v="194"/>
    <m/>
    <m/>
    <m/>
    <n v="0"/>
    <x v="0"/>
    <n v="40"/>
    <s v="Female"/>
  </r>
  <r>
    <s v="SWG2478"/>
    <d v="2024-04-13T00:00:00"/>
    <x v="0"/>
    <s v="Sat"/>
    <s v="Cooper's Bakery"/>
    <x v="11"/>
    <s v="Bakery, Fast Food, Snacks"/>
    <x v="5"/>
    <s v="Veg"/>
    <n v="3"/>
    <n v="480"/>
    <n v="1440"/>
    <m/>
    <m/>
    <m/>
    <n v="0"/>
    <x v="3"/>
    <n v="34"/>
    <s v="Male"/>
  </r>
  <r>
    <s v="SWG2479"/>
    <d v="2024-02-29T00:00:00"/>
    <x v="7"/>
    <s v="Thu"/>
    <s v="Steam 99"/>
    <x v="19"/>
    <s v="Chinese, Fast Food, Beverages"/>
    <x v="3"/>
    <s v="Veg"/>
    <n v="2"/>
    <n v="323"/>
    <n v="646"/>
    <m/>
    <m/>
    <m/>
    <n v="0"/>
    <x v="0"/>
    <n v="26"/>
    <s v="Male"/>
  </r>
  <r>
    <s v="SWG2480"/>
    <d v="2024-06-19T00:00:00"/>
    <x v="1"/>
    <s v="Wed"/>
    <s v="2? Cakes"/>
    <x v="19"/>
    <s v="Bakery"/>
    <x v="5"/>
    <s v="Veg"/>
    <n v="3"/>
    <n v="168"/>
    <n v="504"/>
    <m/>
    <m/>
    <m/>
    <n v="0"/>
    <x v="0"/>
    <n v="43"/>
    <s v="Male"/>
  </r>
  <r>
    <s v="SWG2481"/>
    <d v="2024-07-22T00:00:00"/>
    <x v="4"/>
    <s v="Mon"/>
    <s v="Frosting the cake shop"/>
    <x v="2"/>
    <s v="Bakery"/>
    <x v="5"/>
    <s v="Veg"/>
    <n v="2"/>
    <n v="198"/>
    <n v="396"/>
    <m/>
    <m/>
    <m/>
    <n v="0"/>
    <x v="2"/>
    <n v="30"/>
    <s v="Female"/>
  </r>
  <r>
    <s v="SWG2482"/>
    <d v="2024-08-23T00:00:00"/>
    <x v="6"/>
    <s v="Fri"/>
    <s v="Shree Krishnas Kitchen"/>
    <x v="29"/>
    <s v="North Indian, Indian"/>
    <x v="5"/>
    <s v="Veg"/>
    <n v="3"/>
    <n v="560"/>
    <n v="1680"/>
    <m/>
    <m/>
    <n v="100"/>
    <n v="15"/>
    <x v="3"/>
    <n v="39"/>
    <s v="Male"/>
  </r>
  <r>
    <s v="SWG2483"/>
    <d v="2024-04-09T00:00:00"/>
    <x v="0"/>
    <s v="Tue"/>
    <s v="Dim Shi"/>
    <x v="7"/>
    <s v="Asian, Chinese"/>
    <x v="5"/>
    <s v="Veg"/>
    <n v="2"/>
    <n v="598"/>
    <n v="1196"/>
    <n v="3.7"/>
    <n v="54"/>
    <m/>
    <n v="0"/>
    <x v="3"/>
    <n v="49"/>
    <s v="Male"/>
  </r>
  <r>
    <s v="SWG2484"/>
    <d v="2024-08-27T00:00:00"/>
    <x v="6"/>
    <s v="Tue"/>
    <s v="7 Layers"/>
    <x v="11"/>
    <s v="Bakery"/>
    <x v="5"/>
    <s v="Veg"/>
    <n v="2"/>
    <n v="360"/>
    <n v="720"/>
    <m/>
    <m/>
    <m/>
    <n v="0"/>
    <x v="3"/>
    <n v="22"/>
    <s v="Female"/>
  </r>
  <r>
    <s v="SWG2485"/>
    <d v="2024-03-08T00:00:00"/>
    <x v="3"/>
    <s v="Fri"/>
    <s v="Dreams &amp; Beans Coffee"/>
    <x v="11"/>
    <s v="Beverages"/>
    <x v="3"/>
    <s v="Veg"/>
    <n v="4"/>
    <n v="468"/>
    <n v="1872"/>
    <m/>
    <m/>
    <m/>
    <n v="0"/>
    <x v="2"/>
    <n v="40"/>
    <s v="Male"/>
  </r>
  <r>
    <s v="SWG2486"/>
    <d v="2024-05-12T00:00:00"/>
    <x v="5"/>
    <s v="Sun"/>
    <s v="Jain Dugdhaly"/>
    <x v="2"/>
    <s v="Bakery, Sweets"/>
    <x v="5"/>
    <s v="Veg"/>
    <n v="2"/>
    <n v="273"/>
    <n v="546"/>
    <m/>
    <m/>
    <m/>
    <n v="0"/>
    <x v="0"/>
    <n v="22"/>
    <s v="Female"/>
  </r>
  <r>
    <s v="SWG2487"/>
    <d v="2024-04-29T00:00:00"/>
    <x v="0"/>
    <s v="Mon"/>
    <s v="Chow Mi Adda Chinese And Momos Corner"/>
    <x v="11"/>
    <s v="Chinese, Thai, Asian"/>
    <x v="5"/>
    <s v="Veg"/>
    <n v="4"/>
    <n v="393"/>
    <n v="1572"/>
    <m/>
    <m/>
    <m/>
    <n v="0"/>
    <x v="3"/>
    <n v="27"/>
    <s v="Female"/>
  </r>
  <r>
    <s v="SWG2488"/>
    <d v="2024-02-06T00:00:00"/>
    <x v="7"/>
    <s v="Tue"/>
    <s v="D'aromas Coffee"/>
    <x v="4"/>
    <s v="Beverages"/>
    <x v="3"/>
    <s v="Veg"/>
    <n v="2"/>
    <n v="215"/>
    <n v="430"/>
    <m/>
    <m/>
    <n v="499"/>
    <n v="0"/>
    <x v="3"/>
    <n v="38"/>
    <s v="Male"/>
  </r>
  <r>
    <s v="SWG2489"/>
    <d v="2024-03-12T00:00:00"/>
    <x v="3"/>
    <s v="Tue"/>
    <s v="Forks &amp; Spoons"/>
    <x v="2"/>
    <s v="Pizzas, Chinese, Pastas, Beverages, Fast Food, Burgers"/>
    <x v="1"/>
    <s v="Veg"/>
    <n v="1"/>
    <n v="333"/>
    <n v="333"/>
    <m/>
    <m/>
    <m/>
    <n v="0"/>
    <x v="1"/>
    <n v="49"/>
    <s v="Female"/>
  </r>
  <r>
    <s v="SWG2490"/>
    <d v="2024-05-06T00:00:00"/>
    <x v="5"/>
    <s v="Mon"/>
    <s v="Vishal Chinese Corner"/>
    <x v="2"/>
    <s v="Chinese"/>
    <x v="5"/>
    <s v="Veg"/>
    <n v="2"/>
    <n v="413"/>
    <n v="826"/>
    <m/>
    <m/>
    <m/>
    <n v="0"/>
    <x v="3"/>
    <n v="44"/>
    <s v="Male"/>
  </r>
  <r>
    <s v="SWG2491"/>
    <d v="2024-04-15T00:00:00"/>
    <x v="0"/>
    <s v="Mon"/>
    <s v="Dessert 99"/>
    <x v="7"/>
    <s v="Waffle, Desserts, Beverages"/>
    <x v="4"/>
    <s v="Veg"/>
    <n v="1"/>
    <n v="328"/>
    <n v="328"/>
    <m/>
    <m/>
    <m/>
    <n v="0"/>
    <x v="0"/>
    <n v="27"/>
    <s v="Male"/>
  </r>
  <r>
    <s v="SWG2492"/>
    <d v="2024-04-01T00:00:00"/>
    <x v="0"/>
    <s v="Mon"/>
    <s v="Gosssip Corner - Cafe Resto"/>
    <x v="29"/>
    <s v="Indian"/>
    <x v="5"/>
    <s v="Veg"/>
    <n v="1"/>
    <n v="462"/>
    <n v="462"/>
    <m/>
    <m/>
    <m/>
    <n v="0"/>
    <x v="0"/>
    <n v="44"/>
    <s v="Male"/>
  </r>
  <r>
    <s v="SWG2493"/>
    <d v="2024-01-31T00:00:00"/>
    <x v="2"/>
    <s v="Wed"/>
    <s v="Havmor Ice Cream Parlour"/>
    <x v="7"/>
    <s v="Ice Cream"/>
    <x v="5"/>
    <s v="Veg"/>
    <n v="2"/>
    <n v="207"/>
    <n v="414"/>
    <m/>
    <m/>
    <m/>
    <n v="0"/>
    <x v="1"/>
    <n v="24"/>
    <s v="Male"/>
  </r>
  <r>
    <s v="SWG2494"/>
    <d v="2024-05-01T00:00:00"/>
    <x v="5"/>
    <s v="Wed"/>
    <s v="The Spice Of Mumbai"/>
    <x v="4"/>
    <s v="North Indian, Chinese"/>
    <x v="5"/>
    <s v="Veg"/>
    <n v="1"/>
    <n v="425"/>
    <n v="425"/>
    <n v="3.3"/>
    <n v="63"/>
    <m/>
    <n v="0"/>
    <x v="3"/>
    <n v="43"/>
    <s v="Female"/>
  </r>
  <r>
    <s v="SWG2495"/>
    <d v="2024-05-16T00:00:00"/>
    <x v="5"/>
    <s v="Thu"/>
    <s v="Brijwasi Mart"/>
    <x v="33"/>
    <s v="Waffle, Desserts, Snacks, Beverages"/>
    <x v="4"/>
    <s v="Veg"/>
    <n v="4"/>
    <n v="383"/>
    <n v="1532"/>
    <n v="2.8"/>
    <n v="55"/>
    <n v="749"/>
    <n v="0"/>
    <x v="3"/>
    <n v="32"/>
    <s v="Female"/>
  </r>
  <r>
    <s v="SWG2496"/>
    <d v="2024-02-20T00:00:00"/>
    <x v="7"/>
    <s v="Tue"/>
    <s v="Caky Bakey"/>
    <x v="7"/>
    <s v="Bakery"/>
    <x v="5"/>
    <s v="Veg"/>
    <n v="3"/>
    <n v="544"/>
    <n v="1632"/>
    <m/>
    <m/>
    <n v="499"/>
    <n v="0"/>
    <x v="3"/>
    <n v="24"/>
    <s v="Male"/>
  </r>
  <r>
    <s v="SWG2497"/>
    <d v="2024-01-29T00:00:00"/>
    <x v="2"/>
    <s v="Mon"/>
    <s v="Gully Dosa"/>
    <x v="67"/>
    <s v="South Indian, Street Food"/>
    <x v="5"/>
    <s v="Veg"/>
    <n v="2"/>
    <n v="509"/>
    <n v="1018"/>
    <n v="3.9"/>
    <n v="51"/>
    <m/>
    <n v="0"/>
    <x v="2"/>
    <n v="46"/>
    <s v="Male"/>
  </r>
  <r>
    <s v="SWG2498"/>
    <d v="2024-07-24T00:00:00"/>
    <x v="4"/>
    <s v="Wed"/>
    <s v="Kadam Bandhu"/>
    <x v="29"/>
    <s v="Fast Food"/>
    <x v="5"/>
    <s v="Veg"/>
    <n v="1"/>
    <n v="444"/>
    <n v="444"/>
    <m/>
    <m/>
    <m/>
    <n v="0"/>
    <x v="3"/>
    <n v="44"/>
    <s v="Female"/>
  </r>
  <r>
    <s v="SWG2499"/>
    <d v="2024-02-09T00:00:00"/>
    <x v="7"/>
    <s v="Fri"/>
    <s v="King Bhujing Biryani Corner"/>
    <x v="7"/>
    <s v="Biryani, North Indian"/>
    <x v="2"/>
    <s v="Non-Veg"/>
    <n v="2"/>
    <n v="547"/>
    <n v="1094"/>
    <n v="4.3"/>
    <n v="42"/>
    <m/>
    <n v="0"/>
    <x v="0"/>
    <n v="32"/>
    <s v="Male"/>
  </r>
  <r>
    <s v="SWG2500"/>
    <d v="2024-02-10T00:00:00"/>
    <x v="7"/>
    <s v="Sat"/>
    <s v="Pizza Rride"/>
    <x v="22"/>
    <s v="Pizzas, Continental"/>
    <x v="1"/>
    <s v="Veg"/>
    <n v="4"/>
    <n v="496"/>
    <n v="1984"/>
    <n v="4.0999999999999996"/>
    <n v="44"/>
    <m/>
    <n v="0"/>
    <x v="0"/>
    <n v="20"/>
    <s v="Female"/>
  </r>
  <r>
    <s v="SWG2501"/>
    <d v="2024-08-01T00:00:00"/>
    <x v="6"/>
    <s v="Thu"/>
    <s v="R.K Food Hub"/>
    <x v="7"/>
    <s v="Fast Food, Chinese, Snacks, Beverages"/>
    <x v="3"/>
    <s v="Veg"/>
    <n v="2"/>
    <n v="439"/>
    <n v="878"/>
    <n v="4.5"/>
    <n v="43"/>
    <m/>
    <n v="0"/>
    <x v="2"/>
    <n v="36"/>
    <s v="Male"/>
  </r>
  <r>
    <s v="SWG2502"/>
    <d v="2024-01-11T00:00:00"/>
    <x v="2"/>
    <s v="Thu"/>
    <s v="Biryani And Spice"/>
    <x v="11"/>
    <s v="Biryani, Mughlai, North Indian"/>
    <x v="2"/>
    <s v="Non-Veg"/>
    <n v="2"/>
    <n v="276"/>
    <n v="552"/>
    <n v="4.9000000000000004"/>
    <n v="47"/>
    <n v="749"/>
    <n v="0"/>
    <x v="2"/>
    <n v="27"/>
    <s v="Female"/>
  </r>
  <r>
    <s v="SWG2503"/>
    <d v="2024-05-30T00:00:00"/>
    <x v="5"/>
    <s v="Thu"/>
    <s v="Quarter Castle Resto Bar"/>
    <x v="4"/>
    <s v="Continental, Chinese, Indian, Beverages"/>
    <x v="3"/>
    <s v="Veg"/>
    <n v="1"/>
    <n v="275"/>
    <n v="275"/>
    <n v="3.8"/>
    <n v="51"/>
    <m/>
    <n v="0"/>
    <x v="3"/>
    <n v="45"/>
    <s v="Female"/>
  </r>
  <r>
    <s v="SWG2504"/>
    <d v="2024-01-01T00:00:00"/>
    <x v="2"/>
    <s v="Mon"/>
    <s v="Tandoor Tribes"/>
    <x v="7"/>
    <s v="Snacks, Tandoor"/>
    <x v="5"/>
    <s v="Veg"/>
    <n v="4"/>
    <n v="258"/>
    <n v="1032"/>
    <n v="3.1"/>
    <n v="40"/>
    <m/>
    <n v="0"/>
    <x v="1"/>
    <n v="46"/>
    <s v="Female"/>
  </r>
  <r>
    <s v="SWG2505"/>
    <d v="2024-02-15T00:00:00"/>
    <x v="7"/>
    <s v="Thu"/>
    <s v="Sunik Foodland"/>
    <x v="75"/>
    <s v="Desserts, Sweets, Snacks, Pizzas"/>
    <x v="1"/>
    <s v="Veg"/>
    <n v="3"/>
    <n v="240"/>
    <n v="720"/>
    <m/>
    <m/>
    <m/>
    <n v="0"/>
    <x v="2"/>
    <n v="32"/>
    <s v="Male"/>
  </r>
  <r>
    <s v="SWG2506"/>
    <d v="2024-04-10T00:00:00"/>
    <x v="0"/>
    <s v="Wed"/>
    <s v="Biryani Flavours"/>
    <x v="2"/>
    <s v="Biryani, Snacks, Kebabs, Sweets"/>
    <x v="2"/>
    <s v="Non-Veg"/>
    <n v="3"/>
    <n v="184"/>
    <n v="552"/>
    <n v="3.7"/>
    <n v="46"/>
    <m/>
    <n v="0"/>
    <x v="2"/>
    <n v="20"/>
    <s v="Male"/>
  </r>
  <r>
    <s v="SWG2507"/>
    <d v="2024-05-28T00:00:00"/>
    <x v="5"/>
    <s v="Tue"/>
    <s v="Vadapav And More"/>
    <x v="4"/>
    <s v="Indian, Snacks, Chaat, Juices, Desserts"/>
    <x v="4"/>
    <s v="Veg"/>
    <n v="1"/>
    <n v="226"/>
    <n v="226"/>
    <n v="2.2000000000000002"/>
    <n v="55"/>
    <n v="300"/>
    <n v="0"/>
    <x v="3"/>
    <n v="23"/>
    <s v="Male"/>
  </r>
  <r>
    <s v="SWG2508"/>
    <d v="2024-03-30T00:00:00"/>
    <x v="3"/>
    <s v="Sat"/>
    <s v="Exotic Baristo"/>
    <x v="29"/>
    <s v="Beverages, Pizzas, Fast Food, Snacks"/>
    <x v="1"/>
    <s v="Veg"/>
    <n v="2"/>
    <n v="266"/>
    <n v="532"/>
    <m/>
    <m/>
    <m/>
    <n v="0"/>
    <x v="3"/>
    <n v="29"/>
    <s v="Male"/>
  </r>
  <r>
    <s v="SWG2509"/>
    <d v="2024-04-19T00:00:00"/>
    <x v="0"/>
    <s v="Fri"/>
    <s v="Goregaon Kitchen"/>
    <x v="2"/>
    <s v="Chinese, Snacks, Arabian, Combo"/>
    <x v="5"/>
    <s v="Veg"/>
    <n v="1"/>
    <n v="256"/>
    <n v="256"/>
    <n v="2.9"/>
    <n v="43"/>
    <n v="150"/>
    <n v="30"/>
    <x v="2"/>
    <n v="32"/>
    <s v="Male"/>
  </r>
  <r>
    <s v="SWG2510"/>
    <d v="2024-06-12T00:00:00"/>
    <x v="1"/>
    <s v="Wed"/>
    <s v="Ashley Kitchen"/>
    <x v="11"/>
    <s v="Indian, Chinese, Biryani"/>
    <x v="2"/>
    <s v="Non-Veg"/>
    <n v="1"/>
    <n v="530"/>
    <n v="530"/>
    <n v="4.3"/>
    <n v="47"/>
    <n v="599"/>
    <n v="0"/>
    <x v="1"/>
    <n v="23"/>
    <s v="Female"/>
  </r>
  <r>
    <s v="SWG2511"/>
    <d v="2024-06-30T00:00:00"/>
    <x v="1"/>
    <s v="Sun"/>
    <s v="Maa Ashapura Food &amp; Snacks"/>
    <x v="11"/>
    <s v="Indian, Snacks"/>
    <x v="5"/>
    <s v="Veg"/>
    <n v="1"/>
    <n v="281"/>
    <n v="281"/>
    <n v="3.2"/>
    <n v="52"/>
    <m/>
    <n v="0"/>
    <x v="2"/>
    <n v="30"/>
    <s v="Female"/>
  </r>
  <r>
    <s v="SWG2512"/>
    <d v="2024-08-02T00:00:00"/>
    <x v="6"/>
    <s v="Fri"/>
    <s v="Aum Fine Dine"/>
    <x v="5"/>
    <s v="Indian"/>
    <x v="5"/>
    <s v="Veg"/>
    <n v="2"/>
    <n v="547"/>
    <n v="1094"/>
    <n v="3.6"/>
    <n v="48"/>
    <m/>
    <n v="0"/>
    <x v="3"/>
    <n v="46"/>
    <s v="Female"/>
  </r>
  <r>
    <s v="SWG2513"/>
    <d v="2024-02-26T00:00:00"/>
    <x v="7"/>
    <s v="Mon"/>
    <s v="Flavour Junction"/>
    <x v="29"/>
    <s v="Chinese, North Indian, Snacks"/>
    <x v="5"/>
    <s v="Veg"/>
    <n v="4"/>
    <n v="571"/>
    <n v="2284"/>
    <n v="3.8"/>
    <n v="44"/>
    <m/>
    <n v="0"/>
    <x v="3"/>
    <n v="36"/>
    <s v="Female"/>
  </r>
  <r>
    <s v="SWG2514"/>
    <d v="2024-01-01T00:00:00"/>
    <x v="2"/>
    <s v="Mon"/>
    <s v="Swadisht Desi Food"/>
    <x v="7"/>
    <s v="Burgers, Chinese"/>
    <x v="0"/>
    <s v="Veg"/>
    <n v="1"/>
    <n v="219"/>
    <n v="219"/>
    <m/>
    <m/>
    <m/>
    <n v="0"/>
    <x v="2"/>
    <n v="20"/>
    <s v="Female"/>
  </r>
  <r>
    <s v="SWG2515"/>
    <d v="2024-03-03T00:00:00"/>
    <x v="3"/>
    <s v="Sun"/>
    <s v="BONG MOYRA"/>
    <x v="7"/>
    <s v="Sweets, Bengali"/>
    <x v="5"/>
    <s v="Veg"/>
    <n v="2"/>
    <n v="457"/>
    <n v="914"/>
    <n v="3.3"/>
    <n v="43"/>
    <m/>
    <n v="0"/>
    <x v="1"/>
    <n v="25"/>
    <s v="Female"/>
  </r>
  <r>
    <s v="SWG2516"/>
    <d v="2024-06-30T00:00:00"/>
    <x v="1"/>
    <s v="Sun"/>
    <s v="Spice Hut Veg And Non Veg"/>
    <x v="29"/>
    <s v="Chinese, North Indian, Biryani"/>
    <x v="2"/>
    <s v="Non-Veg"/>
    <n v="4"/>
    <n v="518"/>
    <n v="2072"/>
    <n v="2.4"/>
    <n v="41"/>
    <m/>
    <n v="0"/>
    <x v="2"/>
    <n v="25"/>
    <s v="Female"/>
  </r>
  <r>
    <s v="SWG2517"/>
    <d v="2024-02-24T00:00:00"/>
    <x v="7"/>
    <s v="Sat"/>
    <s v="Divine Chinese"/>
    <x v="4"/>
    <s v="Chinese"/>
    <x v="5"/>
    <s v="Veg"/>
    <n v="1"/>
    <n v="426"/>
    <n v="426"/>
    <n v="4.3"/>
    <n v="48"/>
    <m/>
    <n v="0"/>
    <x v="2"/>
    <n v="40"/>
    <s v="Male"/>
  </r>
  <r>
    <s v="SWG2518"/>
    <d v="2024-04-24T00:00:00"/>
    <x v="0"/>
    <s v="Wed"/>
    <s v="Asian Express"/>
    <x v="19"/>
    <s v="Chinese, Biryani"/>
    <x v="2"/>
    <s v="Non-Veg"/>
    <n v="3"/>
    <n v="260"/>
    <n v="780"/>
    <n v="4"/>
    <n v="53"/>
    <n v="999"/>
    <n v="0"/>
    <x v="3"/>
    <n v="43"/>
    <s v="Female"/>
  </r>
  <r>
    <s v="SWG2519"/>
    <d v="2024-06-16T00:00:00"/>
    <x v="1"/>
    <s v="Sun"/>
    <s v="Cheesy Kulhad"/>
    <x v="11"/>
    <s v="Pizzas, Fast Food"/>
    <x v="1"/>
    <s v="Veg"/>
    <n v="4"/>
    <n v="202"/>
    <n v="808"/>
    <m/>
    <m/>
    <m/>
    <n v="0"/>
    <x v="1"/>
    <n v="37"/>
    <s v="Male"/>
  </r>
  <r>
    <s v="SWG2520"/>
    <d v="2024-05-22T00:00:00"/>
    <x v="5"/>
    <s v="Wed"/>
    <s v="DSF Fast Food"/>
    <x v="5"/>
    <s v="Pizzas, Pastas, Burgers, Fast Food, Snacks, Italian, American"/>
    <x v="1"/>
    <s v="Veg"/>
    <n v="1"/>
    <n v="296"/>
    <n v="296"/>
    <n v="4.9000000000000004"/>
    <n v="45"/>
    <m/>
    <n v="0"/>
    <x v="0"/>
    <n v="32"/>
    <s v="Female"/>
  </r>
  <r>
    <s v="SWG2521"/>
    <d v="2024-05-28T00:00:00"/>
    <x v="5"/>
    <s v="Tue"/>
    <s v="Jai Shree Radhe Krishna Soda Pub"/>
    <x v="5"/>
    <s v="Beverages"/>
    <x v="3"/>
    <s v="Veg"/>
    <n v="4"/>
    <n v="317"/>
    <n v="1268"/>
    <n v="3.8"/>
    <n v="42"/>
    <m/>
    <n v="0"/>
    <x v="1"/>
    <n v="21"/>
    <s v="Female"/>
  </r>
  <r>
    <s v="SWG2522"/>
    <d v="2024-06-23T00:00:00"/>
    <x v="1"/>
    <s v="Sun"/>
    <s v="Tea Pea Cafe"/>
    <x v="2"/>
    <s v="Beverages, Italian-American, Fast Food, Snacks, Waffle"/>
    <x v="3"/>
    <s v="Veg"/>
    <n v="4"/>
    <n v="231"/>
    <n v="924"/>
    <m/>
    <m/>
    <m/>
    <n v="0"/>
    <x v="2"/>
    <n v="36"/>
    <s v="Male"/>
  </r>
  <r>
    <s v="SWG2523"/>
    <d v="2024-07-19T00:00:00"/>
    <x v="4"/>
    <s v="Fri"/>
    <s v="Uncle Chinese Corner"/>
    <x v="11"/>
    <s v="Indian, Fast Food"/>
    <x v="5"/>
    <s v="Veg"/>
    <n v="4"/>
    <n v="175"/>
    <n v="700"/>
    <m/>
    <m/>
    <m/>
    <n v="0"/>
    <x v="2"/>
    <n v="38"/>
    <s v="Female"/>
  </r>
  <r>
    <s v="SWG2524"/>
    <d v="2024-02-22T00:00:00"/>
    <x v="7"/>
    <s v="Thu"/>
    <s v="Flavorish The Gourmet Cake Shop"/>
    <x v="24"/>
    <s v="Bakery"/>
    <x v="5"/>
    <s v="Veg"/>
    <n v="4"/>
    <n v="579"/>
    <n v="2316"/>
    <m/>
    <m/>
    <n v="250"/>
    <n v="50"/>
    <x v="2"/>
    <n v="20"/>
    <s v="Male"/>
  </r>
  <r>
    <s v="SWG2525"/>
    <d v="2024-05-16T00:00:00"/>
    <x v="5"/>
    <s v="Thu"/>
    <s v="Peek and boo"/>
    <x v="11"/>
    <s v="Snacks, Fast Food"/>
    <x v="5"/>
    <s v="Veg"/>
    <n v="4"/>
    <n v="298"/>
    <n v="1192"/>
    <m/>
    <m/>
    <m/>
    <n v="0"/>
    <x v="1"/>
    <n v="30"/>
    <s v="Female"/>
  </r>
  <r>
    <s v="SWG2526"/>
    <d v="2024-07-20T00:00:00"/>
    <x v="4"/>
    <s v="Sat"/>
    <s v="Delecious The Family Restaurant"/>
    <x v="97"/>
    <s v="Indian, Chinese"/>
    <x v="5"/>
    <s v="Veg"/>
    <n v="4"/>
    <n v="540"/>
    <n v="2160"/>
    <m/>
    <m/>
    <m/>
    <n v="0"/>
    <x v="3"/>
    <n v="25"/>
    <s v="Male"/>
  </r>
  <r>
    <s v="SWG2527"/>
    <d v="2024-06-28T00:00:00"/>
    <x v="1"/>
    <s v="Fri"/>
    <s v="Jaianti Biryani"/>
    <x v="7"/>
    <s v="Biryani, North Indian, Salads, Hyderabadi"/>
    <x v="2"/>
    <s v="Non-Veg"/>
    <n v="1"/>
    <n v="520"/>
    <n v="520"/>
    <n v="3.7"/>
    <n v="57"/>
    <n v="150"/>
    <n v="30"/>
    <x v="2"/>
    <n v="40"/>
    <s v="Female"/>
  </r>
  <r>
    <s v="SWG2528"/>
    <d v="2024-02-26T00:00:00"/>
    <x v="7"/>
    <s v="Mon"/>
    <s v="Hunger bell"/>
    <x v="11"/>
    <s v="Snacks, Chinese, Tandoor, North Indian"/>
    <x v="5"/>
    <s v="Veg"/>
    <n v="3"/>
    <n v="305"/>
    <n v="915"/>
    <m/>
    <m/>
    <m/>
    <n v="0"/>
    <x v="2"/>
    <n v="33"/>
    <s v="Male"/>
  </r>
  <r>
    <s v="SWG2529"/>
    <d v="2024-04-26T00:00:00"/>
    <x v="0"/>
    <s v="Fri"/>
    <s v="Damdaar Swaad"/>
    <x v="67"/>
    <s v="Italian-American, Fast Food, Snacks, Indian"/>
    <x v="5"/>
    <s v="Veg"/>
    <n v="2"/>
    <n v="590"/>
    <n v="1180"/>
    <n v="4.3"/>
    <n v="49"/>
    <m/>
    <n v="0"/>
    <x v="1"/>
    <n v="30"/>
    <s v="Male"/>
  </r>
  <r>
    <s v="SWG2530"/>
    <d v="2024-06-02T00:00:00"/>
    <x v="1"/>
    <s v="Sun"/>
    <s v="Secret Sauce Sandwiches"/>
    <x v="3"/>
    <s v="Pizzas, Snacks, Italian, Mexican"/>
    <x v="1"/>
    <s v="Veg"/>
    <n v="4"/>
    <n v="337"/>
    <n v="1348"/>
    <n v="3.3"/>
    <n v="42"/>
    <m/>
    <n v="0"/>
    <x v="0"/>
    <n v="20"/>
    <s v="Female"/>
  </r>
  <r>
    <s v="SWG2531"/>
    <d v="2024-06-17T00:00:00"/>
    <x v="1"/>
    <s v="Mon"/>
    <s v="Chef Chini"/>
    <x v="11"/>
    <s v="Chinese, Fast Food, Desserts, Beverages"/>
    <x v="4"/>
    <s v="Veg"/>
    <n v="2"/>
    <n v="532"/>
    <n v="1064"/>
    <m/>
    <m/>
    <m/>
    <n v="0"/>
    <x v="0"/>
    <n v="33"/>
    <s v="Female"/>
  </r>
  <r>
    <s v="SWG2532"/>
    <d v="2024-02-04T00:00:00"/>
    <x v="7"/>
    <s v="Sun"/>
    <s v="All About Cheese"/>
    <x v="11"/>
    <s v="Fast Food, Snacks, Pizzas"/>
    <x v="1"/>
    <s v="Veg"/>
    <n v="1"/>
    <n v="536"/>
    <n v="536"/>
    <n v="5"/>
    <n v="50"/>
    <n v="100"/>
    <n v="10"/>
    <x v="3"/>
    <n v="26"/>
    <s v="Male"/>
  </r>
  <r>
    <s v="SWG2533"/>
    <d v="2024-03-03T00:00:00"/>
    <x v="3"/>
    <s v="Sun"/>
    <s v="Size Zero"/>
    <x v="16"/>
    <s v="Chinese, Burgers, Pizzas, Pastas, Fast Food"/>
    <x v="1"/>
    <s v="Veg"/>
    <n v="4"/>
    <n v="435"/>
    <n v="1740"/>
    <m/>
    <m/>
    <n v="150"/>
    <n v="30"/>
    <x v="3"/>
    <n v="45"/>
    <s v="Female"/>
  </r>
  <r>
    <s v="SWG2534"/>
    <d v="2024-01-25T00:00:00"/>
    <x v="2"/>
    <s v="Thu"/>
    <s v="Adarsh Refreshment"/>
    <x v="52"/>
    <s v="Beverages"/>
    <x v="3"/>
    <s v="Veg"/>
    <n v="3"/>
    <n v="594"/>
    <n v="1782"/>
    <m/>
    <m/>
    <m/>
    <n v="0"/>
    <x v="2"/>
    <n v="31"/>
    <s v="Male"/>
  </r>
  <r>
    <s v="SWG2535"/>
    <d v="2024-03-30T00:00:00"/>
    <x v="3"/>
    <s v="Sat"/>
    <s v="Asian Tadka"/>
    <x v="36"/>
    <s v="Indian, Tandoor, Thai, Chinese"/>
    <x v="5"/>
    <s v="Veg"/>
    <n v="2"/>
    <n v="336"/>
    <n v="672"/>
    <n v="3.4"/>
    <n v="55"/>
    <m/>
    <n v="0"/>
    <x v="1"/>
    <n v="30"/>
    <s v="Female"/>
  </r>
  <r>
    <s v="SWG2536"/>
    <d v="2024-03-15T00:00:00"/>
    <x v="3"/>
    <s v="Fri"/>
    <s v="JUICE BUDDY"/>
    <x v="7"/>
    <s v="Beverages"/>
    <x v="3"/>
    <s v="Veg"/>
    <n v="4"/>
    <n v="239"/>
    <n v="956"/>
    <m/>
    <m/>
    <m/>
    <n v="0"/>
    <x v="2"/>
    <n v="38"/>
    <s v="Male"/>
  </r>
  <r>
    <s v="SWG2537"/>
    <d v="2024-02-07T00:00:00"/>
    <x v="7"/>
    <s v="Wed"/>
    <s v="Oh! Pizzaz"/>
    <x v="11"/>
    <s v="Beverages, Snacks"/>
    <x v="3"/>
    <s v="Veg"/>
    <n v="1"/>
    <n v="558"/>
    <n v="558"/>
    <m/>
    <m/>
    <m/>
    <n v="0"/>
    <x v="3"/>
    <n v="42"/>
    <s v="Female"/>
  </r>
  <r>
    <s v="SWG2538"/>
    <d v="2024-05-09T00:00:00"/>
    <x v="5"/>
    <s v="Thu"/>
    <s v="Dairy Naturals"/>
    <x v="11"/>
    <s v="Ice Cream, Desserts"/>
    <x v="4"/>
    <s v="Veg"/>
    <n v="3"/>
    <n v="513"/>
    <n v="1539"/>
    <m/>
    <m/>
    <m/>
    <n v="0"/>
    <x v="1"/>
    <n v="24"/>
    <s v="Male"/>
  </r>
  <r>
    <s v="SWG2539"/>
    <d v="2024-05-14T00:00:00"/>
    <x v="5"/>
    <s v="Tue"/>
    <s v="High On Waffle"/>
    <x v="11"/>
    <s v="North Indian, Bakery"/>
    <x v="5"/>
    <s v="Veg"/>
    <n v="2"/>
    <n v="294"/>
    <n v="588"/>
    <m/>
    <m/>
    <m/>
    <n v="0"/>
    <x v="1"/>
    <n v="32"/>
    <s v="Female"/>
  </r>
  <r>
    <s v="SWG2540"/>
    <d v="2024-07-28T00:00:00"/>
    <x v="4"/>
    <s v="Sun"/>
    <s v="Faloodah By Purple Foods"/>
    <x v="52"/>
    <s v="Beverages, Desserts"/>
    <x v="4"/>
    <s v="Veg"/>
    <n v="2"/>
    <n v="142"/>
    <n v="284"/>
    <n v="2.5"/>
    <n v="46"/>
    <m/>
    <n v="0"/>
    <x v="3"/>
    <n v="24"/>
    <s v="Male"/>
  </r>
  <r>
    <s v="SWG2541"/>
    <d v="2024-08-06T00:00:00"/>
    <x v="6"/>
    <s v="Tue"/>
    <s v="The Noisy Cake"/>
    <x v="19"/>
    <s v="Bakery"/>
    <x v="5"/>
    <s v="Veg"/>
    <n v="4"/>
    <n v="332"/>
    <n v="1328"/>
    <n v="4.4000000000000004"/>
    <n v="64"/>
    <m/>
    <n v="0"/>
    <x v="0"/>
    <n v="23"/>
    <s v="Male"/>
  </r>
  <r>
    <s v="SWG2542"/>
    <d v="2024-06-10T00:00:00"/>
    <x v="1"/>
    <s v="Mon"/>
    <s v="Bombay Shakers"/>
    <x v="11"/>
    <s v="Beverages"/>
    <x v="3"/>
    <s v="Veg"/>
    <n v="3"/>
    <n v="524"/>
    <n v="1572"/>
    <m/>
    <m/>
    <m/>
    <n v="0"/>
    <x v="0"/>
    <n v="19"/>
    <s v="Female"/>
  </r>
  <r>
    <s v="SWG2543"/>
    <d v="2024-03-31T00:00:00"/>
    <x v="3"/>
    <s v="Sun"/>
    <s v="Sliders Bell"/>
    <x v="3"/>
    <s v="Snacks, Beverages"/>
    <x v="3"/>
    <s v="Veg"/>
    <n v="3"/>
    <n v="354"/>
    <n v="1062"/>
    <n v="4.4000000000000004"/>
    <n v="42"/>
    <m/>
    <n v="0"/>
    <x v="1"/>
    <n v="26"/>
    <s v="Female"/>
  </r>
  <r>
    <s v="SWG2544"/>
    <d v="2024-01-17T00:00:00"/>
    <x v="2"/>
    <s v="Wed"/>
    <s v="Matoshree Chinese &amp; Fast Food"/>
    <x v="11"/>
    <s v="Chinese"/>
    <x v="5"/>
    <s v="Veg"/>
    <n v="3"/>
    <n v="132"/>
    <n v="396"/>
    <n v="4"/>
    <n v="61"/>
    <m/>
    <n v="0"/>
    <x v="2"/>
    <n v="39"/>
    <s v="Male"/>
  </r>
  <r>
    <s v="SWG2545"/>
    <d v="2024-05-07T00:00:00"/>
    <x v="5"/>
    <s v="Tue"/>
    <s v="Navaratna Kitchen &amp; Bar"/>
    <x v="7"/>
    <s v="North Indian, Chinese, South Indian, Tandoor, Seafood"/>
    <x v="5"/>
    <s v="Veg"/>
    <n v="3"/>
    <n v="220"/>
    <n v="660"/>
    <m/>
    <m/>
    <n v="700"/>
    <n v="20"/>
    <x v="0"/>
    <n v="41"/>
    <s v="Male"/>
  </r>
  <r>
    <s v="SWG2546"/>
    <d v="2024-06-19T00:00:00"/>
    <x v="1"/>
    <s v="Wed"/>
    <s v="Upperdeck Bistro"/>
    <x v="11"/>
    <s v="Beverages, Burgers, Pastas, Snacks"/>
    <x v="0"/>
    <s v="Veg"/>
    <n v="1"/>
    <n v="536"/>
    <n v="536"/>
    <n v="4.2"/>
    <n v="45"/>
    <n v="100"/>
    <n v="10"/>
    <x v="2"/>
    <n v="34"/>
    <s v="Male"/>
  </r>
  <r>
    <s v="SWG2547"/>
    <d v="2024-07-05T00:00:00"/>
    <x v="4"/>
    <s v="Fri"/>
    <s v="Sweet Cakes &amp; More"/>
    <x v="4"/>
    <s v="Bakery, Desserts"/>
    <x v="4"/>
    <s v="Veg"/>
    <n v="3"/>
    <n v="143"/>
    <n v="429"/>
    <n v="3"/>
    <n v="58"/>
    <n v="999"/>
    <n v="0"/>
    <x v="0"/>
    <n v="22"/>
    <s v="Male"/>
  </r>
  <r>
    <s v="SWG2548"/>
    <d v="2024-04-17T00:00:00"/>
    <x v="0"/>
    <s v="Wed"/>
    <s v="Meenakshi Bar And Restaurant"/>
    <x v="19"/>
    <s v="Chinese, North Indian, Indian, Snacks"/>
    <x v="5"/>
    <s v="Veg"/>
    <n v="2"/>
    <n v="483"/>
    <n v="966"/>
    <m/>
    <m/>
    <m/>
    <n v="0"/>
    <x v="0"/>
    <n v="29"/>
    <s v="Female"/>
  </r>
  <r>
    <s v="SWG2549"/>
    <d v="2024-06-27T00:00:00"/>
    <x v="1"/>
    <s v="Thu"/>
    <s v="Bombar"/>
    <x v="67"/>
    <s v="Italian, Chinese, Tandoor"/>
    <x v="5"/>
    <s v="Veg"/>
    <n v="2"/>
    <n v="130"/>
    <n v="260"/>
    <n v="4.8"/>
    <n v="56"/>
    <m/>
    <n v="0"/>
    <x v="2"/>
    <n v="18"/>
    <s v="Male"/>
  </r>
  <r>
    <s v="SWG2550"/>
    <d v="2024-06-30T00:00:00"/>
    <x v="1"/>
    <s v="Sun"/>
    <s v="Malvani Masala"/>
    <x v="7"/>
    <s v="Indian, North Indian"/>
    <x v="5"/>
    <s v="Veg"/>
    <n v="1"/>
    <n v="392"/>
    <n v="392"/>
    <n v="2.8"/>
    <n v="62"/>
    <n v="700"/>
    <n v="20"/>
    <x v="3"/>
    <n v="27"/>
    <s v="Male"/>
  </r>
  <r>
    <s v="SWG2551"/>
    <d v="2024-05-31T00:00:00"/>
    <x v="5"/>
    <s v="Fri"/>
    <s v="Ruchira's Food Hub"/>
    <x v="7"/>
    <s v="Chinese, American"/>
    <x v="5"/>
    <s v="Veg"/>
    <n v="2"/>
    <n v="571"/>
    <n v="1142"/>
    <m/>
    <m/>
    <m/>
    <n v="0"/>
    <x v="0"/>
    <n v="28"/>
    <s v="Male"/>
  </r>
  <r>
    <s v="SWG2552"/>
    <d v="2024-01-25T00:00:00"/>
    <x v="2"/>
    <s v="Thu"/>
    <s v="Neelam Garden"/>
    <x v="7"/>
    <s v="North Indian, Chinese, Biryani"/>
    <x v="2"/>
    <s v="Non-Veg"/>
    <n v="2"/>
    <n v="550"/>
    <n v="1100"/>
    <m/>
    <m/>
    <m/>
    <n v="0"/>
    <x v="0"/>
    <n v="33"/>
    <s v="Female"/>
  </r>
  <r>
    <s v="SWG2553"/>
    <d v="2024-07-17T00:00:00"/>
    <x v="4"/>
    <s v="Wed"/>
    <s v="Angel Cake Shop"/>
    <x v="2"/>
    <s v="Bakery"/>
    <x v="5"/>
    <s v="Veg"/>
    <n v="3"/>
    <n v="400"/>
    <n v="1200"/>
    <m/>
    <m/>
    <m/>
    <n v="0"/>
    <x v="2"/>
    <n v="31"/>
    <s v="Male"/>
  </r>
  <r>
    <s v="SWG2554"/>
    <d v="2024-06-28T00:00:00"/>
    <x v="1"/>
    <s v="Fri"/>
    <s v="Mogazm"/>
    <x v="11"/>
    <s v="Snacks, Fast Food, Beverages"/>
    <x v="3"/>
    <s v="Veg"/>
    <n v="2"/>
    <n v="213"/>
    <n v="426"/>
    <n v="5"/>
    <n v="50"/>
    <n v="250"/>
    <n v="50"/>
    <x v="3"/>
    <n v="25"/>
    <s v="Female"/>
  </r>
  <r>
    <s v="SWG2555"/>
    <d v="2024-07-16T00:00:00"/>
    <x v="4"/>
    <s v="Tue"/>
    <s v="Marvish Home Kitchen"/>
    <x v="67"/>
    <s v="Indian, North Indian"/>
    <x v="5"/>
    <s v="Veg"/>
    <n v="1"/>
    <n v="320"/>
    <n v="320"/>
    <m/>
    <m/>
    <m/>
    <n v="0"/>
    <x v="0"/>
    <n v="41"/>
    <s v="Female"/>
  </r>
  <r>
    <s v="SWG2556"/>
    <d v="2024-03-28T00:00:00"/>
    <x v="3"/>
    <s v="Thu"/>
    <s v="Munira's"/>
    <x v="41"/>
    <s v="Desserts"/>
    <x v="4"/>
    <s v="Veg"/>
    <n v="3"/>
    <n v="140"/>
    <n v="420"/>
    <m/>
    <m/>
    <m/>
    <n v="0"/>
    <x v="0"/>
    <n v="34"/>
    <s v="Female"/>
  </r>
  <r>
    <s v="SWG2557"/>
    <d v="2024-06-09T00:00:00"/>
    <x v="1"/>
    <s v="Sun"/>
    <s v="Shivani Chinese And Pizza Corner"/>
    <x v="11"/>
    <s v="Pizzas, Chinese, Fast Food"/>
    <x v="1"/>
    <s v="Veg"/>
    <n v="4"/>
    <n v="459"/>
    <n v="1836"/>
    <n v="3.4"/>
    <n v="54"/>
    <m/>
    <n v="0"/>
    <x v="3"/>
    <n v="42"/>
    <s v="Female"/>
  </r>
  <r>
    <s v="SWG2558"/>
    <d v="2024-06-25T00:00:00"/>
    <x v="1"/>
    <s v="Tue"/>
    <s v="Raju Snacks"/>
    <x v="7"/>
    <s v="Beverages, Burgers, Ice Cream"/>
    <x v="0"/>
    <s v="Veg"/>
    <n v="3"/>
    <n v="586"/>
    <n v="1758"/>
    <n v="4.3"/>
    <n v="41"/>
    <m/>
    <n v="0"/>
    <x v="0"/>
    <n v="35"/>
    <s v="Female"/>
  </r>
  <r>
    <s v="SWG2559"/>
    <d v="2024-01-29T00:00:00"/>
    <x v="2"/>
    <s v="Mon"/>
    <s v="Balaji Express"/>
    <x v="19"/>
    <s v="South Indian, Beverages, Fast Food, Juices, Chaat"/>
    <x v="3"/>
    <s v="Veg"/>
    <n v="1"/>
    <n v="330"/>
    <n v="330"/>
    <m/>
    <m/>
    <m/>
    <n v="0"/>
    <x v="3"/>
    <n v="29"/>
    <s v="Female"/>
  </r>
  <r>
    <s v="SWG2560"/>
    <d v="2024-03-03T00:00:00"/>
    <x v="3"/>
    <s v="Sun"/>
    <s v="Conch Restaurants"/>
    <x v="4"/>
    <s v="Asian, Continental, Chinese"/>
    <x v="5"/>
    <s v="Veg"/>
    <n v="3"/>
    <n v="259"/>
    <n v="777"/>
    <m/>
    <m/>
    <m/>
    <n v="0"/>
    <x v="3"/>
    <n v="42"/>
    <s v="Female"/>
  </r>
  <r>
    <s v="SWG2561"/>
    <d v="2024-08-22T00:00:00"/>
    <x v="6"/>
    <s v="Thu"/>
    <s v="Vishal's fast food hub"/>
    <x v="19"/>
    <s v="Chinese"/>
    <x v="5"/>
    <s v="Veg"/>
    <n v="3"/>
    <n v="412"/>
    <n v="1236"/>
    <m/>
    <m/>
    <m/>
    <n v="0"/>
    <x v="2"/>
    <n v="34"/>
    <s v="Male"/>
  </r>
  <r>
    <s v="SWG2562"/>
    <d v="2024-05-29T00:00:00"/>
    <x v="5"/>
    <s v="Wed"/>
    <s v="Shree's Frankie Rolls and More"/>
    <x v="7"/>
    <s v="Snacks, Pizzas"/>
    <x v="1"/>
    <s v="Veg"/>
    <n v="1"/>
    <n v="417"/>
    <n v="417"/>
    <m/>
    <m/>
    <m/>
    <n v="0"/>
    <x v="1"/>
    <n v="45"/>
    <s v="Male"/>
  </r>
  <r>
    <s v="SWG2563"/>
    <d v="2024-06-02T00:00:00"/>
    <x v="1"/>
    <s v="Sun"/>
    <s v="BEING BAKERS SHOP"/>
    <x v="33"/>
    <s v="Bakery"/>
    <x v="5"/>
    <s v="Veg"/>
    <n v="3"/>
    <n v="520"/>
    <n v="1560"/>
    <m/>
    <m/>
    <m/>
    <n v="0"/>
    <x v="3"/>
    <n v="43"/>
    <s v="Female"/>
  </r>
  <r>
    <s v="SWG2564"/>
    <d v="2024-06-04T00:00:00"/>
    <x v="1"/>
    <s v="Tue"/>
    <s v="Zero Gravity"/>
    <x v="98"/>
    <s v="Chinese, Continental, Fast Food, Italian"/>
    <x v="5"/>
    <s v="Veg"/>
    <n v="1"/>
    <n v="220"/>
    <n v="220"/>
    <n v="4.0999999999999996"/>
    <n v="49"/>
    <m/>
    <n v="0"/>
    <x v="2"/>
    <n v="31"/>
    <s v="Male"/>
  </r>
  <r>
    <s v="SWG2565"/>
    <d v="2024-04-23T00:00:00"/>
    <x v="0"/>
    <s v="Tue"/>
    <s v="Naashta sweets and more"/>
    <x v="19"/>
    <s v="Indian"/>
    <x v="5"/>
    <s v="Veg"/>
    <n v="1"/>
    <n v="423"/>
    <n v="423"/>
    <n v="3.2"/>
    <n v="49"/>
    <n v="600"/>
    <n v="10"/>
    <x v="1"/>
    <n v="33"/>
    <s v="Male"/>
  </r>
  <r>
    <s v="SWG2566"/>
    <d v="2024-07-31T00:00:00"/>
    <x v="4"/>
    <s v="Wed"/>
    <s v="Kandivali 67 Chinese Corner"/>
    <x v="7"/>
    <s v="Chinese, Biryani"/>
    <x v="2"/>
    <s v="Non-Veg"/>
    <n v="4"/>
    <n v="478"/>
    <n v="1912"/>
    <n v="1.5"/>
    <n v="40"/>
    <m/>
    <n v="0"/>
    <x v="0"/>
    <n v="31"/>
    <s v="Female"/>
  </r>
  <r>
    <s v="SWG2567"/>
    <d v="2024-02-18T00:00:00"/>
    <x v="7"/>
    <s v="Sun"/>
    <s v="3 Barmen"/>
    <x v="4"/>
    <s v="Chinese, North Indian"/>
    <x v="5"/>
    <s v="Veg"/>
    <n v="2"/>
    <n v="147"/>
    <n v="294"/>
    <n v="5"/>
    <n v="61"/>
    <m/>
    <n v="0"/>
    <x v="1"/>
    <n v="26"/>
    <s v="Male"/>
  </r>
  <r>
    <s v="SWG2568"/>
    <d v="2024-07-17T00:00:00"/>
    <x v="4"/>
    <s v="Wed"/>
    <s v="Avarya"/>
    <x v="99"/>
    <s v="Snacks, Desserts, Beverages"/>
    <x v="4"/>
    <s v="Veg"/>
    <n v="2"/>
    <n v="160"/>
    <n v="320"/>
    <m/>
    <m/>
    <m/>
    <n v="0"/>
    <x v="3"/>
    <n v="21"/>
    <s v="Female"/>
  </r>
  <r>
    <s v="SWG2569"/>
    <d v="2024-03-21T00:00:00"/>
    <x v="3"/>
    <s v="Thu"/>
    <s v="Gharchi Athwan"/>
    <x v="7"/>
    <s v="Maharashtrian, Snacks, Sweets"/>
    <x v="5"/>
    <s v="Veg"/>
    <n v="3"/>
    <n v="474"/>
    <n v="1422"/>
    <m/>
    <m/>
    <m/>
    <n v="0"/>
    <x v="3"/>
    <n v="42"/>
    <s v="Male"/>
  </r>
  <r>
    <s v="SWG2570"/>
    <d v="2024-03-24T00:00:00"/>
    <x v="3"/>
    <s v="Sun"/>
    <s v="BELLA FOOD CORNER"/>
    <x v="100"/>
    <s v="North Indian, Chinese, Tandoor, Biryani, Snacks"/>
    <x v="2"/>
    <s v="Non-Veg"/>
    <n v="3"/>
    <n v="422"/>
    <n v="1266"/>
    <n v="3.8"/>
    <n v="41"/>
    <m/>
    <n v="0"/>
    <x v="3"/>
    <n v="40"/>
    <s v="Female"/>
  </r>
  <r>
    <s v="SWG2571"/>
    <d v="2024-04-14T00:00:00"/>
    <x v="0"/>
    <s v="Sun"/>
    <s v="The Malai Paneer Company"/>
    <x v="11"/>
    <s v="North Indian"/>
    <x v="5"/>
    <s v="Veg"/>
    <n v="4"/>
    <n v="265"/>
    <n v="1060"/>
    <n v="4.8"/>
    <n v="54"/>
    <m/>
    <n v="0"/>
    <x v="3"/>
    <n v="28"/>
    <s v="Female"/>
  </r>
  <r>
    <s v="SWG2572"/>
    <d v="2024-06-25T00:00:00"/>
    <x v="1"/>
    <s v="Tue"/>
    <s v="Phelia Lounge"/>
    <x v="38"/>
    <s v="Chinese, Tandoor, Continental, Indian, Italian, Pizzas"/>
    <x v="1"/>
    <s v="Veg"/>
    <n v="4"/>
    <n v="375"/>
    <n v="1500"/>
    <n v="3.8"/>
    <n v="57"/>
    <m/>
    <n v="0"/>
    <x v="3"/>
    <n v="23"/>
    <s v="Male"/>
  </r>
  <r>
    <s v="SWG2573"/>
    <d v="2024-05-27T00:00:00"/>
    <x v="5"/>
    <s v="Mon"/>
    <s v="Shreeji Aamras"/>
    <x v="29"/>
    <s v="Beverages"/>
    <x v="3"/>
    <s v="Veg"/>
    <n v="4"/>
    <n v="581"/>
    <n v="2324"/>
    <n v="5"/>
    <n v="41"/>
    <n v="749"/>
    <n v="0"/>
    <x v="2"/>
    <n v="32"/>
    <s v="Male"/>
  </r>
  <r>
    <s v="SWG2574"/>
    <d v="2024-04-27T00:00:00"/>
    <x v="0"/>
    <s v="Sat"/>
    <s v="Hungry Paji"/>
    <x v="36"/>
    <s v="Chinese, Indian, Tandoor"/>
    <x v="5"/>
    <s v="Veg"/>
    <n v="1"/>
    <n v="346"/>
    <n v="346"/>
    <m/>
    <m/>
    <n v="100"/>
    <n v="10"/>
    <x v="3"/>
    <n v="22"/>
    <s v="Female"/>
  </r>
  <r>
    <s v="SWG2575"/>
    <d v="2024-03-26T00:00:00"/>
    <x v="3"/>
    <s v="Tue"/>
    <s v="The Bagve's cafe"/>
    <x v="67"/>
    <s v="Waffle"/>
    <x v="5"/>
    <s v="Veg"/>
    <n v="4"/>
    <n v="355"/>
    <n v="1420"/>
    <m/>
    <m/>
    <m/>
    <n v="0"/>
    <x v="2"/>
    <n v="28"/>
    <s v="Female"/>
  </r>
  <r>
    <s v="SWG2576"/>
    <d v="2024-08-07T00:00:00"/>
    <x v="6"/>
    <s v="Wed"/>
    <s v="Beyond - Wine &amp; Dine"/>
    <x v="4"/>
    <s v="Continental, Mexican, Salads, Chinese, North Indian"/>
    <x v="5"/>
    <s v="Veg"/>
    <n v="4"/>
    <n v="480"/>
    <n v="1920"/>
    <n v="4"/>
    <n v="56"/>
    <m/>
    <n v="0"/>
    <x v="0"/>
    <n v="42"/>
    <s v="Female"/>
  </r>
  <r>
    <s v="SWG2577"/>
    <d v="2024-03-03T00:00:00"/>
    <x v="3"/>
    <s v="Sun"/>
    <s v="THE MINISTRY OF CHEFS"/>
    <x v="11"/>
    <s v="North Indian, Chinese, Snacks, Fast Food, Desserts, Beverages, Biryani, Seafood, Indian, Tandoor"/>
    <x v="2"/>
    <s v="Non-Veg"/>
    <n v="3"/>
    <n v="499"/>
    <n v="1497"/>
    <m/>
    <m/>
    <m/>
    <n v="0"/>
    <x v="3"/>
    <n v="35"/>
    <s v="Male"/>
  </r>
  <r>
    <s v="SWG2578"/>
    <d v="2024-07-07T00:00:00"/>
    <x v="4"/>
    <s v="Sun"/>
    <s v="Namaste Mumbai"/>
    <x v="11"/>
    <s v="Chinese, Fast Food, Indian, Beverages"/>
    <x v="3"/>
    <s v="Veg"/>
    <n v="4"/>
    <n v="574"/>
    <n v="2296"/>
    <m/>
    <m/>
    <m/>
    <n v="0"/>
    <x v="3"/>
    <n v="47"/>
    <s v="Male"/>
  </r>
  <r>
    <s v="SWG2579"/>
    <d v="2024-04-13T00:00:00"/>
    <x v="0"/>
    <s v="Sat"/>
    <s v="Party Time Pizzas"/>
    <x v="101"/>
    <s v="Pizzas, Fast Food, Bakery, Desserts"/>
    <x v="1"/>
    <s v="Veg"/>
    <n v="1"/>
    <n v="132"/>
    <n v="132"/>
    <n v="3.5"/>
    <n v="43"/>
    <m/>
    <n v="0"/>
    <x v="1"/>
    <n v="30"/>
    <s v="Male"/>
  </r>
  <r>
    <s v="SWG2580"/>
    <d v="2024-02-18T00:00:00"/>
    <x v="7"/>
    <s v="Sun"/>
    <s v="Crispy Slice Pizza"/>
    <x v="36"/>
    <s v="Pizzas"/>
    <x v="1"/>
    <s v="Veg"/>
    <n v="1"/>
    <n v="329"/>
    <n v="329"/>
    <n v="4.0999999999999996"/>
    <n v="53"/>
    <m/>
    <n v="0"/>
    <x v="0"/>
    <n v="28"/>
    <s v="Male"/>
  </r>
  <r>
    <s v="SWG2581"/>
    <d v="2024-03-11T00:00:00"/>
    <x v="3"/>
    <s v="Mon"/>
    <s v="DBW De Burger World"/>
    <x v="33"/>
    <s v="Burgers, Pizzas, Fast Food, Snacks, Beverages"/>
    <x v="1"/>
    <s v="Veg"/>
    <n v="3"/>
    <n v="348"/>
    <n v="1044"/>
    <m/>
    <m/>
    <m/>
    <n v="0"/>
    <x v="3"/>
    <n v="31"/>
    <s v="Female"/>
  </r>
  <r>
    <s v="SWG2582"/>
    <d v="2024-01-01T00:00:00"/>
    <x v="2"/>
    <s v="Mon"/>
    <s v="Swadam Bhog"/>
    <x v="3"/>
    <s v="Indian, North Indian, Chinese, Punjabi, Snacks, Biryani"/>
    <x v="2"/>
    <s v="Non-Veg"/>
    <n v="4"/>
    <n v="516"/>
    <n v="2064"/>
    <n v="4.5999999999999996"/>
    <n v="48"/>
    <m/>
    <n v="0"/>
    <x v="3"/>
    <n v="45"/>
    <s v="Female"/>
  </r>
  <r>
    <s v="SWG2583"/>
    <d v="2024-08-11T00:00:00"/>
    <x v="6"/>
    <s v="Sun"/>
    <s v="Swadisht Desi"/>
    <x v="11"/>
    <s v="Burgers, Pizzas, Chinese, Beverages"/>
    <x v="1"/>
    <s v="Veg"/>
    <n v="4"/>
    <n v="219"/>
    <n v="876"/>
    <n v="4.5999999999999996"/>
    <n v="52"/>
    <n v="999"/>
    <n v="0"/>
    <x v="0"/>
    <n v="35"/>
    <s v="Female"/>
  </r>
  <r>
    <s v="SWG2584"/>
    <d v="2024-05-20T00:00:00"/>
    <x v="5"/>
    <s v="Mon"/>
    <s v="Latte on the rocks"/>
    <x v="4"/>
    <s v="Beverages, Snacks, Fast Food"/>
    <x v="3"/>
    <s v="Veg"/>
    <n v="1"/>
    <n v="150"/>
    <n v="150"/>
    <m/>
    <m/>
    <m/>
    <n v="0"/>
    <x v="2"/>
    <n v="44"/>
    <s v="Female"/>
  </r>
  <r>
    <s v="SWG2585"/>
    <d v="2024-08-09T00:00:00"/>
    <x v="6"/>
    <s v="Fri"/>
    <s v="Mondo Fine Dine"/>
    <x v="41"/>
    <s v="Italian, Indian"/>
    <x v="5"/>
    <s v="Veg"/>
    <n v="4"/>
    <n v="505"/>
    <n v="2020"/>
    <n v="4.2"/>
    <n v="64"/>
    <m/>
    <n v="0"/>
    <x v="3"/>
    <n v="45"/>
    <s v="Male"/>
  </r>
  <r>
    <s v="SWG2586"/>
    <d v="2024-08-02T00:00:00"/>
    <x v="6"/>
    <s v="Fri"/>
    <s v="Lobo Tiffin Service"/>
    <x v="2"/>
    <s v="Indian"/>
    <x v="5"/>
    <s v="Veg"/>
    <n v="4"/>
    <n v="135"/>
    <n v="540"/>
    <m/>
    <m/>
    <m/>
    <n v="0"/>
    <x v="1"/>
    <n v="48"/>
    <s v="Female"/>
  </r>
  <r>
    <s v="SWG2587"/>
    <d v="2024-06-27T00:00:00"/>
    <x v="1"/>
    <s v="Thu"/>
    <s v="Red Chilly Chinese Cuisine"/>
    <x v="11"/>
    <s v="Indian"/>
    <x v="5"/>
    <s v="Veg"/>
    <n v="4"/>
    <n v="256"/>
    <n v="1024"/>
    <m/>
    <m/>
    <n v="150"/>
    <n v="30"/>
    <x v="3"/>
    <n v="42"/>
    <s v="Female"/>
  </r>
  <r>
    <s v="SWG2588"/>
    <d v="2024-05-02T00:00:00"/>
    <x v="5"/>
    <s v="Thu"/>
    <s v="Tina's Fried Chicken"/>
    <x v="7"/>
    <s v="Indian, Chinese"/>
    <x v="5"/>
    <s v="Veg"/>
    <n v="2"/>
    <n v="448"/>
    <n v="896"/>
    <m/>
    <m/>
    <m/>
    <n v="0"/>
    <x v="1"/>
    <n v="45"/>
    <s v="Male"/>
  </r>
  <r>
    <s v="SWG2589"/>
    <d v="2024-07-02T00:00:00"/>
    <x v="4"/>
    <s v="Tue"/>
    <s v="Om Namo Fast Food"/>
    <x v="7"/>
    <s v="Fast Food, Chaat"/>
    <x v="5"/>
    <s v="Veg"/>
    <n v="3"/>
    <n v="285"/>
    <n v="855"/>
    <n v="5"/>
    <n v="42"/>
    <m/>
    <n v="0"/>
    <x v="1"/>
    <n v="36"/>
    <s v="Male"/>
  </r>
  <r>
    <s v="SWG2590"/>
    <d v="2024-07-29T00:00:00"/>
    <x v="4"/>
    <s v="Mon"/>
    <s v="Y.T kitchen"/>
    <x v="2"/>
    <s v="Italian, Snacks, Mexican"/>
    <x v="5"/>
    <s v="Veg"/>
    <n v="2"/>
    <n v="578"/>
    <n v="1156"/>
    <m/>
    <m/>
    <m/>
    <n v="0"/>
    <x v="3"/>
    <n v="41"/>
    <s v="Female"/>
  </r>
  <r>
    <s v="SWG2591"/>
    <d v="2024-03-02T00:00:00"/>
    <x v="3"/>
    <s v="Sat"/>
    <s v="Potoba Chinese Corner"/>
    <x v="29"/>
    <s v="Chinese, Beverages"/>
    <x v="3"/>
    <s v="Veg"/>
    <n v="3"/>
    <n v="429"/>
    <n v="1287"/>
    <n v="3.7"/>
    <n v="41"/>
    <m/>
    <n v="0"/>
    <x v="3"/>
    <n v="44"/>
    <s v="Male"/>
  </r>
  <r>
    <s v="SWG2592"/>
    <d v="2024-02-01T00:00:00"/>
    <x v="7"/>
    <s v="Thu"/>
    <s v="Jordan"/>
    <x v="4"/>
    <s v="Chinese"/>
    <x v="5"/>
    <s v="Veg"/>
    <n v="1"/>
    <n v="559"/>
    <n v="559"/>
    <n v="4.7"/>
    <n v="41"/>
    <m/>
    <n v="0"/>
    <x v="1"/>
    <n v="49"/>
    <s v="Female"/>
  </r>
  <r>
    <s v="SWG2593"/>
    <d v="2024-06-06T00:00:00"/>
    <x v="1"/>
    <s v="Thu"/>
    <s v="Kinara Tadka"/>
    <x v="7"/>
    <s v="Chinese, North Indian, Beverages"/>
    <x v="3"/>
    <s v="Veg"/>
    <n v="4"/>
    <n v="589"/>
    <n v="2356"/>
    <m/>
    <m/>
    <m/>
    <n v="0"/>
    <x v="0"/>
    <n v="32"/>
    <s v="Male"/>
  </r>
  <r>
    <s v="SWG2594"/>
    <d v="2024-01-29T00:00:00"/>
    <x v="2"/>
    <s v="Mon"/>
    <s v="Sarthak Restaurant"/>
    <x v="19"/>
    <s v="Indian, Chinese, Thalis, Biryani"/>
    <x v="2"/>
    <s v="Non-Veg"/>
    <n v="3"/>
    <n v="219"/>
    <n v="657"/>
    <m/>
    <m/>
    <m/>
    <n v="0"/>
    <x v="0"/>
    <n v="26"/>
    <s v="Male"/>
  </r>
  <r>
    <s v="SWG2595"/>
    <d v="2024-02-18T00:00:00"/>
    <x v="7"/>
    <s v="Sun"/>
    <s v="Avva'S Food"/>
    <x v="29"/>
    <s v="Chinese"/>
    <x v="5"/>
    <s v="Veg"/>
    <n v="2"/>
    <n v="228"/>
    <n v="456"/>
    <m/>
    <m/>
    <m/>
    <n v="0"/>
    <x v="3"/>
    <n v="25"/>
    <s v="Female"/>
  </r>
  <r>
    <s v="SWG2596"/>
    <d v="2024-06-21T00:00:00"/>
    <x v="1"/>
    <s v="Fri"/>
    <s v="FC Cafe"/>
    <x v="11"/>
    <s v="Italian, Fast Food, Beverages, Desserts"/>
    <x v="4"/>
    <s v="Veg"/>
    <n v="4"/>
    <n v="462"/>
    <n v="1848"/>
    <m/>
    <m/>
    <m/>
    <n v="0"/>
    <x v="2"/>
    <n v="49"/>
    <s v="Male"/>
  </r>
  <r>
    <s v="SWG2597"/>
    <d v="2024-08-08T00:00:00"/>
    <x v="6"/>
    <s v="Thu"/>
    <s v="The Bombay House"/>
    <x v="29"/>
    <s v="North Indian, Snacks, Pizzas, Chinese"/>
    <x v="1"/>
    <s v="Veg"/>
    <n v="1"/>
    <n v="292"/>
    <n v="292"/>
    <n v="3.7"/>
    <n v="48"/>
    <n v="599"/>
    <n v="0"/>
    <x v="0"/>
    <n v="37"/>
    <s v="Female"/>
  </r>
  <r>
    <s v="SWG2598"/>
    <d v="2024-01-30T00:00:00"/>
    <x v="2"/>
    <s v="Tue"/>
    <s v="Gopi'S Momos Centre"/>
    <x v="7"/>
    <s v="Chinese, Sweets, Beverages"/>
    <x v="3"/>
    <s v="Veg"/>
    <n v="3"/>
    <n v="356"/>
    <n v="1068"/>
    <m/>
    <m/>
    <n v="700"/>
    <n v="20"/>
    <x v="3"/>
    <n v="45"/>
    <s v="Male"/>
  </r>
  <r>
    <s v="SWG2599"/>
    <d v="2024-05-23T00:00:00"/>
    <x v="5"/>
    <s v="Thu"/>
    <s v="The Fellas"/>
    <x v="11"/>
    <s v="Fast Food, Snacks, Beverages"/>
    <x v="3"/>
    <s v="Veg"/>
    <n v="3"/>
    <n v="281"/>
    <n v="843"/>
    <n v="5"/>
    <n v="51"/>
    <n v="1000"/>
    <n v="15"/>
    <x v="0"/>
    <n v="18"/>
    <s v="Male"/>
  </r>
  <r>
    <s v="SWG2600"/>
    <d v="2024-06-16T00:00:00"/>
    <x v="1"/>
    <s v="Sun"/>
    <s v="Aniruddha ice cream parlour"/>
    <x v="0"/>
    <s v="Beverages"/>
    <x v="3"/>
    <s v="Veg"/>
    <n v="3"/>
    <n v="512"/>
    <n v="1536"/>
    <m/>
    <m/>
    <m/>
    <n v="0"/>
    <x v="2"/>
    <n v="21"/>
    <s v="Male"/>
  </r>
  <r>
    <s v="SWG2601"/>
    <d v="2024-01-19T00:00:00"/>
    <x v="2"/>
    <s v="Fri"/>
    <s v="Zaika homemade food"/>
    <x v="2"/>
    <s v="Biryani, Indian, Sweets"/>
    <x v="2"/>
    <s v="Non-Veg"/>
    <n v="4"/>
    <n v="335"/>
    <n v="1340"/>
    <m/>
    <m/>
    <m/>
    <n v="0"/>
    <x v="3"/>
    <n v="31"/>
    <s v="Male"/>
  </r>
  <r>
    <s v="SWG2602"/>
    <d v="2024-01-18T00:00:00"/>
    <x v="2"/>
    <s v="Thu"/>
    <s v="Pett Pooja Frankie"/>
    <x v="7"/>
    <s v="Fast Food, Chinese, South Indian"/>
    <x v="5"/>
    <s v="Veg"/>
    <n v="2"/>
    <n v="383"/>
    <n v="766"/>
    <m/>
    <m/>
    <m/>
    <n v="0"/>
    <x v="2"/>
    <n v="42"/>
    <s v="Male"/>
  </r>
  <r>
    <s v="SWG2603"/>
    <d v="2024-01-01T00:00:00"/>
    <x v="2"/>
    <s v="Mon"/>
    <s v="9 Star Kitchen"/>
    <x v="7"/>
    <s v="Indian, Seafood, Beverages"/>
    <x v="3"/>
    <s v="Veg"/>
    <n v="2"/>
    <n v="382"/>
    <n v="764"/>
    <n v="4.3"/>
    <n v="44"/>
    <n v="120"/>
    <n v="20"/>
    <x v="3"/>
    <n v="19"/>
    <s v="Female"/>
  </r>
  <r>
    <s v="SWG2604"/>
    <d v="2024-03-18T00:00:00"/>
    <x v="3"/>
    <s v="Mon"/>
    <s v="The Thickshake Project"/>
    <x v="4"/>
    <s v="Ice Cream, Beverages, Juices, Desserts"/>
    <x v="4"/>
    <s v="Veg"/>
    <n v="3"/>
    <n v="411"/>
    <n v="1233"/>
    <n v="3.7"/>
    <n v="54"/>
    <m/>
    <n v="0"/>
    <x v="2"/>
    <n v="33"/>
    <s v="Male"/>
  </r>
  <r>
    <s v="SWG2605"/>
    <d v="2024-04-24T00:00:00"/>
    <x v="0"/>
    <s v="Wed"/>
    <s v="Mumbai's food spot"/>
    <x v="11"/>
    <s v="South Indian, Fast Food, Street Food"/>
    <x v="5"/>
    <s v="Veg"/>
    <n v="1"/>
    <n v="393"/>
    <n v="393"/>
    <m/>
    <m/>
    <m/>
    <n v="0"/>
    <x v="0"/>
    <n v="20"/>
    <s v="Female"/>
  </r>
  <r>
    <s v="SWG2606"/>
    <d v="2024-06-23T00:00:00"/>
    <x v="1"/>
    <s v="Sun"/>
    <s v="Daddu's Biryani"/>
    <x v="102"/>
    <s v="Biryani, Kebabs"/>
    <x v="2"/>
    <s v="Non-Veg"/>
    <n v="1"/>
    <n v="122"/>
    <n v="122"/>
    <n v="5"/>
    <n v="48"/>
    <m/>
    <n v="0"/>
    <x v="0"/>
    <n v="43"/>
    <s v="Male"/>
  </r>
  <r>
    <s v="SWG2607"/>
    <d v="2024-07-12T00:00:00"/>
    <x v="4"/>
    <s v="Fri"/>
    <s v="Blas Diaga"/>
    <x v="103"/>
    <s v="Bakery"/>
    <x v="5"/>
    <s v="Veg"/>
    <n v="2"/>
    <n v="147"/>
    <n v="294"/>
    <m/>
    <m/>
    <m/>
    <n v="0"/>
    <x v="2"/>
    <n v="25"/>
    <s v="Female"/>
  </r>
  <r>
    <s v="SWG2608"/>
    <d v="2024-08-07T00:00:00"/>
    <x v="6"/>
    <s v="Wed"/>
    <s v="Arabian Bistro"/>
    <x v="7"/>
    <s v="Arabian, Snacks, Beverages"/>
    <x v="3"/>
    <s v="Veg"/>
    <n v="1"/>
    <n v="445"/>
    <n v="445"/>
    <n v="4.0999999999999996"/>
    <n v="45"/>
    <m/>
    <n v="0"/>
    <x v="2"/>
    <n v="23"/>
    <s v="Male"/>
  </r>
  <r>
    <s v="SWG2609"/>
    <d v="2024-04-22T00:00:00"/>
    <x v="0"/>
    <s v="Mon"/>
    <s v="The Dessert Clubb"/>
    <x v="5"/>
    <s v="Desserts, Snacks"/>
    <x v="4"/>
    <s v="Veg"/>
    <n v="2"/>
    <n v="547"/>
    <n v="1094"/>
    <n v="3.7"/>
    <n v="42"/>
    <m/>
    <n v="0"/>
    <x v="2"/>
    <n v="33"/>
    <s v="Female"/>
  </r>
  <r>
    <s v="SWG2610"/>
    <d v="2024-04-23T00:00:00"/>
    <x v="0"/>
    <s v="Tue"/>
    <s v="Cakes Fiesta"/>
    <x v="36"/>
    <s v="Bakery, Desserts, Beverages, Ice Cream"/>
    <x v="4"/>
    <s v="Veg"/>
    <n v="3"/>
    <n v="268"/>
    <n v="804"/>
    <n v="3.4"/>
    <n v="49"/>
    <m/>
    <n v="0"/>
    <x v="3"/>
    <n v="41"/>
    <s v="Female"/>
  </r>
  <r>
    <s v="SWG2611"/>
    <d v="2024-08-09T00:00:00"/>
    <x v="6"/>
    <s v="Fri"/>
    <s v="V For Vegan"/>
    <x v="4"/>
    <s v="Salads"/>
    <x v="5"/>
    <s v="Veg"/>
    <n v="2"/>
    <n v="147"/>
    <n v="294"/>
    <n v="3"/>
    <n v="47"/>
    <m/>
    <n v="0"/>
    <x v="0"/>
    <n v="33"/>
    <s v="Male"/>
  </r>
  <r>
    <s v="SWG2612"/>
    <d v="2024-06-14T00:00:00"/>
    <x v="1"/>
    <s v="Fri"/>
    <s v="Healthy Trays"/>
    <x v="2"/>
    <s v="Salads, Fast Food, Indian, Chaat, North Indian"/>
    <x v="5"/>
    <s v="Veg"/>
    <n v="2"/>
    <n v="429"/>
    <n v="858"/>
    <m/>
    <m/>
    <m/>
    <n v="0"/>
    <x v="3"/>
    <n v="24"/>
    <s v="Male"/>
  </r>
  <r>
    <s v="SWG2613"/>
    <d v="2024-06-27T00:00:00"/>
    <x v="1"/>
    <s v="Thu"/>
    <s v="Bhola Bhelpuri"/>
    <x v="67"/>
    <s v="Chaat, Snacks, Beverages"/>
    <x v="3"/>
    <s v="Veg"/>
    <n v="3"/>
    <n v="557"/>
    <n v="1671"/>
    <n v="4.4000000000000004"/>
    <n v="57"/>
    <m/>
    <n v="0"/>
    <x v="0"/>
    <n v="47"/>
    <s v="Male"/>
  </r>
  <r>
    <s v="SWG2614"/>
    <d v="2024-03-03T00:00:00"/>
    <x v="3"/>
    <s v="Sun"/>
    <s v="Jain cafe"/>
    <x v="2"/>
    <s v="Pizzas"/>
    <x v="1"/>
    <s v="Veg"/>
    <n v="1"/>
    <n v="184"/>
    <n v="184"/>
    <n v="3.6"/>
    <n v="44"/>
    <m/>
    <n v="0"/>
    <x v="1"/>
    <n v="30"/>
    <s v="Female"/>
  </r>
  <r>
    <s v="SWG2615"/>
    <d v="2024-05-11T00:00:00"/>
    <x v="5"/>
    <s v="Sat"/>
    <s v="The Desert Lounge"/>
    <x v="11"/>
    <s v="North Indian, Italian, Chinese"/>
    <x v="5"/>
    <s v="Veg"/>
    <n v="2"/>
    <n v="475"/>
    <n v="950"/>
    <m/>
    <m/>
    <m/>
    <n v="0"/>
    <x v="3"/>
    <n v="30"/>
    <s v="Female"/>
  </r>
  <r>
    <s v="SWG2616"/>
    <d v="2024-05-08T00:00:00"/>
    <x v="5"/>
    <s v="Wed"/>
    <s v="Disha Kitchen"/>
    <x v="29"/>
    <s v="North Indian, Chinese"/>
    <x v="5"/>
    <s v="Veg"/>
    <n v="2"/>
    <n v="140"/>
    <n v="280"/>
    <n v="1.5"/>
    <n v="62"/>
    <n v="249"/>
    <n v="0"/>
    <x v="0"/>
    <n v="22"/>
    <s v="Male"/>
  </r>
  <r>
    <s v="SWG2617"/>
    <d v="2024-01-08T00:00:00"/>
    <x v="2"/>
    <s v="Mon"/>
    <s v="Homely Palate"/>
    <x v="29"/>
    <s v="Chinese"/>
    <x v="5"/>
    <s v="Veg"/>
    <n v="3"/>
    <n v="371"/>
    <n v="1113"/>
    <m/>
    <m/>
    <n v="599"/>
    <n v="0"/>
    <x v="0"/>
    <n v="42"/>
    <s v="Male"/>
  </r>
  <r>
    <s v="SWG2618"/>
    <d v="2024-06-05T00:00:00"/>
    <x v="1"/>
    <s v="Wed"/>
    <s v="Fresh Meals"/>
    <x v="7"/>
    <s v="Indian, Snacks, Seafood"/>
    <x v="5"/>
    <s v="Veg"/>
    <n v="1"/>
    <n v="354"/>
    <n v="354"/>
    <m/>
    <m/>
    <m/>
    <n v="0"/>
    <x v="3"/>
    <n v="37"/>
    <s v="Female"/>
  </r>
  <r>
    <s v="SWG2619"/>
    <d v="2024-02-24T00:00:00"/>
    <x v="7"/>
    <s v="Sat"/>
    <s v="Samrat Family Restaurant"/>
    <x v="3"/>
    <s v="Indian, Chinese, North Indian, Tandoor, Snacks, Beverages"/>
    <x v="3"/>
    <s v="Veg"/>
    <n v="2"/>
    <n v="346"/>
    <n v="692"/>
    <n v="4.4000000000000004"/>
    <n v="45"/>
    <m/>
    <n v="0"/>
    <x v="3"/>
    <n v="39"/>
    <s v="Female"/>
  </r>
  <r>
    <s v="SWG2620"/>
    <d v="2024-04-12T00:00:00"/>
    <x v="0"/>
    <s v="Fri"/>
    <s v="Mozzarella Burst Pizza's"/>
    <x v="2"/>
    <s v="Pizzas"/>
    <x v="1"/>
    <s v="Veg"/>
    <n v="3"/>
    <n v="132"/>
    <n v="396"/>
    <n v="4.0999999999999996"/>
    <n v="48"/>
    <m/>
    <n v="0"/>
    <x v="0"/>
    <n v="35"/>
    <s v="Male"/>
  </r>
  <r>
    <s v="SWG2621"/>
    <d v="2024-05-10T00:00:00"/>
    <x v="5"/>
    <s v="Fri"/>
    <s v="Fish Koliwada Corner"/>
    <x v="2"/>
    <s v="North Indian, Biryani"/>
    <x v="2"/>
    <s v="Non-Veg"/>
    <n v="2"/>
    <n v="432"/>
    <n v="864"/>
    <m/>
    <m/>
    <m/>
    <n v="0"/>
    <x v="3"/>
    <n v="32"/>
    <s v="Female"/>
  </r>
  <r>
    <s v="SWG2622"/>
    <d v="2024-02-01T00:00:00"/>
    <x v="7"/>
    <s v="Thu"/>
    <s v="Just Frys"/>
    <x v="104"/>
    <s v="Indian"/>
    <x v="5"/>
    <s v="Veg"/>
    <n v="4"/>
    <n v="168"/>
    <n v="672"/>
    <n v="5"/>
    <n v="50"/>
    <m/>
    <n v="0"/>
    <x v="2"/>
    <n v="35"/>
    <s v="Male"/>
  </r>
  <r>
    <s v="SWG2623"/>
    <d v="2024-01-10T00:00:00"/>
    <x v="2"/>
    <s v="Wed"/>
    <s v="Desi Shawarma"/>
    <x v="104"/>
    <s v="Mughlai"/>
    <x v="5"/>
    <s v="Veg"/>
    <n v="3"/>
    <n v="237"/>
    <n v="711"/>
    <m/>
    <m/>
    <m/>
    <n v="0"/>
    <x v="3"/>
    <n v="19"/>
    <s v="Male"/>
  </r>
  <r>
    <s v="SWG2624"/>
    <d v="2024-07-20T00:00:00"/>
    <x v="4"/>
    <s v="Sat"/>
    <s v="Pahunchar"/>
    <x v="7"/>
    <s v="Sweets, Indian"/>
    <x v="5"/>
    <s v="Veg"/>
    <n v="1"/>
    <n v="173"/>
    <n v="173"/>
    <m/>
    <m/>
    <m/>
    <n v="0"/>
    <x v="3"/>
    <n v="27"/>
    <s v="Male"/>
  </r>
  <r>
    <s v="SWG2625"/>
    <d v="2024-07-29T00:00:00"/>
    <x v="4"/>
    <s v="Mon"/>
    <s v="Chaarvi Chinese Wok Cafe"/>
    <x v="11"/>
    <s v="Snacks, Burgers"/>
    <x v="0"/>
    <s v="Veg"/>
    <n v="1"/>
    <n v="257"/>
    <n v="257"/>
    <m/>
    <m/>
    <m/>
    <n v="0"/>
    <x v="3"/>
    <n v="40"/>
    <s v="Female"/>
  </r>
  <r>
    <s v="SWG2626"/>
    <d v="2024-04-19T00:00:00"/>
    <x v="0"/>
    <s v="Fri"/>
    <s v="Pratham Fast Food"/>
    <x v="19"/>
    <s v="Chinese"/>
    <x v="5"/>
    <s v="Veg"/>
    <n v="1"/>
    <n v="172"/>
    <n v="172"/>
    <m/>
    <m/>
    <m/>
    <n v="0"/>
    <x v="0"/>
    <n v="30"/>
    <s v="Female"/>
  </r>
  <r>
    <s v="SWG2627"/>
    <d v="2024-06-10T00:00:00"/>
    <x v="1"/>
    <s v="Mon"/>
    <s v="Punjabi Meal Box"/>
    <x v="104"/>
    <s v="Indian"/>
    <x v="5"/>
    <s v="Veg"/>
    <n v="1"/>
    <n v="163"/>
    <n v="163"/>
    <n v="1.6"/>
    <n v="50"/>
    <m/>
    <n v="0"/>
    <x v="2"/>
    <n v="35"/>
    <s v="Female"/>
  </r>
  <r>
    <s v="SWG2628"/>
    <d v="2024-05-03T00:00:00"/>
    <x v="5"/>
    <s v="Fri"/>
    <s v="Doston"/>
    <x v="11"/>
    <s v="North Indian, Biryani, Kebabs, Tandoor, Beverages"/>
    <x v="2"/>
    <s v="Non-Veg"/>
    <n v="2"/>
    <n v="422"/>
    <n v="844"/>
    <n v="4"/>
    <n v="52"/>
    <n v="800"/>
    <n v="20"/>
    <x v="1"/>
    <n v="32"/>
    <s v="Female"/>
  </r>
  <r>
    <s v="SWG2629"/>
    <d v="2024-08-12T00:00:00"/>
    <x v="6"/>
    <s v="Mon"/>
    <s v="ROYAL DAIRY"/>
    <x v="19"/>
    <s v="Beverages"/>
    <x v="3"/>
    <s v="Veg"/>
    <n v="2"/>
    <n v="172"/>
    <n v="344"/>
    <m/>
    <m/>
    <m/>
    <n v="0"/>
    <x v="1"/>
    <n v="48"/>
    <s v="Male"/>
  </r>
  <r>
    <s v="SWG2630"/>
    <d v="2024-03-27T00:00:00"/>
    <x v="3"/>
    <s v="Wed"/>
    <s v="Rapid Bites"/>
    <x v="2"/>
    <s v="Snacks"/>
    <x v="5"/>
    <s v="Veg"/>
    <n v="1"/>
    <n v="193"/>
    <n v="193"/>
    <m/>
    <m/>
    <m/>
    <n v="0"/>
    <x v="2"/>
    <n v="29"/>
    <s v="Female"/>
  </r>
  <r>
    <s v="SWG2631"/>
    <d v="2024-02-24T00:00:00"/>
    <x v="7"/>
    <s v="Sat"/>
    <s v="China Chopstick"/>
    <x v="29"/>
    <s v="Chinese, Indian"/>
    <x v="5"/>
    <s v="Veg"/>
    <n v="1"/>
    <n v="165"/>
    <n v="165"/>
    <n v="3.7"/>
    <n v="54"/>
    <m/>
    <n v="0"/>
    <x v="2"/>
    <n v="32"/>
    <s v="Male"/>
  </r>
  <r>
    <s v="SWG2632"/>
    <d v="2024-08-07T00:00:00"/>
    <x v="6"/>
    <s v="Wed"/>
    <s v="Creamy Cool"/>
    <x v="7"/>
    <s v="Beverages"/>
    <x v="3"/>
    <s v="Veg"/>
    <n v="1"/>
    <n v="132"/>
    <n v="132"/>
    <m/>
    <m/>
    <m/>
    <n v="0"/>
    <x v="2"/>
    <n v="30"/>
    <s v="Male"/>
  </r>
  <r>
    <s v="SWG2633"/>
    <d v="2024-02-01T00:00:00"/>
    <x v="7"/>
    <s v="Thu"/>
    <s v="Parsley- The Lounge"/>
    <x v="11"/>
    <s v="Beverages, Chinese, Pastas"/>
    <x v="3"/>
    <s v="Veg"/>
    <n v="2"/>
    <n v="284"/>
    <n v="568"/>
    <m/>
    <m/>
    <n v="700"/>
    <n v="20"/>
    <x v="0"/>
    <n v="35"/>
    <s v="Male"/>
  </r>
  <r>
    <s v="SWG2634"/>
    <d v="2024-06-26T00:00:00"/>
    <x v="1"/>
    <s v="Wed"/>
    <s v="Mamta's Kitchen"/>
    <x v="11"/>
    <s v="North Indian"/>
    <x v="5"/>
    <s v="Veg"/>
    <n v="1"/>
    <n v="221"/>
    <n v="221"/>
    <m/>
    <m/>
    <m/>
    <n v="0"/>
    <x v="1"/>
    <n v="32"/>
    <s v="Female"/>
  </r>
  <r>
    <s v="SWG2635"/>
    <d v="2024-05-14T00:00:00"/>
    <x v="5"/>
    <s v="Tue"/>
    <s v="Xotik Cafe"/>
    <x v="22"/>
    <s v="Beverages, Fast Food"/>
    <x v="3"/>
    <s v="Veg"/>
    <n v="1"/>
    <n v="399"/>
    <n v="399"/>
    <n v="4.3"/>
    <n v="44"/>
    <m/>
    <n v="0"/>
    <x v="2"/>
    <n v="42"/>
    <s v="Male"/>
  </r>
  <r>
    <s v="SWG2636"/>
    <d v="2024-04-02T00:00:00"/>
    <x v="0"/>
    <s v="Tue"/>
    <s v="Momo Marvels"/>
    <x v="64"/>
    <s v="Tibetan, Pan-Asian"/>
    <x v="5"/>
    <s v="Veg"/>
    <n v="4"/>
    <n v="377"/>
    <n v="1508"/>
    <n v="4.4000000000000004"/>
    <n v="50"/>
    <m/>
    <n v="0"/>
    <x v="0"/>
    <n v="40"/>
    <s v="Male"/>
  </r>
  <r>
    <s v="SWG2637"/>
    <d v="2024-01-08T00:00:00"/>
    <x v="2"/>
    <s v="Mon"/>
    <s v="The Chinese Cook House"/>
    <x v="11"/>
    <s v="Chinese, Thai, Fast Food"/>
    <x v="5"/>
    <s v="Veg"/>
    <n v="4"/>
    <n v="589"/>
    <n v="2356"/>
    <n v="2.9"/>
    <n v="49"/>
    <m/>
    <n v="0"/>
    <x v="1"/>
    <n v="28"/>
    <s v="Female"/>
  </r>
  <r>
    <s v="SWG2638"/>
    <d v="2024-03-05T00:00:00"/>
    <x v="3"/>
    <s v="Tue"/>
    <s v="YADAV SWEET MART"/>
    <x v="22"/>
    <s v="Sweets, Snacks"/>
    <x v="5"/>
    <s v="Veg"/>
    <n v="1"/>
    <n v="456"/>
    <n v="456"/>
    <m/>
    <m/>
    <m/>
    <n v="0"/>
    <x v="3"/>
    <n v="36"/>
    <s v="Male"/>
  </r>
  <r>
    <s v="SWG2639"/>
    <d v="2024-02-26T00:00:00"/>
    <x v="7"/>
    <s v="Mon"/>
    <s v="Cafekino"/>
    <x v="4"/>
    <s v="Snacks, Salads"/>
    <x v="5"/>
    <s v="Veg"/>
    <n v="3"/>
    <n v="475"/>
    <n v="1425"/>
    <n v="3.3"/>
    <n v="56"/>
    <m/>
    <n v="0"/>
    <x v="0"/>
    <n v="20"/>
    <s v="Female"/>
  </r>
  <r>
    <s v="SWG2640"/>
    <d v="2024-03-07T00:00:00"/>
    <x v="3"/>
    <s v="Thu"/>
    <s v="Borivali Falooda Centre &amp; Veg-Non Veg Centre"/>
    <x v="6"/>
    <s v="Indian"/>
    <x v="5"/>
    <s v="Veg"/>
    <n v="1"/>
    <n v="517"/>
    <n v="517"/>
    <n v="2.5"/>
    <n v="43"/>
    <m/>
    <n v="0"/>
    <x v="1"/>
    <n v="24"/>
    <s v="Female"/>
  </r>
  <r>
    <s v="SWG2641"/>
    <d v="2024-08-03T00:00:00"/>
    <x v="6"/>
    <s v="Sat"/>
    <s v="Bhakti's Cake Dreams"/>
    <x v="29"/>
    <s v="Bakery, Desserts"/>
    <x v="4"/>
    <s v="Veg"/>
    <n v="4"/>
    <n v="257"/>
    <n v="1028"/>
    <m/>
    <m/>
    <m/>
    <n v="0"/>
    <x v="0"/>
    <n v="38"/>
    <s v="Female"/>
  </r>
  <r>
    <s v="SWG2642"/>
    <d v="2024-08-02T00:00:00"/>
    <x v="6"/>
    <s v="Fri"/>
    <s v="The Juice Tree"/>
    <x v="2"/>
    <s v="Juices, Beverages"/>
    <x v="3"/>
    <s v="Veg"/>
    <n v="3"/>
    <n v="282"/>
    <n v="846"/>
    <m/>
    <m/>
    <m/>
    <n v="0"/>
    <x v="1"/>
    <n v="43"/>
    <s v="Male"/>
  </r>
  <r>
    <s v="SWG2643"/>
    <d v="2024-07-05T00:00:00"/>
    <x v="4"/>
    <s v="Fri"/>
    <s v="Level Up Pizzeria"/>
    <x v="11"/>
    <s v="Pizzas"/>
    <x v="1"/>
    <s v="Veg"/>
    <n v="3"/>
    <n v="528"/>
    <n v="1584"/>
    <m/>
    <m/>
    <m/>
    <n v="0"/>
    <x v="1"/>
    <n v="31"/>
    <s v="Female"/>
  </r>
  <r>
    <s v="SWG2644"/>
    <d v="2024-03-12T00:00:00"/>
    <x v="3"/>
    <s v="Tue"/>
    <s v="Benglore Iyyengers Bakery"/>
    <x v="11"/>
    <s v="Bakery, Desserts"/>
    <x v="4"/>
    <s v="Veg"/>
    <n v="1"/>
    <n v="506"/>
    <n v="506"/>
    <m/>
    <m/>
    <m/>
    <n v="0"/>
    <x v="3"/>
    <n v="31"/>
    <s v="Female"/>
  </r>
  <r>
    <s v="SWG2645"/>
    <d v="2024-02-23T00:00:00"/>
    <x v="7"/>
    <s v="Fri"/>
    <s v="Cake O' City - The Ultimate Cake Stop"/>
    <x v="4"/>
    <s v="Desserts, Beverages"/>
    <x v="4"/>
    <s v="Veg"/>
    <n v="4"/>
    <n v="230"/>
    <n v="920"/>
    <n v="2.8"/>
    <n v="45"/>
    <n v="999"/>
    <n v="0"/>
    <x v="0"/>
    <n v="39"/>
    <s v="Female"/>
  </r>
  <r>
    <s v="SWG2646"/>
    <d v="2024-08-26T00:00:00"/>
    <x v="6"/>
    <s v="Mon"/>
    <s v="Bombay 62"/>
    <x v="7"/>
    <s v="Beverages, Snacks"/>
    <x v="3"/>
    <s v="Veg"/>
    <n v="4"/>
    <n v="221"/>
    <n v="884"/>
    <m/>
    <m/>
    <m/>
    <n v="0"/>
    <x v="2"/>
    <n v="30"/>
    <s v="Female"/>
  </r>
  <r>
    <s v="SWG2647"/>
    <d v="2024-08-16T00:00:00"/>
    <x v="6"/>
    <s v="Fri"/>
    <s v="Crocodile Resturant"/>
    <x v="19"/>
    <s v="Chinese"/>
    <x v="5"/>
    <s v="Veg"/>
    <n v="3"/>
    <n v="136"/>
    <n v="408"/>
    <m/>
    <m/>
    <m/>
    <n v="0"/>
    <x v="3"/>
    <n v="29"/>
    <s v="Male"/>
  </r>
  <r>
    <s v="SWG2648"/>
    <d v="2024-03-07T00:00:00"/>
    <x v="3"/>
    <s v="Thu"/>
    <s v="Kasipuh"/>
    <x v="6"/>
    <s v="Chinese, Snacks"/>
    <x v="5"/>
    <s v="Veg"/>
    <n v="1"/>
    <n v="387"/>
    <n v="387"/>
    <n v="4.5999999999999996"/>
    <n v="42"/>
    <n v="125"/>
    <n v="25"/>
    <x v="3"/>
    <n v="41"/>
    <s v="Female"/>
  </r>
  <r>
    <s v="SWG2649"/>
    <d v="2024-02-20T00:00:00"/>
    <x v="7"/>
    <s v="Tue"/>
    <s v="Mastani Pavbhaji Centre"/>
    <x v="5"/>
    <s v="Fast Food, Snacks"/>
    <x v="5"/>
    <s v="Veg"/>
    <n v="2"/>
    <n v="301"/>
    <n v="602"/>
    <n v="4.2"/>
    <n v="42"/>
    <m/>
    <n v="0"/>
    <x v="1"/>
    <n v="26"/>
    <s v="Male"/>
  </r>
  <r>
    <s v="SWG2650"/>
    <d v="2024-04-06T00:00:00"/>
    <x v="0"/>
    <s v="Sat"/>
    <s v="Konkan Bay"/>
    <x v="19"/>
    <s v="Indian, Chinese, Biryani, Seafood, Thalis"/>
    <x v="2"/>
    <s v="Non-Veg"/>
    <n v="2"/>
    <n v="491"/>
    <n v="982"/>
    <m/>
    <m/>
    <m/>
    <n v="0"/>
    <x v="2"/>
    <n v="18"/>
    <s v="Female"/>
  </r>
  <r>
    <s v="SWG2651"/>
    <d v="2024-04-01T00:00:00"/>
    <x v="0"/>
    <s v="Mon"/>
    <s v="Saras Foods"/>
    <x v="7"/>
    <s v="Indian, Chinese"/>
    <x v="5"/>
    <s v="Veg"/>
    <n v="4"/>
    <n v="143"/>
    <n v="572"/>
    <m/>
    <m/>
    <m/>
    <n v="0"/>
    <x v="0"/>
    <n v="36"/>
    <s v="Male"/>
  </r>
  <r>
    <s v="SWG2652"/>
    <d v="2024-08-26T00:00:00"/>
    <x v="6"/>
    <s v="Mon"/>
    <s v="Parmanand"/>
    <x v="4"/>
    <s v="Street Food, North Indian, Chinese, Beverages, South Indian"/>
    <x v="3"/>
    <s v="Veg"/>
    <n v="2"/>
    <n v="148"/>
    <n v="296"/>
    <n v="4.0999999999999996"/>
    <n v="46"/>
    <m/>
    <n v="0"/>
    <x v="2"/>
    <n v="28"/>
    <s v="Female"/>
  </r>
  <r>
    <s v="SWG2653"/>
    <d v="2024-01-08T00:00:00"/>
    <x v="2"/>
    <s v="Mon"/>
    <s v="Brioche"/>
    <x v="19"/>
    <s v="Bakery, Snacks, Fast Food, Pizzas"/>
    <x v="1"/>
    <s v="Veg"/>
    <n v="4"/>
    <n v="290"/>
    <n v="1160"/>
    <n v="3.6"/>
    <n v="56"/>
    <n v="800"/>
    <n v="10"/>
    <x v="2"/>
    <n v="40"/>
    <s v="Male"/>
  </r>
  <r>
    <s v="SWG2654"/>
    <d v="2024-06-10T00:00:00"/>
    <x v="1"/>
    <s v="Mon"/>
    <s v="Vijayshree Icecream Amul Parlour"/>
    <x v="7"/>
    <s v="Ice Cream"/>
    <x v="5"/>
    <s v="Veg"/>
    <n v="4"/>
    <n v="528"/>
    <n v="2112"/>
    <m/>
    <m/>
    <m/>
    <n v="0"/>
    <x v="2"/>
    <n v="39"/>
    <s v="Female"/>
  </r>
  <r>
    <s v="SWG2655"/>
    <d v="2024-02-04T00:00:00"/>
    <x v="7"/>
    <s v="Sun"/>
    <s v="Joey's Shawarma"/>
    <x v="11"/>
    <s v="Arabian, Burgers, Snacks, Desserts"/>
    <x v="0"/>
    <s v="Veg"/>
    <n v="4"/>
    <n v="347"/>
    <n v="1388"/>
    <m/>
    <m/>
    <n v="250"/>
    <n v="50"/>
    <x v="2"/>
    <n v="40"/>
    <s v="Male"/>
  </r>
  <r>
    <s v="SWG2656"/>
    <d v="2024-04-05T00:00:00"/>
    <x v="0"/>
    <s v="Fri"/>
    <s v="Wok Of Fame"/>
    <x v="105"/>
    <s v="Chinese, Snacks"/>
    <x v="5"/>
    <s v="Veg"/>
    <n v="2"/>
    <n v="497"/>
    <n v="994"/>
    <n v="3.7"/>
    <n v="41"/>
    <n v="125"/>
    <n v="25"/>
    <x v="2"/>
    <n v="41"/>
    <s v="Male"/>
  </r>
  <r>
    <s v="SWG2657"/>
    <d v="2024-03-28T00:00:00"/>
    <x v="3"/>
    <s v="Thu"/>
    <s v="D'Sandwicha &amp; Snacks Corner"/>
    <x v="29"/>
    <s v="Fast Food, Street Food, Chinese, Pizzas"/>
    <x v="1"/>
    <s v="Veg"/>
    <n v="4"/>
    <n v="307"/>
    <n v="1228"/>
    <m/>
    <m/>
    <m/>
    <n v="0"/>
    <x v="1"/>
    <n v="39"/>
    <s v="Male"/>
  </r>
  <r>
    <s v="SWG2658"/>
    <d v="2024-03-18T00:00:00"/>
    <x v="3"/>
    <s v="Mon"/>
    <s v="Celebration The Cake Shop"/>
    <x v="19"/>
    <s v="Bakery"/>
    <x v="5"/>
    <s v="Veg"/>
    <n v="3"/>
    <n v="465"/>
    <n v="1395"/>
    <m/>
    <m/>
    <m/>
    <n v="0"/>
    <x v="1"/>
    <n v="36"/>
    <s v="Female"/>
  </r>
  <r>
    <s v="SWG2659"/>
    <d v="2024-02-01T00:00:00"/>
    <x v="7"/>
    <s v="Thu"/>
    <s v="Apna SayBeen"/>
    <x v="7"/>
    <s v="Chinese"/>
    <x v="5"/>
    <s v="Veg"/>
    <n v="1"/>
    <n v="349"/>
    <n v="349"/>
    <m/>
    <m/>
    <m/>
    <n v="0"/>
    <x v="3"/>
    <n v="35"/>
    <s v="Male"/>
  </r>
  <r>
    <s v="SWG2660"/>
    <d v="2024-04-29T00:00:00"/>
    <x v="0"/>
    <s v="Mon"/>
    <s v="S M Special Falooda and Ice Cream"/>
    <x v="19"/>
    <s v="Desserts, Ice Cream, Beverages"/>
    <x v="4"/>
    <s v="Veg"/>
    <n v="1"/>
    <n v="440"/>
    <n v="440"/>
    <n v="4.5999999999999996"/>
    <n v="50"/>
    <n v="200"/>
    <n v="40"/>
    <x v="1"/>
    <n v="29"/>
    <s v="Male"/>
  </r>
  <r>
    <s v="SWG2661"/>
    <d v="2024-02-15T00:00:00"/>
    <x v="7"/>
    <s v="Thu"/>
    <s v="Rajeshahi Bhog"/>
    <x v="67"/>
    <s v="Indian, Snacks, Thalis"/>
    <x v="5"/>
    <s v="Veg"/>
    <n v="4"/>
    <n v="459"/>
    <n v="1836"/>
    <m/>
    <m/>
    <m/>
    <n v="0"/>
    <x v="3"/>
    <n v="40"/>
    <s v="Male"/>
  </r>
  <r>
    <s v="SWG2662"/>
    <d v="2024-08-22T00:00:00"/>
    <x v="6"/>
    <s v="Thu"/>
    <s v="Exotic - The Dining Bar"/>
    <x v="4"/>
    <s v="Biryani, North Indian, Arabian, Pizzas, Chinese"/>
    <x v="1"/>
    <s v="Non-Veg"/>
    <n v="1"/>
    <n v="238"/>
    <n v="238"/>
    <n v="4.7"/>
    <n v="46"/>
    <m/>
    <n v="0"/>
    <x v="3"/>
    <n v="45"/>
    <s v="Male"/>
  </r>
  <r>
    <s v="SWG2663"/>
    <d v="2024-05-23T00:00:00"/>
    <x v="5"/>
    <s v="Thu"/>
    <s v="Royal China town"/>
    <x v="7"/>
    <s v="Chinese, Indian"/>
    <x v="5"/>
    <s v="Veg"/>
    <n v="2"/>
    <n v="275"/>
    <n v="550"/>
    <n v="3.4"/>
    <n v="50"/>
    <m/>
    <n v="0"/>
    <x v="0"/>
    <n v="45"/>
    <s v="Female"/>
  </r>
  <r>
    <s v="SWG2664"/>
    <d v="2024-07-14T00:00:00"/>
    <x v="4"/>
    <s v="Sun"/>
    <s v="D Sweet Cloud"/>
    <x v="7"/>
    <s v="Bakery, Ice Cream"/>
    <x v="5"/>
    <s v="Veg"/>
    <n v="2"/>
    <n v="391"/>
    <n v="782"/>
    <m/>
    <m/>
    <m/>
    <n v="0"/>
    <x v="2"/>
    <n v="45"/>
    <s v="Male"/>
  </r>
  <r>
    <s v="SWG2665"/>
    <d v="2024-06-13T00:00:00"/>
    <x v="1"/>
    <s v="Thu"/>
    <s v="Shree Mahalaxmi Restaurant And Garden"/>
    <x v="33"/>
    <s v="Chinese, Kebabs, Biryani"/>
    <x v="2"/>
    <s v="Non-Veg"/>
    <n v="1"/>
    <n v="294"/>
    <n v="294"/>
    <n v="2.9"/>
    <n v="52"/>
    <n v="999"/>
    <n v="0"/>
    <x v="1"/>
    <n v="44"/>
    <s v="Male"/>
  </r>
  <r>
    <s v="SWG2666"/>
    <d v="2024-06-30T00:00:00"/>
    <x v="1"/>
    <s v="Sun"/>
    <s v="Maratha Biryani Centre"/>
    <x v="52"/>
    <s v="Chinese, North Indian, Biryani, Tandoor"/>
    <x v="2"/>
    <s v="Non-Veg"/>
    <n v="2"/>
    <n v="584"/>
    <n v="1168"/>
    <m/>
    <m/>
    <m/>
    <n v="0"/>
    <x v="0"/>
    <n v="18"/>
    <s v="Male"/>
  </r>
  <r>
    <s v="SWG2667"/>
    <d v="2024-07-31T00:00:00"/>
    <x v="4"/>
    <s v="Wed"/>
    <s v="Hotel Sai shradha"/>
    <x v="5"/>
    <s v="Snacks, Beverages"/>
    <x v="3"/>
    <s v="Veg"/>
    <n v="1"/>
    <n v="223"/>
    <n v="223"/>
    <n v="3.9"/>
    <n v="40"/>
    <m/>
    <n v="0"/>
    <x v="1"/>
    <n v="36"/>
    <s v="Female"/>
  </r>
  <r>
    <s v="SWG2668"/>
    <d v="2024-05-21T00:00:00"/>
    <x v="5"/>
    <s v="Tue"/>
    <s v="Absolute Biryani"/>
    <x v="3"/>
    <s v="Biryani, North Indian"/>
    <x v="2"/>
    <s v="Non-Veg"/>
    <n v="1"/>
    <n v="211"/>
    <n v="211"/>
    <n v="4"/>
    <n v="43"/>
    <m/>
    <n v="0"/>
    <x v="3"/>
    <n v="45"/>
    <s v="Male"/>
  </r>
  <r>
    <s v="SWG2669"/>
    <d v="2024-08-10T00:00:00"/>
    <x v="6"/>
    <s v="Sat"/>
    <s v="Esora"/>
    <x v="19"/>
    <s v="Indian"/>
    <x v="5"/>
    <s v="Veg"/>
    <n v="1"/>
    <n v="305"/>
    <n v="305"/>
    <n v="2.7"/>
    <n v="49"/>
    <m/>
    <n v="0"/>
    <x v="1"/>
    <n v="44"/>
    <s v="Male"/>
  </r>
  <r>
    <s v="SWG2670"/>
    <d v="2024-02-24T00:00:00"/>
    <x v="7"/>
    <s v="Sat"/>
    <s v="Forks &amp; Spoons 51"/>
    <x v="2"/>
    <s v="Burgers, Fast Food, Chinese, Pizzas, Beverages"/>
    <x v="1"/>
    <s v="Veg"/>
    <n v="4"/>
    <n v="579"/>
    <n v="2316"/>
    <m/>
    <m/>
    <m/>
    <n v="0"/>
    <x v="2"/>
    <n v="37"/>
    <s v="Male"/>
  </r>
  <r>
    <s v="SWG2671"/>
    <d v="2024-06-24T00:00:00"/>
    <x v="1"/>
    <s v="Mon"/>
    <s v="Eternal Bliss"/>
    <x v="36"/>
    <s v="Bakery, Desserts, Beverages, Ice Cream"/>
    <x v="4"/>
    <s v="Veg"/>
    <n v="1"/>
    <n v="402"/>
    <n v="402"/>
    <n v="4.0999999999999996"/>
    <n v="49"/>
    <m/>
    <n v="0"/>
    <x v="3"/>
    <n v="46"/>
    <s v="Male"/>
  </r>
  <r>
    <s v="SWG2672"/>
    <d v="2024-07-28T00:00:00"/>
    <x v="4"/>
    <s v="Sun"/>
    <s v="Honeys Delights"/>
    <x v="11"/>
    <s v="Burgers"/>
    <x v="0"/>
    <s v="Veg"/>
    <n v="4"/>
    <n v="300"/>
    <n v="1200"/>
    <m/>
    <m/>
    <m/>
    <n v="0"/>
    <x v="3"/>
    <n v="47"/>
    <s v="Female"/>
  </r>
  <r>
    <s v="SWG2673"/>
    <d v="2024-01-07T00:00:00"/>
    <x v="2"/>
    <s v="Sun"/>
    <s v="Aniket Chinese"/>
    <x v="6"/>
    <s v="Chinese, Snacks"/>
    <x v="5"/>
    <s v="Veg"/>
    <n v="1"/>
    <n v="289"/>
    <n v="289"/>
    <n v="4.5"/>
    <n v="41"/>
    <m/>
    <n v="0"/>
    <x v="0"/>
    <n v="34"/>
    <s v="Male"/>
  </r>
  <r>
    <s v="SWG2674"/>
    <d v="2024-03-14T00:00:00"/>
    <x v="3"/>
    <s v="Thu"/>
    <s v="Sannju's Kitchen"/>
    <x v="7"/>
    <s v="Italian, Chinese"/>
    <x v="5"/>
    <s v="Veg"/>
    <n v="1"/>
    <n v="306"/>
    <n v="306"/>
    <n v="3"/>
    <n v="43"/>
    <m/>
    <n v="0"/>
    <x v="2"/>
    <n v="22"/>
    <s v="Male"/>
  </r>
  <r>
    <s v="SWG2675"/>
    <d v="2024-01-07T00:00:00"/>
    <x v="2"/>
    <s v="Sun"/>
    <s v="Hooch Restaurant"/>
    <x v="7"/>
    <s v="Italian, Chinese, Salads, North Indian, Fast Food"/>
    <x v="5"/>
    <s v="Veg"/>
    <n v="1"/>
    <n v="294"/>
    <n v="294"/>
    <m/>
    <m/>
    <m/>
    <n v="0"/>
    <x v="3"/>
    <n v="43"/>
    <s v="Female"/>
  </r>
  <r>
    <s v="SWG2676"/>
    <d v="2024-06-09T00:00:00"/>
    <x v="1"/>
    <s v="Sun"/>
    <s v="Pizzarita By The Fusion Kitchen"/>
    <x v="7"/>
    <s v="Italian, Pizzas"/>
    <x v="1"/>
    <s v="Veg"/>
    <n v="2"/>
    <n v="341"/>
    <n v="682"/>
    <n v="4.2"/>
    <n v="45"/>
    <m/>
    <n v="0"/>
    <x v="2"/>
    <n v="20"/>
    <s v="Female"/>
  </r>
  <r>
    <s v="SWG2677"/>
    <d v="2024-05-30T00:00:00"/>
    <x v="5"/>
    <s v="Thu"/>
    <s v="Brunchners"/>
    <x v="19"/>
    <s v="Snacks, Burgers, Pizzas, Beverages"/>
    <x v="1"/>
    <s v="Veg"/>
    <n v="4"/>
    <n v="352"/>
    <n v="1408"/>
    <m/>
    <m/>
    <n v="999"/>
    <n v="0"/>
    <x v="1"/>
    <n v="19"/>
    <s v="Female"/>
  </r>
  <r>
    <s v="SWG2678"/>
    <d v="2024-03-25T00:00:00"/>
    <x v="3"/>
    <s v="Mon"/>
    <s v="Sai Annapurna"/>
    <x v="11"/>
    <s v="Chinese, Indian, Biryani"/>
    <x v="2"/>
    <s v="Non-Veg"/>
    <n v="4"/>
    <n v="281"/>
    <n v="1124"/>
    <n v="4.4000000000000004"/>
    <n v="46"/>
    <m/>
    <n v="0"/>
    <x v="2"/>
    <n v="48"/>
    <s v="Male"/>
  </r>
  <r>
    <s v="SWG2679"/>
    <d v="2024-05-26T00:00:00"/>
    <x v="5"/>
    <s v="Sun"/>
    <s v="Nasta House"/>
    <x v="11"/>
    <s v="North Indian, Beverages"/>
    <x v="3"/>
    <s v="Veg"/>
    <n v="1"/>
    <n v="540"/>
    <n v="540"/>
    <m/>
    <m/>
    <m/>
    <n v="0"/>
    <x v="3"/>
    <n v="20"/>
    <s v="Female"/>
  </r>
  <r>
    <s v="SWG2680"/>
    <d v="2024-04-21T00:00:00"/>
    <x v="0"/>
    <s v="Sun"/>
    <s v="Masala Mumbai"/>
    <x v="2"/>
    <s v="Indian"/>
    <x v="5"/>
    <s v="Veg"/>
    <n v="1"/>
    <n v="253"/>
    <n v="253"/>
    <n v="3.7"/>
    <n v="40"/>
    <n v="100"/>
    <n v="20"/>
    <x v="0"/>
    <n v="25"/>
    <s v="Male"/>
  </r>
  <r>
    <s v="SWG2681"/>
    <d v="2024-05-04T00:00:00"/>
    <x v="5"/>
    <s v="Sat"/>
    <s v="Bread Bowl Factory"/>
    <x v="11"/>
    <s v="Indian, Continental"/>
    <x v="5"/>
    <s v="Veg"/>
    <n v="2"/>
    <n v="510"/>
    <n v="1020"/>
    <m/>
    <m/>
    <m/>
    <n v="0"/>
    <x v="3"/>
    <n v="33"/>
    <s v="Female"/>
  </r>
  <r>
    <s v="SWG2682"/>
    <d v="2024-05-26T00:00:00"/>
    <x v="5"/>
    <s v="Sun"/>
    <s v="Jizu - Pan Asian Delicacies"/>
    <x v="4"/>
    <s v="Chinese, Thai, Oriental"/>
    <x v="5"/>
    <s v="Veg"/>
    <n v="2"/>
    <n v="599"/>
    <n v="1198"/>
    <n v="3.8"/>
    <n v="54"/>
    <m/>
    <n v="0"/>
    <x v="2"/>
    <n v="23"/>
    <s v="Male"/>
  </r>
  <r>
    <s v="SWG2683"/>
    <d v="2024-02-05T00:00:00"/>
    <x v="7"/>
    <s v="Mon"/>
    <s v="Bombay Missal Company"/>
    <x v="52"/>
    <s v="Snacks, Fast Food, Pizzas, Beverages"/>
    <x v="1"/>
    <s v="Veg"/>
    <n v="2"/>
    <n v="343"/>
    <n v="686"/>
    <n v="3.8"/>
    <n v="42"/>
    <m/>
    <n v="0"/>
    <x v="2"/>
    <n v="30"/>
    <s v="Female"/>
  </r>
  <r>
    <s v="SWG2684"/>
    <d v="2024-01-29T00:00:00"/>
    <x v="2"/>
    <s v="Mon"/>
    <s v="BHANDIWADEKAR'S KITCHEN"/>
    <x v="7"/>
    <s v="Maharashtrian, Snacks, Street Food, Desserts"/>
    <x v="4"/>
    <s v="Veg"/>
    <n v="4"/>
    <n v="272"/>
    <n v="1088"/>
    <m/>
    <m/>
    <m/>
    <n v="0"/>
    <x v="3"/>
    <n v="47"/>
    <s v="Male"/>
  </r>
  <r>
    <s v="SWG2685"/>
    <d v="2024-07-06T00:00:00"/>
    <x v="4"/>
    <s v="Sat"/>
    <s v="Tea Home"/>
    <x v="7"/>
    <s v="Burgers"/>
    <x v="0"/>
    <s v="Veg"/>
    <n v="4"/>
    <n v="152"/>
    <n v="608"/>
    <m/>
    <m/>
    <m/>
    <n v="0"/>
    <x v="2"/>
    <n v="40"/>
    <s v="Female"/>
  </r>
  <r>
    <s v="SWG2686"/>
    <d v="2024-03-22T00:00:00"/>
    <x v="3"/>
    <s v="Fri"/>
    <s v="Bambbaiya Chinese"/>
    <x v="7"/>
    <s v="Chinese, Oriental, Biryani"/>
    <x v="2"/>
    <s v="Non-Veg"/>
    <n v="4"/>
    <n v="174"/>
    <n v="696"/>
    <n v="3.9"/>
    <n v="44"/>
    <m/>
    <n v="0"/>
    <x v="1"/>
    <n v="45"/>
    <s v="Male"/>
  </r>
  <r>
    <s v="SWG2687"/>
    <d v="2024-01-02T00:00:00"/>
    <x v="2"/>
    <s v="Tue"/>
    <s v="Sunny Dosas N Parathas"/>
    <x v="29"/>
    <s v="South Indian, North Indian"/>
    <x v="5"/>
    <s v="Veg"/>
    <n v="1"/>
    <n v="561"/>
    <n v="561"/>
    <m/>
    <m/>
    <m/>
    <n v="0"/>
    <x v="3"/>
    <n v="39"/>
    <s v="Male"/>
  </r>
  <r>
    <s v="SWG2688"/>
    <d v="2024-05-08T00:00:00"/>
    <x v="5"/>
    <s v="Wed"/>
    <s v="Goregaon Sports Club"/>
    <x v="11"/>
    <s v="Pizzas, Desserts, Italian"/>
    <x v="1"/>
    <s v="Veg"/>
    <n v="4"/>
    <n v="126"/>
    <n v="504"/>
    <m/>
    <m/>
    <m/>
    <n v="0"/>
    <x v="0"/>
    <n v="39"/>
    <s v="Male"/>
  </r>
  <r>
    <s v="SWG2689"/>
    <d v="2024-02-16T00:00:00"/>
    <x v="7"/>
    <s v="Fri"/>
    <s v="the dhaba by Geets Rasoi"/>
    <x v="11"/>
    <s v="Chinese, Indian"/>
    <x v="5"/>
    <s v="Veg"/>
    <n v="3"/>
    <n v="363"/>
    <n v="1089"/>
    <n v="4.0999999999999996"/>
    <n v="46"/>
    <m/>
    <n v="0"/>
    <x v="3"/>
    <n v="33"/>
    <s v="Male"/>
  </r>
  <r>
    <s v="SWG2690"/>
    <d v="2024-07-15T00:00:00"/>
    <x v="4"/>
    <s v="Mon"/>
    <s v="The Mocha House"/>
    <x v="106"/>
    <s v="Beverages, Cafe, Snacks, Desserts"/>
    <x v="4"/>
    <s v="Veg"/>
    <n v="3"/>
    <n v="432"/>
    <n v="1296"/>
    <n v="4.2"/>
    <n v="61"/>
    <m/>
    <n v="0"/>
    <x v="1"/>
    <n v="45"/>
    <s v="Male"/>
  </r>
  <r>
    <s v="SWG2691"/>
    <d v="2024-05-27T00:00:00"/>
    <x v="5"/>
    <s v="Mon"/>
    <s v="103 Chinese Corner"/>
    <x v="7"/>
    <s v="Chinese, South Indian, Indian"/>
    <x v="5"/>
    <s v="Veg"/>
    <n v="2"/>
    <n v="245"/>
    <n v="490"/>
    <m/>
    <m/>
    <m/>
    <n v="0"/>
    <x v="1"/>
    <n v="33"/>
    <s v="Male"/>
  </r>
  <r>
    <s v="SWG2692"/>
    <d v="2024-01-11T00:00:00"/>
    <x v="2"/>
    <s v="Thu"/>
    <s v="DAYANAND RESTAURANT AND BAR"/>
    <x v="29"/>
    <s v="Indian, Biryani"/>
    <x v="2"/>
    <s v="Non-Veg"/>
    <n v="4"/>
    <n v="131"/>
    <n v="524"/>
    <m/>
    <m/>
    <m/>
    <n v="0"/>
    <x v="1"/>
    <n v="20"/>
    <s v="Male"/>
  </r>
  <r>
    <s v="SWG2693"/>
    <d v="2024-08-21T00:00:00"/>
    <x v="6"/>
    <s v="Wed"/>
    <s v="Ammo Ki Rasoi"/>
    <x v="19"/>
    <s v="Indian"/>
    <x v="5"/>
    <s v="Veg"/>
    <n v="3"/>
    <n v="135"/>
    <n v="405"/>
    <m/>
    <m/>
    <m/>
    <n v="0"/>
    <x v="1"/>
    <n v="45"/>
    <s v="Male"/>
  </r>
  <r>
    <s v="SWG2694"/>
    <d v="2024-05-09T00:00:00"/>
    <x v="5"/>
    <s v="Thu"/>
    <s v="Waffle And Waffle"/>
    <x v="41"/>
    <s v="Desserts, Beverages, Waffle"/>
    <x v="4"/>
    <s v="Veg"/>
    <n v="2"/>
    <n v="327"/>
    <n v="654"/>
    <n v="4.0999999999999996"/>
    <n v="56"/>
    <m/>
    <n v="0"/>
    <x v="1"/>
    <n v="30"/>
    <s v="Female"/>
  </r>
  <r>
    <s v="SWG2695"/>
    <d v="2024-07-13T00:00:00"/>
    <x v="4"/>
    <s v="Sat"/>
    <s v="Jaya's Famous Sandwiches"/>
    <x v="11"/>
    <s v="Chinese, Indian"/>
    <x v="5"/>
    <s v="Veg"/>
    <n v="4"/>
    <n v="162"/>
    <n v="648"/>
    <m/>
    <m/>
    <m/>
    <n v="0"/>
    <x v="0"/>
    <n v="31"/>
    <s v="Male"/>
  </r>
  <r>
    <s v="SWG2696"/>
    <d v="2024-08-02T00:00:00"/>
    <x v="6"/>
    <s v="Fri"/>
    <s v="Fruitango Juices Shakes &amp; Smoothies"/>
    <x v="42"/>
    <s v="Beverages, Chinese, Snacks"/>
    <x v="3"/>
    <s v="Veg"/>
    <n v="1"/>
    <n v="492"/>
    <n v="492"/>
    <m/>
    <m/>
    <m/>
    <n v="0"/>
    <x v="2"/>
    <n v="25"/>
    <s v="Male"/>
  </r>
  <r>
    <s v="SWG2697"/>
    <d v="2024-04-28T00:00:00"/>
    <x v="0"/>
    <s v="Sun"/>
    <s v="Fat Boy Food"/>
    <x v="11"/>
    <s v="Chinese, Burgers, Waffle"/>
    <x v="0"/>
    <s v="Veg"/>
    <n v="3"/>
    <n v="580"/>
    <n v="1740"/>
    <m/>
    <m/>
    <m/>
    <n v="0"/>
    <x v="1"/>
    <n v="29"/>
    <s v="Female"/>
  </r>
  <r>
    <s v="SWG2698"/>
    <d v="2024-05-19T00:00:00"/>
    <x v="5"/>
    <s v="Sun"/>
    <s v="Double Door Lounge"/>
    <x v="7"/>
    <s v="Chinese, Italian"/>
    <x v="5"/>
    <s v="Veg"/>
    <n v="1"/>
    <n v="254"/>
    <n v="254"/>
    <m/>
    <m/>
    <m/>
    <n v="0"/>
    <x v="1"/>
    <n v="40"/>
    <s v="Male"/>
  </r>
  <r>
    <s v="SWG2699"/>
    <d v="2024-01-20T00:00:00"/>
    <x v="2"/>
    <s v="Sat"/>
    <s v="Johny Wokker"/>
    <x v="36"/>
    <s v="Chinese, Continental"/>
    <x v="5"/>
    <s v="Veg"/>
    <n v="4"/>
    <n v="347"/>
    <n v="1388"/>
    <n v="4.9000000000000004"/>
    <n v="54"/>
    <m/>
    <n v="0"/>
    <x v="3"/>
    <n v="40"/>
    <s v="Female"/>
  </r>
  <r>
    <s v="SWG2700"/>
    <d v="2024-01-05T00:00:00"/>
    <x v="2"/>
    <s v="Fri"/>
    <s v="Lettuce-Global Veggies Cuisine"/>
    <x v="24"/>
    <s v="Continental, Italian"/>
    <x v="5"/>
    <s v="Veg"/>
    <n v="3"/>
    <n v="230"/>
    <n v="690"/>
    <n v="3.1"/>
    <n v="45"/>
    <m/>
    <n v="0"/>
    <x v="0"/>
    <n v="39"/>
    <s v="Male"/>
  </r>
  <r>
    <s v="SWG2701"/>
    <d v="2024-02-06T00:00:00"/>
    <x v="7"/>
    <s v="Tue"/>
    <s v="I M Chinese Food Corner"/>
    <x v="29"/>
    <s v="Chinese, Snacks"/>
    <x v="5"/>
    <s v="Veg"/>
    <n v="4"/>
    <n v="426"/>
    <n v="1704"/>
    <m/>
    <m/>
    <m/>
    <n v="0"/>
    <x v="0"/>
    <n v="38"/>
    <s v="Female"/>
  </r>
  <r>
    <s v="SWG2702"/>
    <d v="2024-06-14T00:00:00"/>
    <x v="1"/>
    <s v="Fri"/>
    <s v="Mr.D Misal Pav"/>
    <x v="11"/>
    <s v="Indian"/>
    <x v="5"/>
    <s v="Veg"/>
    <n v="1"/>
    <n v="576"/>
    <n v="576"/>
    <m/>
    <m/>
    <m/>
    <n v="0"/>
    <x v="2"/>
    <n v="43"/>
    <s v="Female"/>
  </r>
  <r>
    <s v="SWG2703"/>
    <d v="2024-08-09T00:00:00"/>
    <x v="6"/>
    <s v="Fri"/>
    <s v="Tossin Pizza"/>
    <x v="4"/>
    <s v="Pizzas, Italian, Beverages, Desserts"/>
    <x v="1"/>
    <s v="Veg"/>
    <n v="3"/>
    <n v="279"/>
    <n v="837"/>
    <n v="4.2"/>
    <m/>
    <n v="100"/>
    <n v="50"/>
    <x v="0"/>
    <n v="25"/>
    <s v="Male"/>
  </r>
  <r>
    <s v="SWG2704"/>
    <d v="2024-05-16T00:00:00"/>
    <x v="5"/>
    <s v="Thu"/>
    <s v="Louis Burger"/>
    <x v="3"/>
    <s v="Burgers, American, Fast Food"/>
    <x v="0"/>
    <s v="Veg"/>
    <n v="1"/>
    <n v="450"/>
    <n v="450"/>
    <n v="4.4000000000000004"/>
    <n v="48"/>
    <n v="249"/>
    <n v="0"/>
    <x v="3"/>
    <n v="38"/>
    <s v="Female"/>
  </r>
  <r>
    <s v="SWG2705"/>
    <d v="2024-08-13T00:00:00"/>
    <x v="6"/>
    <s v="Tue"/>
    <s v="Goila Butter Chicken"/>
    <x v="107"/>
    <s v="North Indian, Biryani, Kebabs, Desserts"/>
    <x v="2"/>
    <s v="Non-Veg"/>
    <n v="4"/>
    <n v="383"/>
    <n v="1532"/>
    <n v="4.0999999999999996"/>
    <n v="55"/>
    <n v="100"/>
    <n v="15"/>
    <x v="3"/>
    <n v="42"/>
    <s v="Male"/>
  </r>
  <r>
    <s v="SWG2706"/>
    <d v="2024-02-22T00:00:00"/>
    <x v="7"/>
    <s v="Thu"/>
    <s v="SLYCE PIZZA"/>
    <x v="3"/>
    <s v="Burgers, American, Fast Food"/>
    <x v="0"/>
    <s v="Veg"/>
    <n v="4"/>
    <n v="344"/>
    <n v="1376"/>
    <n v="4.0999999999999996"/>
    <n v="45"/>
    <n v="120"/>
    <n v="60"/>
    <x v="2"/>
    <n v="26"/>
    <s v="Male"/>
  </r>
  <r>
    <s v="SWG2707"/>
    <d v="2024-06-20T00:00:00"/>
    <x v="1"/>
    <s v="Thu"/>
    <s v="Hotel Sagar"/>
    <x v="33"/>
    <s v="Indian, Chinese"/>
    <x v="5"/>
    <s v="Veg"/>
    <n v="1"/>
    <n v="590"/>
    <n v="590"/>
    <n v="4.2"/>
    <n v="55"/>
    <m/>
    <n v="0"/>
    <x v="3"/>
    <n v="18"/>
    <s v="Male"/>
  </r>
  <r>
    <s v="SWG2708"/>
    <d v="2024-04-08T00:00:00"/>
    <x v="0"/>
    <s v="Mon"/>
    <s v="Lord Petrick"/>
    <x v="108"/>
    <s v="Burgers, Snacks, Italian, Desserts, Beverages"/>
    <x v="0"/>
    <s v="Veg"/>
    <n v="3"/>
    <n v="336"/>
    <n v="1008"/>
    <n v="4.3"/>
    <n v="51"/>
    <m/>
    <n v="0"/>
    <x v="1"/>
    <n v="23"/>
    <s v="Male"/>
  </r>
  <r>
    <s v="SWG2709"/>
    <d v="2024-03-26T00:00:00"/>
    <x v="3"/>
    <s v="Tue"/>
    <s v="Hotel Konkan Swad"/>
    <x v="32"/>
    <s v="North Indian, South Indian, Malwani, Chinese, Seafood"/>
    <x v="5"/>
    <s v="Veg"/>
    <n v="1"/>
    <n v="575"/>
    <n v="575"/>
    <n v="3.8"/>
    <n v="54"/>
    <m/>
    <n v="0"/>
    <x v="1"/>
    <n v="40"/>
    <s v="Female"/>
  </r>
  <r>
    <s v="SWG2710"/>
    <d v="2024-04-17T00:00:00"/>
    <x v="0"/>
    <s v="Wed"/>
    <s v="British Waffle Co."/>
    <x v="22"/>
    <s v="Desserts, Beverages"/>
    <x v="4"/>
    <s v="Veg"/>
    <n v="4"/>
    <n v="164"/>
    <n v="656"/>
    <n v="4.3"/>
    <n v="42"/>
    <n v="449"/>
    <n v="0"/>
    <x v="3"/>
    <n v="36"/>
    <s v="Male"/>
  </r>
  <r>
    <s v="SWG2711"/>
    <d v="2024-01-24T00:00:00"/>
    <x v="2"/>
    <s v="Wed"/>
    <s v="Rogan Tadka"/>
    <x v="24"/>
    <s v="North Indian, Chinese, Continental, Tandoor"/>
    <x v="5"/>
    <s v="Veg"/>
    <n v="1"/>
    <n v="333"/>
    <n v="333"/>
    <n v="4.0999999999999996"/>
    <n v="41"/>
    <m/>
    <n v="0"/>
    <x v="2"/>
    <n v="49"/>
    <s v="Female"/>
  </r>
  <r>
    <s v="SWG2712"/>
    <d v="2024-03-21T00:00:00"/>
    <x v="3"/>
    <s v="Thu"/>
    <s v="Udupi Express"/>
    <x v="5"/>
    <s v="Indian"/>
    <x v="5"/>
    <s v="Veg"/>
    <n v="4"/>
    <n v="178"/>
    <n v="712"/>
    <n v="4.4000000000000004"/>
    <n v="63"/>
    <m/>
    <n v="0"/>
    <x v="0"/>
    <n v="40"/>
    <s v="Female"/>
  </r>
  <r>
    <s v="SWG2713"/>
    <d v="2024-07-20T00:00:00"/>
    <x v="4"/>
    <s v="Sat"/>
    <s v="Prem's"/>
    <x v="4"/>
    <s v="North Indian, Chinese, Thai, Indian, Mughlai, Biryani"/>
    <x v="2"/>
    <s v="Non-Veg"/>
    <n v="1"/>
    <n v="251"/>
    <n v="251"/>
    <n v="4.4000000000000004"/>
    <n v="46"/>
    <m/>
    <n v="0"/>
    <x v="2"/>
    <n v="28"/>
    <s v="Male"/>
  </r>
  <r>
    <s v="SWG2714"/>
    <d v="2024-06-06T00:00:00"/>
    <x v="1"/>
    <s v="Thu"/>
    <s v="Fleur : The Fern Hotel"/>
    <x v="24"/>
    <s v="North Indian, Thai, Continental"/>
    <x v="5"/>
    <s v="Veg"/>
    <n v="3"/>
    <n v="223"/>
    <n v="669"/>
    <n v="4.4000000000000004"/>
    <n v="60"/>
    <m/>
    <n v="0"/>
    <x v="0"/>
    <n v="28"/>
    <s v="Male"/>
  </r>
  <r>
    <s v="SWG2715"/>
    <d v="2024-04-29T00:00:00"/>
    <x v="0"/>
    <s v="Mon"/>
    <s v="Simran Biryani Centre"/>
    <x v="87"/>
    <s v="Biryani"/>
    <x v="2"/>
    <s v="Non-Veg"/>
    <n v="3"/>
    <n v="314"/>
    <n v="942"/>
    <n v="3.6"/>
    <n v="35"/>
    <m/>
    <n v="0"/>
    <x v="3"/>
    <n v="40"/>
    <s v="Male"/>
  </r>
  <r>
    <s v="SWG2716"/>
    <d v="2024-02-28T00:00:00"/>
    <x v="7"/>
    <s v="Wed"/>
    <s v="Majestic Nx"/>
    <x v="3"/>
    <s v="Indian"/>
    <x v="5"/>
    <s v="Veg"/>
    <n v="1"/>
    <n v="532"/>
    <n v="532"/>
    <n v="4.5"/>
    <n v="56"/>
    <m/>
    <n v="0"/>
    <x v="3"/>
    <n v="49"/>
    <s v="Male"/>
  </r>
  <r>
    <s v="SWG2717"/>
    <d v="2024-08-25T00:00:00"/>
    <x v="6"/>
    <s v="Sun"/>
    <s v="City Star"/>
    <x v="24"/>
    <s v="North Indian, Chinese, Tandoor, Continental"/>
    <x v="5"/>
    <s v="Veg"/>
    <n v="1"/>
    <n v="276"/>
    <n v="276"/>
    <n v="4.2"/>
    <n v="45"/>
    <m/>
    <n v="0"/>
    <x v="1"/>
    <n v="47"/>
    <s v="Female"/>
  </r>
  <r>
    <s v="SWG2718"/>
    <d v="2024-08-02T00:00:00"/>
    <x v="6"/>
    <s v="Fri"/>
    <s v="Bansi Snacks"/>
    <x v="11"/>
    <s v="Snacks, Chaat"/>
    <x v="5"/>
    <s v="Veg"/>
    <n v="3"/>
    <n v="217"/>
    <n v="651"/>
    <n v="3.8"/>
    <n v="49"/>
    <m/>
    <n v="0"/>
    <x v="0"/>
    <n v="30"/>
    <s v="Male"/>
  </r>
  <r>
    <s v="SWG2719"/>
    <d v="2024-05-07T00:00:00"/>
    <x v="5"/>
    <s v="Tue"/>
    <s v="Mothers Touch Kathiyawadi"/>
    <x v="109"/>
    <s v="Indian, Sweets, Beverages"/>
    <x v="3"/>
    <s v="Veg"/>
    <n v="4"/>
    <n v="345"/>
    <n v="1380"/>
    <n v="4.0999999999999996"/>
    <n v="74"/>
    <n v="999"/>
    <n v="0"/>
    <x v="2"/>
    <n v="28"/>
    <s v="Female"/>
  </r>
  <r>
    <s v="SWG2720"/>
    <d v="2024-08-11T00:00:00"/>
    <x v="6"/>
    <s v="Sun"/>
    <s v="Sai Krupa"/>
    <x v="36"/>
    <s v="Tandoor, Chinese"/>
    <x v="5"/>
    <s v="Veg"/>
    <n v="3"/>
    <n v="531"/>
    <n v="1593"/>
    <n v="3.8"/>
    <n v="55"/>
    <n v="1000"/>
    <n v="10"/>
    <x v="3"/>
    <n v="35"/>
    <s v="Male"/>
  </r>
  <r>
    <s v="SWG2721"/>
    <d v="2024-07-27T00:00:00"/>
    <x v="4"/>
    <s v="Sat"/>
    <s v="Bite-Size"/>
    <x v="11"/>
    <s v="Salads, Healthy Food, Continental, Indian"/>
    <x v="5"/>
    <s v="Veg"/>
    <n v="4"/>
    <n v="324"/>
    <n v="1296"/>
    <n v="4.0999999999999996"/>
    <n v="49"/>
    <m/>
    <n v="0"/>
    <x v="2"/>
    <n v="40"/>
    <s v="Male"/>
  </r>
  <r>
    <s v="SWG2722"/>
    <d v="2024-04-23T00:00:00"/>
    <x v="0"/>
    <s v="Tue"/>
    <s v="Peppy Parathas &amp; Rolls By Chai Point"/>
    <x v="4"/>
    <s v="Bakery, Beverages, Maharashtrian, Snacks, Street Food, South Indian, Punjabi, Chaat, Indian, American, North Indian, Fast Food, Desserts, Cafe, Healthy Food, Home Food"/>
    <x v="4"/>
    <s v="Veg"/>
    <n v="1"/>
    <n v="198"/>
    <n v="198"/>
    <n v="4.2"/>
    <n v="54"/>
    <n v="80"/>
    <n v="40"/>
    <x v="1"/>
    <n v="32"/>
    <s v="Male"/>
  </r>
  <r>
    <s v="SWG2723"/>
    <d v="2024-04-24T00:00:00"/>
    <x v="0"/>
    <s v="Wed"/>
    <s v="Just Biryani"/>
    <x v="19"/>
    <s v="Biryani"/>
    <x v="2"/>
    <s v="Non-Veg"/>
    <n v="1"/>
    <n v="243"/>
    <n v="243"/>
    <n v="1.5"/>
    <n v="48"/>
    <m/>
    <n v="0"/>
    <x v="0"/>
    <n v="18"/>
    <s v="Male"/>
  </r>
  <r>
    <s v="SWG2724"/>
    <d v="2024-07-27T00:00:00"/>
    <x v="4"/>
    <s v="Sat"/>
    <s v="Kalinda"/>
    <x v="4"/>
    <s v="Indian, Chinese"/>
    <x v="5"/>
    <s v="Veg"/>
    <n v="4"/>
    <n v="590"/>
    <n v="2360"/>
    <n v="4"/>
    <n v="64"/>
    <m/>
    <n v="0"/>
    <x v="0"/>
    <n v="38"/>
    <s v="Female"/>
  </r>
  <r>
    <s v="SWG2725"/>
    <d v="2024-01-14T00:00:00"/>
    <x v="2"/>
    <s v="Sun"/>
    <s v="Bohoba"/>
    <x v="52"/>
    <s v="Italian, Pizzas, Mexican, Continental, European, Mediterranean, Desserts"/>
    <x v="1"/>
    <s v="Veg"/>
    <n v="1"/>
    <n v="547"/>
    <n v="547"/>
    <n v="5"/>
    <n v="60"/>
    <m/>
    <n v="0"/>
    <x v="3"/>
    <n v="42"/>
    <s v="Female"/>
  </r>
  <r>
    <s v="SWG2726"/>
    <d v="2024-01-09T00:00:00"/>
    <x v="2"/>
    <s v="Tue"/>
    <s v="Chunkys Cake Shops"/>
    <x v="4"/>
    <s v="Bakery"/>
    <x v="5"/>
    <s v="Veg"/>
    <n v="4"/>
    <n v="337"/>
    <n v="1348"/>
    <n v="4.0999999999999996"/>
    <n v="44"/>
    <m/>
    <n v="0"/>
    <x v="0"/>
    <n v="24"/>
    <s v="Male"/>
  </r>
  <r>
    <s v="SWG2727"/>
    <d v="2024-02-09T00:00:00"/>
    <x v="7"/>
    <s v="Fri"/>
    <s v="LAXMI SWEETS AND FARSAN"/>
    <x v="6"/>
    <s v="Sweets, Snacks"/>
    <x v="5"/>
    <s v="Veg"/>
    <n v="2"/>
    <n v="123"/>
    <n v="246"/>
    <n v="4.3"/>
    <n v="32"/>
    <m/>
    <n v="0"/>
    <x v="3"/>
    <n v="40"/>
    <s v="Female"/>
  </r>
  <r>
    <s v="SWG2728"/>
    <d v="2024-07-12T00:00:00"/>
    <x v="4"/>
    <s v="Fri"/>
    <s v="Grilled Chicken Company"/>
    <x v="11"/>
    <s v="Continental, Healthy Food, American"/>
    <x v="5"/>
    <s v="Veg"/>
    <n v="3"/>
    <n v="209"/>
    <n v="627"/>
    <n v="3.6"/>
    <n v="54"/>
    <m/>
    <n v="0"/>
    <x v="1"/>
    <n v="44"/>
    <s v="Female"/>
  </r>
  <r>
    <s v="SWG2729"/>
    <d v="2024-08-24T00:00:00"/>
    <x v="6"/>
    <s v="Sat"/>
    <s v="Aande Le Lo Cafe"/>
    <x v="11"/>
    <s v="French"/>
    <x v="5"/>
    <s v="Veg"/>
    <n v="2"/>
    <n v="223"/>
    <n v="446"/>
    <n v="4.7"/>
    <n v="67"/>
    <m/>
    <n v="0"/>
    <x v="0"/>
    <n v="30"/>
    <s v="Male"/>
  </r>
  <r>
    <s v="SWG2730"/>
    <d v="2024-01-25T00:00:00"/>
    <x v="2"/>
    <s v="Thu"/>
    <s v="Biryani By Kalinda"/>
    <x v="11"/>
    <s v="Biryani, Snacks"/>
    <x v="2"/>
    <s v="Non-Veg"/>
    <n v="4"/>
    <n v="512"/>
    <n v="2048"/>
    <n v="4.0999999999999996"/>
    <n v="58"/>
    <m/>
    <n v="0"/>
    <x v="3"/>
    <n v="29"/>
    <s v="Male"/>
  </r>
  <r>
    <s v="SWG2731"/>
    <d v="2024-04-12T00:00:00"/>
    <x v="0"/>
    <s v="Fri"/>
    <s v="Fill and Chill"/>
    <x v="4"/>
    <s v="Desserts"/>
    <x v="4"/>
    <s v="Veg"/>
    <n v="3"/>
    <n v="238"/>
    <n v="714"/>
    <n v="3.2"/>
    <n v="63"/>
    <m/>
    <n v="0"/>
    <x v="2"/>
    <n v="35"/>
    <s v="Female"/>
  </r>
  <r>
    <s v="SWG2732"/>
    <d v="2024-07-19T00:00:00"/>
    <x v="4"/>
    <s v="Fri"/>
    <s v="Sai Sannidhi Restaurant &amp; Bar"/>
    <x v="33"/>
    <s v="North Indian, Chinese, Seafood"/>
    <x v="5"/>
    <s v="Veg"/>
    <n v="4"/>
    <n v="252"/>
    <n v="1008"/>
    <n v="4"/>
    <n v="57"/>
    <m/>
    <n v="0"/>
    <x v="3"/>
    <n v="41"/>
    <s v="Female"/>
  </r>
  <r>
    <s v="SWG2733"/>
    <d v="2024-01-22T00:00:00"/>
    <x v="2"/>
    <s v="Mon"/>
    <s v="Chopstick house"/>
    <x v="36"/>
    <s v="Indian, Tandoor, Thalis"/>
    <x v="5"/>
    <s v="Veg"/>
    <n v="3"/>
    <n v="431"/>
    <n v="1293"/>
    <n v="3.3"/>
    <n v="66"/>
    <m/>
    <n v="0"/>
    <x v="0"/>
    <n v="36"/>
    <s v="Female"/>
  </r>
  <r>
    <s v="SWG2734"/>
    <d v="2024-08-22T00:00:00"/>
    <x v="6"/>
    <s v="Thu"/>
    <s v="Just Rice"/>
    <x v="4"/>
    <s v="Indian"/>
    <x v="5"/>
    <s v="Veg"/>
    <n v="3"/>
    <n v="215"/>
    <n v="645"/>
    <n v="3.9"/>
    <n v="74"/>
    <n v="150"/>
    <n v="30"/>
    <x v="1"/>
    <n v="32"/>
    <s v="Female"/>
  </r>
  <r>
    <s v="SWG2735"/>
    <d v="2024-08-25T00:00:00"/>
    <x v="6"/>
    <s v="Sun"/>
    <s v="Flags Ii"/>
    <x v="110"/>
    <s v="North Indian, Italian, Continental, Thai"/>
    <x v="5"/>
    <s v="Veg"/>
    <n v="3"/>
    <n v="587"/>
    <n v="1761"/>
    <n v="4.2"/>
    <n v="61"/>
    <n v="1500"/>
    <n v="10"/>
    <x v="0"/>
    <n v="25"/>
    <s v="Male"/>
  </r>
  <r>
    <s v="SWG2736"/>
    <d v="2024-01-04T00:00:00"/>
    <x v="2"/>
    <s v="Thu"/>
    <s v="2 Pai cakes"/>
    <x v="67"/>
    <s v="Bakery, Beverages"/>
    <x v="3"/>
    <s v="Veg"/>
    <n v="3"/>
    <n v="553"/>
    <n v="1659"/>
    <m/>
    <m/>
    <m/>
    <n v="0"/>
    <x v="0"/>
    <n v="36"/>
    <s v="Male"/>
  </r>
  <r>
    <s v="SWG2737"/>
    <d v="2024-06-02T00:00:00"/>
    <x v="1"/>
    <s v="Sun"/>
    <s v="Atharva's Cloud Kitchen"/>
    <x v="111"/>
    <s v="Chinese, South Indian, Fast Food, North Indian, Ice Cream, Beverages, Biryani, Arabian"/>
    <x v="2"/>
    <s v="Non-Veg"/>
    <n v="4"/>
    <n v="450"/>
    <n v="1800"/>
    <n v="3.7"/>
    <n v="68"/>
    <n v="599"/>
    <n v="0"/>
    <x v="3"/>
    <n v="27"/>
    <s v="Female"/>
  </r>
  <r>
    <s v="SWG2738"/>
    <d v="2024-07-04T00:00:00"/>
    <x v="4"/>
    <s v="Thu"/>
    <s v="Mannrangi"/>
    <x v="38"/>
    <s v="North Indian, Punjabi, Mughlai, Biryani, Kebabs, Goan"/>
    <x v="2"/>
    <s v="Non-Veg"/>
    <n v="3"/>
    <n v="262"/>
    <n v="786"/>
    <n v="4.4000000000000004"/>
    <n v="70"/>
    <m/>
    <n v="0"/>
    <x v="2"/>
    <n v="24"/>
    <s v="Male"/>
  </r>
  <r>
    <s v="SWG2739"/>
    <d v="2024-01-29T00:00:00"/>
    <x v="2"/>
    <s v="Mon"/>
    <s v="CST Delicious Food"/>
    <x v="3"/>
    <s v="Chinese, Indian, Mughlai, Tandoor"/>
    <x v="5"/>
    <s v="Veg"/>
    <n v="3"/>
    <n v="407"/>
    <n v="1221"/>
    <n v="3.9"/>
    <n v="72"/>
    <m/>
    <n v="0"/>
    <x v="0"/>
    <n v="35"/>
    <s v="Female"/>
  </r>
  <r>
    <s v="SWG2740"/>
    <d v="2024-04-18T00:00:00"/>
    <x v="0"/>
    <s v="Thu"/>
    <s v="Bamboos"/>
    <x v="11"/>
    <s v="Chinese, Snacks, North Indian, Desserts"/>
    <x v="4"/>
    <s v="Veg"/>
    <n v="2"/>
    <n v="147"/>
    <n v="294"/>
    <m/>
    <m/>
    <m/>
    <n v="0"/>
    <x v="2"/>
    <n v="33"/>
    <s v="Female"/>
  </r>
  <r>
    <s v="SWG2741"/>
    <d v="2024-04-07T00:00:00"/>
    <x v="0"/>
    <s v="Sun"/>
    <s v="Dil Se Dalia"/>
    <x v="4"/>
    <s v="Fast Food, North Indian"/>
    <x v="5"/>
    <s v="Veg"/>
    <n v="1"/>
    <n v="397"/>
    <n v="397"/>
    <n v="4.5"/>
    <n v="68"/>
    <n v="150"/>
    <n v="30"/>
    <x v="3"/>
    <n v="37"/>
    <s v="Male"/>
  </r>
  <r>
    <s v="SWG2742"/>
    <d v="2024-08-02T00:00:00"/>
    <x v="6"/>
    <s v="Fri"/>
    <s v="Warehouse Kitchen"/>
    <x v="4"/>
    <s v="North Indian, Continental, Fast Food, Italian, Desserts"/>
    <x v="4"/>
    <s v="Veg"/>
    <n v="1"/>
    <n v="352"/>
    <n v="352"/>
    <n v="4.3"/>
    <n v="57"/>
    <m/>
    <n v="0"/>
    <x v="2"/>
    <n v="44"/>
    <s v="Female"/>
  </r>
  <r>
    <s v="SWG2743"/>
    <d v="2024-02-06T00:00:00"/>
    <x v="7"/>
    <s v="Tue"/>
    <s v="China Castle"/>
    <x v="19"/>
    <s v="Chinese, North Indian"/>
    <x v="5"/>
    <s v="Veg"/>
    <n v="2"/>
    <n v="136"/>
    <n v="272"/>
    <n v="3.7"/>
    <n v="71"/>
    <m/>
    <n v="0"/>
    <x v="3"/>
    <n v="23"/>
    <s v="Female"/>
  </r>
  <r>
    <s v="SWG2744"/>
    <d v="2024-03-15T00:00:00"/>
    <x v="3"/>
    <s v="Fri"/>
    <s v="Allspice"/>
    <x v="5"/>
    <s v="North Indian, Chinese, Biryani, Tandoor"/>
    <x v="2"/>
    <s v="Non-Veg"/>
    <n v="2"/>
    <n v="178"/>
    <n v="356"/>
    <n v="3.8"/>
    <n v="48"/>
    <n v="700"/>
    <n v="20"/>
    <x v="1"/>
    <n v="44"/>
    <s v="Male"/>
  </r>
  <r>
    <s v="SWG2745"/>
    <d v="2024-03-10T00:00:00"/>
    <x v="3"/>
    <s v="Sun"/>
    <s v="Poddar Cuisine"/>
    <x v="11"/>
    <s v="Chinese, Biryani, Beverages"/>
    <x v="2"/>
    <s v="Non-Veg"/>
    <n v="4"/>
    <n v="209"/>
    <n v="836"/>
    <n v="4.5999999999999996"/>
    <n v="52"/>
    <m/>
    <n v="0"/>
    <x v="2"/>
    <n v="26"/>
    <s v="Male"/>
  </r>
  <r>
    <s v="SWG2746"/>
    <d v="2024-05-25T00:00:00"/>
    <x v="5"/>
    <s v="Sat"/>
    <s v="JUG's Kitchen"/>
    <x v="24"/>
    <s v="Indian, Lebanese, Mughlai, Chinese"/>
    <x v="5"/>
    <s v="Veg"/>
    <n v="4"/>
    <n v="318"/>
    <n v="1272"/>
    <n v="4"/>
    <n v="48"/>
    <n v="999"/>
    <n v="0"/>
    <x v="2"/>
    <n v="38"/>
    <s v="Female"/>
  </r>
  <r>
    <s v="SWG2747"/>
    <d v="2024-05-07T00:00:00"/>
    <x v="5"/>
    <s v="Tue"/>
    <s v="Choco Magic Patisserie &amp; Confectioners Studio"/>
    <x v="4"/>
    <s v="Desserts, Beverages"/>
    <x v="4"/>
    <s v="Veg"/>
    <n v="4"/>
    <n v="481"/>
    <n v="1924"/>
    <n v="4.0999999999999996"/>
    <n v="43"/>
    <m/>
    <n v="0"/>
    <x v="1"/>
    <n v="30"/>
    <s v="Female"/>
  </r>
  <r>
    <s v="SWG2748"/>
    <d v="2024-03-25T00:00:00"/>
    <x v="3"/>
    <s v="Mon"/>
    <s v="Yogita Restaurant"/>
    <x v="11"/>
    <s v="Indian, Chinese, Tandoor, Seafood"/>
    <x v="5"/>
    <s v="Veg"/>
    <n v="2"/>
    <n v="560"/>
    <n v="1120"/>
    <n v="3.9"/>
    <n v="58"/>
    <m/>
    <n v="0"/>
    <x v="2"/>
    <n v="42"/>
    <s v="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99CAF-0DD7-4132-9620-D40324B675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2" firstHeaderRow="1" firstDataRow="1" firstDataCol="1"/>
  <pivotFields count="19">
    <pivotField showAll="0"/>
    <pivotField numFmtId="164" showAll="0"/>
    <pivotField axis="axisRow" showAll="0">
      <items count="9">
        <item x="2"/>
        <item x="7"/>
        <item x="3"/>
        <item x="0"/>
        <item x="5"/>
        <item x="1"/>
        <item x="4"/>
        <item x="6"/>
        <item t="default"/>
      </items>
    </pivotField>
    <pivotField showAll="0"/>
    <pivotField showAll="0"/>
    <pivotField showAll="0">
      <items count="113">
        <item x="97"/>
        <item x="37"/>
        <item x="12"/>
        <item x="44"/>
        <item x="91"/>
        <item x="64"/>
        <item x="93"/>
        <item x="26"/>
        <item x="46"/>
        <item x="43"/>
        <item x="95"/>
        <item x="55"/>
        <item x="20"/>
        <item x="79"/>
        <item x="86"/>
        <item x="69"/>
        <item x="7"/>
        <item x="8"/>
        <item x="3"/>
        <item x="87"/>
        <item x="31"/>
        <item x="56"/>
        <item x="32"/>
        <item x="110"/>
        <item x="63"/>
        <item x="96"/>
        <item x="77"/>
        <item x="29"/>
        <item x="100"/>
        <item x="6"/>
        <item x="74"/>
        <item x="41"/>
        <item x="49"/>
        <item x="109"/>
        <item x="82"/>
        <item x="18"/>
        <item x="102"/>
        <item x="104"/>
        <item x="73"/>
        <item x="39"/>
        <item x="57"/>
        <item x="40"/>
        <item x="76"/>
        <item x="80"/>
        <item x="98"/>
        <item x="78"/>
        <item x="68"/>
        <item x="83"/>
        <item x="23"/>
        <item x="36"/>
        <item x="24"/>
        <item x="38"/>
        <item x="58"/>
        <item x="25"/>
        <item x="34"/>
        <item x="45"/>
        <item x="19"/>
        <item x="90"/>
        <item x="67"/>
        <item x="54"/>
        <item x="16"/>
        <item x="81"/>
        <item x="50"/>
        <item x="106"/>
        <item x="72"/>
        <item x="0"/>
        <item x="84"/>
        <item x="71"/>
        <item x="51"/>
        <item x="89"/>
        <item x="5"/>
        <item x="75"/>
        <item x="88"/>
        <item x="21"/>
        <item x="108"/>
        <item x="94"/>
        <item x="27"/>
        <item x="47"/>
        <item x="99"/>
        <item x="52"/>
        <item x="28"/>
        <item x="22"/>
        <item x="2"/>
        <item x="11"/>
        <item x="4"/>
        <item x="65"/>
        <item x="85"/>
        <item x="66"/>
        <item x="33"/>
        <item x="53"/>
        <item x="9"/>
        <item x="103"/>
        <item x="30"/>
        <item x="62"/>
        <item x="13"/>
        <item x="105"/>
        <item x="101"/>
        <item x="48"/>
        <item x="59"/>
        <item x="70"/>
        <item x="42"/>
        <item x="35"/>
        <item x="111"/>
        <item x="17"/>
        <item x="1"/>
        <item x="10"/>
        <item x="15"/>
        <item x="92"/>
        <item x="61"/>
        <item x="14"/>
        <item x="107"/>
        <item x="60"/>
        <item t="default"/>
      </items>
    </pivotField>
    <pivotField showAll="0"/>
    <pivotField showAll="0">
      <items count="7">
        <item x="3"/>
        <item x="2"/>
        <item x="0"/>
        <item x="4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B3CA4-C707-453D-ABFF-B0FE327A56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9">
    <pivotField showAll="0"/>
    <pivotField numFmtId="164" showAll="0"/>
    <pivotField showAll="0">
      <items count="9">
        <item x="2"/>
        <item x="7"/>
        <item x="3"/>
        <item x="0"/>
        <item x="5"/>
        <item x="1"/>
        <item x="4"/>
        <item x="6"/>
        <item t="default"/>
      </items>
    </pivotField>
    <pivotField showAll="0"/>
    <pivotField showAll="0"/>
    <pivotField showAll="0">
      <items count="113">
        <item x="97"/>
        <item x="37"/>
        <item x="12"/>
        <item x="44"/>
        <item x="91"/>
        <item x="64"/>
        <item x="93"/>
        <item x="26"/>
        <item x="46"/>
        <item x="43"/>
        <item x="95"/>
        <item x="55"/>
        <item x="20"/>
        <item x="79"/>
        <item x="86"/>
        <item x="69"/>
        <item x="7"/>
        <item x="8"/>
        <item x="3"/>
        <item x="87"/>
        <item x="31"/>
        <item x="56"/>
        <item x="32"/>
        <item x="110"/>
        <item x="63"/>
        <item x="96"/>
        <item x="77"/>
        <item x="29"/>
        <item x="100"/>
        <item x="6"/>
        <item x="74"/>
        <item x="41"/>
        <item x="49"/>
        <item x="109"/>
        <item x="82"/>
        <item x="18"/>
        <item x="102"/>
        <item x="104"/>
        <item x="73"/>
        <item x="39"/>
        <item x="57"/>
        <item x="40"/>
        <item x="76"/>
        <item x="80"/>
        <item x="98"/>
        <item x="78"/>
        <item x="68"/>
        <item x="83"/>
        <item x="23"/>
        <item x="36"/>
        <item x="24"/>
        <item x="38"/>
        <item x="58"/>
        <item x="25"/>
        <item x="34"/>
        <item x="45"/>
        <item x="19"/>
        <item x="90"/>
        <item x="67"/>
        <item x="54"/>
        <item x="16"/>
        <item x="81"/>
        <item x="50"/>
        <item x="106"/>
        <item x="72"/>
        <item x="0"/>
        <item x="84"/>
        <item x="71"/>
        <item x="51"/>
        <item x="89"/>
        <item x="5"/>
        <item x="75"/>
        <item x="88"/>
        <item x="21"/>
        <item x="108"/>
        <item x="94"/>
        <item x="27"/>
        <item x="47"/>
        <item x="99"/>
        <item x="52"/>
        <item x="28"/>
        <item x="22"/>
        <item x="2"/>
        <item x="11"/>
        <item x="4"/>
        <item x="65"/>
        <item x="85"/>
        <item x="66"/>
        <item x="33"/>
        <item x="53"/>
        <item x="9"/>
        <item x="103"/>
        <item x="30"/>
        <item x="62"/>
        <item x="13"/>
        <item x="105"/>
        <item x="101"/>
        <item x="48"/>
        <item x="59"/>
        <item x="70"/>
        <item x="42"/>
        <item x="35"/>
        <item x="111"/>
        <item x="17"/>
        <item x="1"/>
        <item x="10"/>
        <item x="15"/>
        <item x="92"/>
        <item x="61"/>
        <item x="14"/>
        <item x="107"/>
        <item x="60"/>
        <item t="default"/>
      </items>
    </pivotField>
    <pivotField showAll="0"/>
    <pivotField axis="axisRow" showAll="0">
      <items count="7">
        <item x="3"/>
        <item x="2"/>
        <item x="0"/>
        <item x="4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1323C-7A2B-49A4-BB6F-78174EF14A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9">
    <pivotField showAll="0"/>
    <pivotField numFmtId="164" showAll="0"/>
    <pivotField showAll="0">
      <items count="9">
        <item x="2"/>
        <item x="7"/>
        <item x="3"/>
        <item x="0"/>
        <item x="5"/>
        <item x="1"/>
        <item x="4"/>
        <item x="6"/>
        <item t="default"/>
      </items>
    </pivotField>
    <pivotField showAll="0"/>
    <pivotField showAll="0"/>
    <pivotField axis="axisRow" showAll="0" measureFilter="1" sortType="descending">
      <items count="113">
        <item x="97"/>
        <item x="37"/>
        <item x="12"/>
        <item x="44"/>
        <item x="91"/>
        <item x="64"/>
        <item x="93"/>
        <item x="26"/>
        <item x="46"/>
        <item x="43"/>
        <item x="95"/>
        <item x="55"/>
        <item x="20"/>
        <item x="79"/>
        <item x="86"/>
        <item x="69"/>
        <item x="7"/>
        <item x="8"/>
        <item x="3"/>
        <item x="87"/>
        <item x="31"/>
        <item x="56"/>
        <item x="32"/>
        <item x="110"/>
        <item x="63"/>
        <item x="96"/>
        <item x="77"/>
        <item x="29"/>
        <item x="100"/>
        <item x="6"/>
        <item x="74"/>
        <item x="41"/>
        <item x="49"/>
        <item x="109"/>
        <item x="82"/>
        <item x="18"/>
        <item x="102"/>
        <item x="104"/>
        <item x="73"/>
        <item x="39"/>
        <item x="57"/>
        <item x="40"/>
        <item x="76"/>
        <item x="80"/>
        <item x="98"/>
        <item x="78"/>
        <item x="68"/>
        <item x="83"/>
        <item x="23"/>
        <item x="36"/>
        <item x="24"/>
        <item x="38"/>
        <item x="58"/>
        <item x="25"/>
        <item x="34"/>
        <item x="45"/>
        <item x="19"/>
        <item x="90"/>
        <item x="67"/>
        <item x="54"/>
        <item x="16"/>
        <item x="81"/>
        <item x="50"/>
        <item x="106"/>
        <item x="72"/>
        <item x="0"/>
        <item x="84"/>
        <item x="71"/>
        <item x="51"/>
        <item x="89"/>
        <item x="5"/>
        <item x="75"/>
        <item x="88"/>
        <item x="21"/>
        <item x="108"/>
        <item x="94"/>
        <item x="27"/>
        <item x="47"/>
        <item x="99"/>
        <item x="52"/>
        <item x="28"/>
        <item x="22"/>
        <item x="2"/>
        <item x="11"/>
        <item x="4"/>
        <item x="65"/>
        <item x="85"/>
        <item x="66"/>
        <item x="33"/>
        <item x="53"/>
        <item x="9"/>
        <item x="103"/>
        <item x="30"/>
        <item x="62"/>
        <item x="13"/>
        <item x="105"/>
        <item x="101"/>
        <item x="48"/>
        <item x="59"/>
        <item x="70"/>
        <item x="42"/>
        <item x="35"/>
        <item x="111"/>
        <item x="17"/>
        <item x="1"/>
        <item x="10"/>
        <item x="15"/>
        <item x="92"/>
        <item x="61"/>
        <item x="14"/>
        <item x="107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3"/>
        <item x="2"/>
        <item x="0"/>
        <item x="4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5"/>
  </rowFields>
  <rowItems count="6">
    <i>
      <x v="16"/>
    </i>
    <i>
      <x v="83"/>
    </i>
    <i>
      <x v="82"/>
    </i>
    <i>
      <x v="84"/>
    </i>
    <i>
      <x v="65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2CC1D-2B49-415E-A536-B1627CD07C08}" name="Swiggy_Data" displayName="Swiggy_Data" ref="A1:S1750" totalsRowShown="0" headerRowDxfId="1">
  <autoFilter ref="A1:S1750" xr:uid="{FEA2CC1D-2B49-415E-A536-B1627CD07C08}"/>
  <tableColumns count="19">
    <tableColumn id="1" xr3:uid="{E51FAE41-B5A2-4366-9DDE-39DA6D4FC315}" name="order_id"/>
    <tableColumn id="2" xr3:uid="{0D972173-902D-4E34-95F8-1384CDF65D6E}" name="order_date" dataDxfId="0"/>
    <tableColumn id="3" xr3:uid="{F81CAB06-13BE-4447-B0F8-44E08D44EDE4}" name="month"/>
    <tableColumn id="4" xr3:uid="{950BD12B-272E-4076-ADC1-7860E78CE1A3}" name="day_name"/>
    <tableColumn id="5" xr3:uid="{AE6F571C-8C3D-4230-9E7D-0F9ECED81A2F}" name="restaurant_name"/>
    <tableColumn id="6" xr3:uid="{FFB98DE7-E9D0-4391-A891-2B9655876F1D}" name="city"/>
    <tableColumn id="7" xr3:uid="{D8556549-BABF-4DC3-8562-4E43EDA7A591}" name="food_type"/>
    <tableColumn id="8" xr3:uid="{04943BAC-68BD-4A42-AE73-B6D9B5828A2B}" name="food_category"/>
    <tableColumn id="9" xr3:uid="{EFBFF892-812C-4368-8869-86172E7B4D63}" name="veg_nonveg"/>
    <tableColumn id="10" xr3:uid="{B0287257-BCD5-46B0-ACB0-5ACFD3DC3B52}" name="quantity"/>
    <tableColumn id="11" xr3:uid="{D879922F-5FE0-43AA-8D7F-520C058173DF}" name="price"/>
    <tableColumn id="12" xr3:uid="{C6040449-5254-4BCE-9FA7-14525B2CF0C6}" name="sales"/>
    <tableColumn id="13" xr3:uid="{018D2EFB-171F-43A1-BEE9-C8FD836FBA63}" name="rating"/>
    <tableColumn id="14" xr3:uid="{2F3C3F70-2074-411E-B1A1-6EAF0593659B}" name="time_minutes"/>
    <tableColumn id="15" xr3:uid="{BB16B798-0BEF-4CCE-BAFB-6A3F3D82D110}" name="offer_above"/>
    <tableColumn id="16" xr3:uid="{69CC088C-2575-4C21-8B00-54AFE3923E2C}" name="offer_percentage"/>
    <tableColumn id="17" xr3:uid="{FA5FB803-1C45-490C-B778-E0DA83A1B909}" name="payment_mode"/>
    <tableColumn id="18" xr3:uid="{0DF7880E-6CE3-4A1D-B305-8CE928C4A27D}" name="customer_age"/>
    <tableColumn id="19" xr3:uid="{2F140864-E0D4-439D-B078-A192E8207B33}" name="customer_gen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BBBA-6B43-4C51-A1A0-2BB1FDBD0C18}">
  <dimension ref="A3:B12"/>
  <sheetViews>
    <sheetView workbookViewId="0">
      <selection activeCell="O20" sqref="O20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3" t="s">
        <v>4665</v>
      </c>
      <c r="B3" t="s">
        <v>4667</v>
      </c>
    </row>
    <row r="4" spans="1:2" x14ac:dyDescent="0.3">
      <c r="A4" s="4" t="s">
        <v>43</v>
      </c>
      <c r="B4" s="5">
        <v>184910</v>
      </c>
    </row>
    <row r="5" spans="1:2" x14ac:dyDescent="0.3">
      <c r="A5" s="4" t="s">
        <v>113</v>
      </c>
      <c r="B5" s="5">
        <v>193943</v>
      </c>
    </row>
    <row r="6" spans="1:2" x14ac:dyDescent="0.3">
      <c r="A6" s="4" t="s">
        <v>55</v>
      </c>
      <c r="B6" s="5">
        <v>178204</v>
      </c>
    </row>
    <row r="7" spans="1:2" x14ac:dyDescent="0.3">
      <c r="A7" s="4" t="s">
        <v>20</v>
      </c>
      <c r="B7" s="5">
        <v>203136</v>
      </c>
    </row>
    <row r="8" spans="1:2" x14ac:dyDescent="0.3">
      <c r="A8" s="4" t="s">
        <v>71</v>
      </c>
      <c r="B8" s="5">
        <v>215765</v>
      </c>
    </row>
    <row r="9" spans="1:2" x14ac:dyDescent="0.3">
      <c r="A9" s="4" t="s">
        <v>30</v>
      </c>
      <c r="B9" s="5">
        <v>189530</v>
      </c>
    </row>
    <row r="10" spans="1:2" x14ac:dyDescent="0.3">
      <c r="A10" s="4" t="s">
        <v>59</v>
      </c>
      <c r="B10" s="5">
        <v>181690</v>
      </c>
    </row>
    <row r="11" spans="1:2" x14ac:dyDescent="0.3">
      <c r="A11" s="4" t="s">
        <v>82</v>
      </c>
      <c r="B11" s="5">
        <v>191210</v>
      </c>
    </row>
    <row r="12" spans="1:2" x14ac:dyDescent="0.3">
      <c r="A12" s="4" t="s">
        <v>4666</v>
      </c>
      <c r="B12" s="5">
        <v>1538388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77FD-EC1B-468C-B3FF-FB1AF64B98C0}">
  <dimension ref="A3:B10"/>
  <sheetViews>
    <sheetView tabSelected="1" topLeftCell="P32" zoomScale="172" zoomScaleNormal="57" workbookViewId="0">
      <selection activeCell="S30" sqref="S30"/>
    </sheetView>
  </sheetViews>
  <sheetFormatPr defaultRowHeight="14.4" x14ac:dyDescent="0.3"/>
  <cols>
    <col min="1" max="1" width="17.88671875" bestFit="1" customWidth="1"/>
    <col min="2" max="2" width="15.33203125" bestFit="1" customWidth="1"/>
  </cols>
  <sheetData>
    <row r="3" spans="1:2" x14ac:dyDescent="0.3">
      <c r="A3" s="3" t="s">
        <v>4665</v>
      </c>
      <c r="B3" t="s">
        <v>4667</v>
      </c>
    </row>
    <row r="4" spans="1:2" x14ac:dyDescent="0.3">
      <c r="A4" s="4" t="s">
        <v>53</v>
      </c>
      <c r="B4" s="9">
        <v>158550</v>
      </c>
    </row>
    <row r="5" spans="1:2" x14ac:dyDescent="0.3">
      <c r="A5" s="4" t="s">
        <v>48</v>
      </c>
      <c r="B5" s="9">
        <v>180927</v>
      </c>
    </row>
    <row r="6" spans="1:2" x14ac:dyDescent="0.3">
      <c r="A6" s="4" t="s">
        <v>25</v>
      </c>
      <c r="B6" s="9">
        <v>44539</v>
      </c>
    </row>
    <row r="7" spans="1:2" x14ac:dyDescent="0.3">
      <c r="A7" s="4" t="s">
        <v>64</v>
      </c>
      <c r="B7" s="9">
        <v>266150</v>
      </c>
    </row>
    <row r="8" spans="1:2" x14ac:dyDescent="0.3">
      <c r="A8" s="4" t="s">
        <v>80</v>
      </c>
      <c r="B8" s="9">
        <v>740293</v>
      </c>
    </row>
    <row r="9" spans="1:2" x14ac:dyDescent="0.3">
      <c r="A9" s="4" t="s">
        <v>40</v>
      </c>
      <c r="B9" s="9">
        <v>147929</v>
      </c>
    </row>
    <row r="10" spans="1:2" x14ac:dyDescent="0.3">
      <c r="A10" s="4" t="s">
        <v>4666</v>
      </c>
      <c r="B10" s="9">
        <v>1538388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60F7-DBC0-45DB-B133-A9CC9E0EF0FB}">
  <dimension ref="A3:B9"/>
  <sheetViews>
    <sheetView workbookViewId="0">
      <selection activeCell="O13" sqref="O13"/>
    </sheetView>
  </sheetViews>
  <sheetFormatPr defaultRowHeight="14.4" x14ac:dyDescent="0.3"/>
  <cols>
    <col min="1" max="1" width="14.33203125" bestFit="1" customWidth="1"/>
    <col min="2" max="2" width="11.44140625" bestFit="1" customWidth="1"/>
  </cols>
  <sheetData>
    <row r="3" spans="1:2" x14ac:dyDescent="0.3">
      <c r="A3" s="3" t="s">
        <v>4665</v>
      </c>
      <c r="B3" t="s">
        <v>4667</v>
      </c>
    </row>
    <row r="4" spans="1:2" x14ac:dyDescent="0.3">
      <c r="A4" s="4" t="s">
        <v>115</v>
      </c>
      <c r="B4" s="9">
        <v>273587</v>
      </c>
    </row>
    <row r="5" spans="1:2" x14ac:dyDescent="0.3">
      <c r="A5" s="4" t="s">
        <v>192</v>
      </c>
      <c r="B5" s="9">
        <v>179370</v>
      </c>
    </row>
    <row r="6" spans="1:2" x14ac:dyDescent="0.3">
      <c r="A6" s="4" t="s">
        <v>46</v>
      </c>
      <c r="B6" s="9">
        <v>174072</v>
      </c>
    </row>
    <row r="7" spans="1:2" x14ac:dyDescent="0.3">
      <c r="A7" s="4" t="s">
        <v>78</v>
      </c>
      <c r="B7" s="9">
        <v>148015</v>
      </c>
    </row>
    <row r="8" spans="1:2" x14ac:dyDescent="0.3">
      <c r="A8" s="4" t="s">
        <v>23</v>
      </c>
      <c r="B8" s="9">
        <v>127228</v>
      </c>
    </row>
    <row r="9" spans="1:2" x14ac:dyDescent="0.3">
      <c r="A9" s="4" t="s">
        <v>4666</v>
      </c>
      <c r="B9" s="9">
        <v>902272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0"/>
  <sheetViews>
    <sheetView topLeftCell="A2" workbookViewId="0">
      <selection activeCell="B2" sqref="B2"/>
    </sheetView>
  </sheetViews>
  <sheetFormatPr defaultRowHeight="14.4" x14ac:dyDescent="0.3"/>
  <cols>
    <col min="1" max="1" width="10" customWidth="1"/>
    <col min="2" max="2" width="16.5546875" customWidth="1"/>
    <col min="4" max="4" width="11.77734375" customWidth="1"/>
    <col min="5" max="5" width="17.33203125" customWidth="1"/>
    <col min="7" max="7" width="11.6640625" customWidth="1"/>
    <col min="8" max="8" width="15.21875" customWidth="1"/>
    <col min="9" max="9" width="13.21875" customWidth="1"/>
    <col min="10" max="10" width="10" customWidth="1"/>
    <col min="14" max="14" width="14.44140625" customWidth="1"/>
    <col min="15" max="15" width="13.21875" customWidth="1"/>
    <col min="16" max="16" width="17.44140625" customWidth="1"/>
    <col min="17" max="17" width="16.33203125" customWidth="1"/>
    <col min="18" max="18" width="14.77734375" customWidth="1"/>
    <col min="19" max="19" width="17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45394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2</v>
      </c>
      <c r="K2">
        <v>157</v>
      </c>
      <c r="L2">
        <v>314</v>
      </c>
      <c r="M2">
        <v>4.5</v>
      </c>
      <c r="N2">
        <v>27</v>
      </c>
      <c r="O2">
        <v>75</v>
      </c>
      <c r="P2">
        <v>30</v>
      </c>
      <c r="Q2" t="s">
        <v>27</v>
      </c>
      <c r="R2">
        <v>22</v>
      </c>
      <c r="S2" t="s">
        <v>28</v>
      </c>
    </row>
    <row r="3" spans="1:19" x14ac:dyDescent="0.3">
      <c r="A3" t="s">
        <v>29</v>
      </c>
      <c r="B3" s="2">
        <v>45471</v>
      </c>
      <c r="C3" t="s">
        <v>30</v>
      </c>
      <c r="D3" t="s">
        <v>21</v>
      </c>
      <c r="E3" t="s">
        <v>31</v>
      </c>
      <c r="F3" t="s">
        <v>23</v>
      </c>
      <c r="G3" t="s">
        <v>32</v>
      </c>
      <c r="H3" t="s">
        <v>25</v>
      </c>
      <c r="I3" t="s">
        <v>33</v>
      </c>
      <c r="J3">
        <v>4</v>
      </c>
      <c r="K3">
        <v>230</v>
      </c>
      <c r="L3">
        <v>920</v>
      </c>
      <c r="M3">
        <v>4.2</v>
      </c>
      <c r="N3">
        <v>30</v>
      </c>
      <c r="O3">
        <v>80</v>
      </c>
      <c r="P3">
        <v>40</v>
      </c>
      <c r="Q3" t="s">
        <v>34</v>
      </c>
      <c r="R3">
        <v>47</v>
      </c>
      <c r="S3" t="s">
        <v>28</v>
      </c>
    </row>
    <row r="4" spans="1:19" x14ac:dyDescent="0.3">
      <c r="A4" t="s">
        <v>35</v>
      </c>
      <c r="B4" s="2">
        <v>45384</v>
      </c>
      <c r="C4" t="s">
        <v>20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26</v>
      </c>
      <c r="J4">
        <v>1</v>
      </c>
      <c r="K4">
        <v>599</v>
      </c>
      <c r="L4">
        <v>599</v>
      </c>
      <c r="M4">
        <v>4.3</v>
      </c>
      <c r="N4">
        <v>25</v>
      </c>
      <c r="O4">
        <v>299</v>
      </c>
      <c r="P4">
        <v>0</v>
      </c>
      <c r="Q4" t="s">
        <v>27</v>
      </c>
      <c r="R4">
        <v>37</v>
      </c>
      <c r="S4" t="s">
        <v>41</v>
      </c>
    </row>
    <row r="5" spans="1:19" x14ac:dyDescent="0.3">
      <c r="A5" t="s">
        <v>42</v>
      </c>
      <c r="B5" s="2">
        <v>45306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33</v>
      </c>
      <c r="J5">
        <v>2</v>
      </c>
      <c r="K5">
        <v>487</v>
      </c>
      <c r="L5">
        <v>974</v>
      </c>
      <c r="M5">
        <v>4.3</v>
      </c>
      <c r="N5">
        <v>24</v>
      </c>
      <c r="O5">
        <v>100</v>
      </c>
      <c r="P5">
        <v>50</v>
      </c>
      <c r="Q5" t="s">
        <v>49</v>
      </c>
      <c r="R5">
        <v>42</v>
      </c>
      <c r="S5" t="s">
        <v>41</v>
      </c>
    </row>
    <row r="6" spans="1:19" x14ac:dyDescent="0.3">
      <c r="A6" t="s">
        <v>50</v>
      </c>
      <c r="B6" s="2">
        <v>45398</v>
      </c>
      <c r="C6" t="s">
        <v>20</v>
      </c>
      <c r="D6" t="s">
        <v>36</v>
      </c>
      <c r="E6" t="s">
        <v>51</v>
      </c>
      <c r="F6" t="s">
        <v>23</v>
      </c>
      <c r="G6" t="s">
        <v>52</v>
      </c>
      <c r="H6" t="s">
        <v>53</v>
      </c>
      <c r="I6" t="s">
        <v>26</v>
      </c>
      <c r="J6">
        <v>2</v>
      </c>
      <c r="K6">
        <v>339</v>
      </c>
      <c r="L6">
        <v>678</v>
      </c>
      <c r="M6">
        <v>4.5999999999999996</v>
      </c>
      <c r="N6">
        <v>22</v>
      </c>
      <c r="O6">
        <v>120</v>
      </c>
      <c r="P6">
        <v>60</v>
      </c>
      <c r="Q6" t="s">
        <v>34</v>
      </c>
      <c r="R6">
        <v>48</v>
      </c>
      <c r="S6" t="s">
        <v>41</v>
      </c>
    </row>
    <row r="7" spans="1:19" x14ac:dyDescent="0.3">
      <c r="A7" t="s">
        <v>54</v>
      </c>
      <c r="B7" s="2">
        <v>45363</v>
      </c>
      <c r="C7" t="s">
        <v>55</v>
      </c>
      <c r="D7" t="s">
        <v>36</v>
      </c>
      <c r="E7" t="s">
        <v>56</v>
      </c>
      <c r="F7" t="s">
        <v>23</v>
      </c>
      <c r="G7" t="s">
        <v>57</v>
      </c>
      <c r="H7" t="s">
        <v>40</v>
      </c>
      <c r="I7" t="s">
        <v>26</v>
      </c>
      <c r="J7">
        <v>1</v>
      </c>
      <c r="K7">
        <v>456</v>
      </c>
      <c r="L7">
        <v>456</v>
      </c>
      <c r="M7">
        <v>3.8</v>
      </c>
      <c r="N7">
        <v>32</v>
      </c>
      <c r="O7">
        <v>120</v>
      </c>
      <c r="P7">
        <v>60</v>
      </c>
      <c r="Q7" t="s">
        <v>49</v>
      </c>
      <c r="R7">
        <v>26</v>
      </c>
      <c r="S7" t="s">
        <v>28</v>
      </c>
    </row>
    <row r="8" spans="1:19" x14ac:dyDescent="0.3">
      <c r="A8" t="s">
        <v>58</v>
      </c>
      <c r="B8" s="2">
        <v>45480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26</v>
      </c>
      <c r="J8">
        <v>1</v>
      </c>
      <c r="K8">
        <v>342</v>
      </c>
      <c r="L8">
        <v>342</v>
      </c>
      <c r="M8">
        <v>4.4000000000000004</v>
      </c>
      <c r="N8">
        <v>24</v>
      </c>
      <c r="O8">
        <v>150</v>
      </c>
      <c r="P8">
        <v>60</v>
      </c>
      <c r="Q8" t="s">
        <v>49</v>
      </c>
      <c r="R8">
        <v>48</v>
      </c>
      <c r="S8" t="s">
        <v>28</v>
      </c>
    </row>
    <row r="9" spans="1:19" x14ac:dyDescent="0.3">
      <c r="A9" t="s">
        <v>65</v>
      </c>
      <c r="B9" s="2">
        <v>45312</v>
      </c>
      <c r="C9" t="s">
        <v>43</v>
      </c>
      <c r="D9" t="s">
        <v>60</v>
      </c>
      <c r="E9" t="s">
        <v>66</v>
      </c>
      <c r="F9" t="s">
        <v>23</v>
      </c>
      <c r="G9" t="s">
        <v>64</v>
      </c>
      <c r="H9" t="s">
        <v>64</v>
      </c>
      <c r="I9" t="s">
        <v>26</v>
      </c>
      <c r="J9">
        <v>1</v>
      </c>
      <c r="K9">
        <v>255</v>
      </c>
      <c r="L9">
        <v>255</v>
      </c>
      <c r="M9">
        <v>4.5</v>
      </c>
      <c r="N9">
        <v>14</v>
      </c>
      <c r="P9">
        <v>0</v>
      </c>
      <c r="Q9" t="s">
        <v>34</v>
      </c>
      <c r="R9">
        <v>47</v>
      </c>
      <c r="S9" t="s">
        <v>28</v>
      </c>
    </row>
    <row r="10" spans="1:19" x14ac:dyDescent="0.3">
      <c r="A10" t="s">
        <v>67</v>
      </c>
      <c r="B10" s="2">
        <v>45394</v>
      </c>
      <c r="C10" t="s">
        <v>20</v>
      </c>
      <c r="D10" t="s">
        <v>21</v>
      </c>
      <c r="E10" t="s">
        <v>68</v>
      </c>
      <c r="F10" t="s">
        <v>23</v>
      </c>
      <c r="G10" t="s">
        <v>69</v>
      </c>
      <c r="H10" t="s">
        <v>48</v>
      </c>
      <c r="I10" t="s">
        <v>33</v>
      </c>
      <c r="J10">
        <v>2</v>
      </c>
      <c r="K10">
        <v>375</v>
      </c>
      <c r="L10">
        <v>750</v>
      </c>
      <c r="M10">
        <v>4.5</v>
      </c>
      <c r="N10">
        <v>22</v>
      </c>
      <c r="O10">
        <v>50</v>
      </c>
      <c r="P10">
        <v>20</v>
      </c>
      <c r="Q10" t="s">
        <v>34</v>
      </c>
      <c r="R10">
        <v>38</v>
      </c>
      <c r="S10" t="s">
        <v>28</v>
      </c>
    </row>
    <row r="11" spans="1:19" x14ac:dyDescent="0.3">
      <c r="A11" t="s">
        <v>70</v>
      </c>
      <c r="B11" s="2">
        <v>45413</v>
      </c>
      <c r="C11" t="s">
        <v>71</v>
      </c>
      <c r="D11" t="s">
        <v>72</v>
      </c>
      <c r="E11" t="s">
        <v>73</v>
      </c>
      <c r="F11" t="s">
        <v>23</v>
      </c>
      <c r="G11" t="s">
        <v>74</v>
      </c>
      <c r="H11" t="s">
        <v>64</v>
      </c>
      <c r="I11" t="s">
        <v>26</v>
      </c>
      <c r="J11">
        <v>2</v>
      </c>
      <c r="K11">
        <v>479</v>
      </c>
      <c r="L11">
        <v>958</v>
      </c>
      <c r="M11">
        <v>4.5999999999999996</v>
      </c>
      <c r="N11">
        <v>13</v>
      </c>
      <c r="O11">
        <v>50</v>
      </c>
      <c r="P11">
        <v>20</v>
      </c>
      <c r="Q11" t="s">
        <v>75</v>
      </c>
      <c r="R11">
        <v>43</v>
      </c>
      <c r="S11" t="s">
        <v>41</v>
      </c>
    </row>
    <row r="12" spans="1:19" x14ac:dyDescent="0.3">
      <c r="A12" t="s">
        <v>76</v>
      </c>
      <c r="B12" s="2">
        <v>45502</v>
      </c>
      <c r="C12" t="s">
        <v>59</v>
      </c>
      <c r="D12" t="s">
        <v>44</v>
      </c>
      <c r="E12" t="s">
        <v>77</v>
      </c>
      <c r="F12" t="s">
        <v>78</v>
      </c>
      <c r="G12" t="s">
        <v>79</v>
      </c>
      <c r="H12" t="s">
        <v>80</v>
      </c>
      <c r="I12" t="s">
        <v>26</v>
      </c>
      <c r="J12">
        <v>4</v>
      </c>
      <c r="K12">
        <v>528</v>
      </c>
      <c r="L12">
        <v>2112</v>
      </c>
      <c r="M12">
        <v>4.7</v>
      </c>
      <c r="N12">
        <v>27</v>
      </c>
      <c r="P12">
        <v>0</v>
      </c>
      <c r="Q12" t="s">
        <v>75</v>
      </c>
      <c r="R12">
        <v>37</v>
      </c>
      <c r="S12" t="s">
        <v>28</v>
      </c>
    </row>
    <row r="13" spans="1:19" x14ac:dyDescent="0.3">
      <c r="A13" t="s">
        <v>81</v>
      </c>
      <c r="B13" s="2">
        <v>45506</v>
      </c>
      <c r="C13" t="s">
        <v>82</v>
      </c>
      <c r="D13" t="s">
        <v>21</v>
      </c>
      <c r="E13" t="s">
        <v>83</v>
      </c>
      <c r="F13" t="s">
        <v>23</v>
      </c>
      <c r="G13" t="s">
        <v>84</v>
      </c>
      <c r="H13" t="s">
        <v>64</v>
      </c>
      <c r="I13" t="s">
        <v>26</v>
      </c>
      <c r="J13">
        <v>3</v>
      </c>
      <c r="K13">
        <v>448</v>
      </c>
      <c r="L13">
        <v>1344</v>
      </c>
      <c r="M13">
        <v>4.7</v>
      </c>
      <c r="N13">
        <v>17</v>
      </c>
      <c r="O13">
        <v>149</v>
      </c>
      <c r="P13">
        <v>0</v>
      </c>
      <c r="Q13" t="s">
        <v>75</v>
      </c>
      <c r="R13">
        <v>24</v>
      </c>
      <c r="S13" t="s">
        <v>41</v>
      </c>
    </row>
    <row r="14" spans="1:19" x14ac:dyDescent="0.3">
      <c r="A14" t="s">
        <v>85</v>
      </c>
      <c r="B14" s="2">
        <v>45366</v>
      </c>
      <c r="C14" t="s">
        <v>55</v>
      </c>
      <c r="D14" t="s">
        <v>21</v>
      </c>
      <c r="E14" t="s">
        <v>86</v>
      </c>
      <c r="F14" t="s">
        <v>87</v>
      </c>
      <c r="G14" t="s">
        <v>64</v>
      </c>
      <c r="H14" t="s">
        <v>64</v>
      </c>
      <c r="I14" t="s">
        <v>26</v>
      </c>
      <c r="J14">
        <v>1</v>
      </c>
      <c r="K14">
        <v>569</v>
      </c>
      <c r="L14">
        <v>569</v>
      </c>
      <c r="M14">
        <v>4.4000000000000004</v>
      </c>
      <c r="N14">
        <v>34</v>
      </c>
      <c r="P14">
        <v>0</v>
      </c>
      <c r="Q14" t="s">
        <v>49</v>
      </c>
      <c r="R14">
        <v>48</v>
      </c>
      <c r="S14" t="s">
        <v>28</v>
      </c>
    </row>
    <row r="15" spans="1:19" x14ac:dyDescent="0.3">
      <c r="A15" t="s">
        <v>88</v>
      </c>
      <c r="B15" s="2">
        <v>45494</v>
      </c>
      <c r="C15" t="s">
        <v>59</v>
      </c>
      <c r="D15" t="s">
        <v>60</v>
      </c>
      <c r="E15" t="s">
        <v>89</v>
      </c>
      <c r="F15" t="s">
        <v>46</v>
      </c>
      <c r="G15" t="s">
        <v>90</v>
      </c>
      <c r="H15" t="s">
        <v>64</v>
      </c>
      <c r="I15" t="s">
        <v>26</v>
      </c>
      <c r="J15">
        <v>2</v>
      </c>
      <c r="K15">
        <v>582</v>
      </c>
      <c r="L15">
        <v>1164</v>
      </c>
      <c r="M15">
        <v>4.5999999999999996</v>
      </c>
      <c r="N15">
        <v>18</v>
      </c>
      <c r="P15">
        <v>0</v>
      </c>
      <c r="Q15" t="s">
        <v>49</v>
      </c>
      <c r="R15">
        <v>39</v>
      </c>
      <c r="S15" t="s">
        <v>41</v>
      </c>
    </row>
    <row r="16" spans="1:19" x14ac:dyDescent="0.3">
      <c r="A16" t="s">
        <v>91</v>
      </c>
      <c r="B16" s="2">
        <v>45379</v>
      </c>
      <c r="C16" t="s">
        <v>55</v>
      </c>
      <c r="D16" t="s">
        <v>92</v>
      </c>
      <c r="E16" t="s">
        <v>93</v>
      </c>
      <c r="F16" t="s">
        <v>23</v>
      </c>
      <c r="G16" t="s">
        <v>94</v>
      </c>
      <c r="H16" t="s">
        <v>80</v>
      </c>
      <c r="I16" t="s">
        <v>26</v>
      </c>
      <c r="J16">
        <v>2</v>
      </c>
      <c r="K16">
        <v>553</v>
      </c>
      <c r="L16">
        <v>1106</v>
      </c>
      <c r="M16">
        <v>4.5999999999999996</v>
      </c>
      <c r="N16">
        <v>15</v>
      </c>
      <c r="O16">
        <v>799</v>
      </c>
      <c r="P16">
        <v>0</v>
      </c>
      <c r="Q16" t="s">
        <v>75</v>
      </c>
      <c r="R16">
        <v>21</v>
      </c>
      <c r="S16" t="s">
        <v>28</v>
      </c>
    </row>
    <row r="17" spans="1:19" x14ac:dyDescent="0.3">
      <c r="A17" t="s">
        <v>95</v>
      </c>
      <c r="B17" s="2">
        <v>45408</v>
      </c>
      <c r="C17" t="s">
        <v>20</v>
      </c>
      <c r="D17" t="s">
        <v>21</v>
      </c>
      <c r="E17" t="s">
        <v>96</v>
      </c>
      <c r="F17" t="s">
        <v>46</v>
      </c>
      <c r="G17" t="s">
        <v>24</v>
      </c>
      <c r="H17" t="s">
        <v>25</v>
      </c>
      <c r="I17" t="s">
        <v>26</v>
      </c>
      <c r="J17">
        <v>1</v>
      </c>
      <c r="K17">
        <v>570</v>
      </c>
      <c r="L17">
        <v>570</v>
      </c>
      <c r="M17">
        <v>4.3</v>
      </c>
      <c r="N17">
        <v>26</v>
      </c>
      <c r="P17">
        <v>0</v>
      </c>
      <c r="Q17" t="s">
        <v>49</v>
      </c>
      <c r="R17">
        <v>30</v>
      </c>
      <c r="S17" t="s">
        <v>41</v>
      </c>
    </row>
    <row r="18" spans="1:19" x14ac:dyDescent="0.3">
      <c r="A18" t="s">
        <v>97</v>
      </c>
      <c r="B18" s="2">
        <v>45391</v>
      </c>
      <c r="C18" t="s">
        <v>20</v>
      </c>
      <c r="D18" t="s">
        <v>36</v>
      </c>
      <c r="E18" t="s">
        <v>98</v>
      </c>
      <c r="F18" t="s">
        <v>23</v>
      </c>
      <c r="G18" t="s">
        <v>84</v>
      </c>
      <c r="H18" t="s">
        <v>64</v>
      </c>
      <c r="I18" t="s">
        <v>26</v>
      </c>
      <c r="J18">
        <v>3</v>
      </c>
      <c r="K18">
        <v>168</v>
      </c>
      <c r="L18">
        <v>504</v>
      </c>
      <c r="M18">
        <v>4.7</v>
      </c>
      <c r="N18">
        <v>16</v>
      </c>
      <c r="O18">
        <v>99</v>
      </c>
      <c r="P18">
        <v>0</v>
      </c>
      <c r="Q18" t="s">
        <v>49</v>
      </c>
      <c r="R18">
        <v>30</v>
      </c>
      <c r="S18" t="s">
        <v>28</v>
      </c>
    </row>
    <row r="19" spans="1:19" x14ac:dyDescent="0.3">
      <c r="A19" t="s">
        <v>99</v>
      </c>
      <c r="B19" s="2">
        <v>45395</v>
      </c>
      <c r="C19" t="s">
        <v>20</v>
      </c>
      <c r="D19" t="s">
        <v>100</v>
      </c>
      <c r="E19" t="s">
        <v>101</v>
      </c>
      <c r="F19" t="s">
        <v>102</v>
      </c>
      <c r="G19" t="s">
        <v>103</v>
      </c>
      <c r="H19" t="s">
        <v>64</v>
      </c>
      <c r="I19" t="s">
        <v>26</v>
      </c>
      <c r="J19">
        <v>1</v>
      </c>
      <c r="K19">
        <v>411</v>
      </c>
      <c r="L19">
        <v>411</v>
      </c>
      <c r="M19">
        <v>4.2</v>
      </c>
      <c r="N19">
        <v>24</v>
      </c>
      <c r="O19">
        <v>599</v>
      </c>
      <c r="P19">
        <v>0</v>
      </c>
      <c r="Q19" t="s">
        <v>34</v>
      </c>
      <c r="R19">
        <v>48</v>
      </c>
      <c r="S19" t="s">
        <v>41</v>
      </c>
    </row>
    <row r="20" spans="1:19" x14ac:dyDescent="0.3">
      <c r="A20" t="s">
        <v>104</v>
      </c>
      <c r="B20" s="2">
        <v>45443</v>
      </c>
      <c r="C20" t="s">
        <v>71</v>
      </c>
      <c r="D20" t="s">
        <v>21</v>
      </c>
      <c r="E20" t="s">
        <v>105</v>
      </c>
      <c r="F20" t="s">
        <v>102</v>
      </c>
      <c r="G20" t="s">
        <v>106</v>
      </c>
      <c r="H20" t="s">
        <v>53</v>
      </c>
      <c r="I20" t="s">
        <v>26</v>
      </c>
      <c r="J20">
        <v>3</v>
      </c>
      <c r="K20">
        <v>501</v>
      </c>
      <c r="L20">
        <v>1503</v>
      </c>
      <c r="M20">
        <v>4.5</v>
      </c>
      <c r="N20">
        <v>25</v>
      </c>
      <c r="O20">
        <v>449</v>
      </c>
      <c r="P20">
        <v>0</v>
      </c>
      <c r="Q20" t="s">
        <v>34</v>
      </c>
      <c r="R20">
        <v>27</v>
      </c>
      <c r="S20" t="s">
        <v>28</v>
      </c>
    </row>
    <row r="21" spans="1:19" x14ac:dyDescent="0.3">
      <c r="A21" t="s">
        <v>107</v>
      </c>
      <c r="B21" s="2">
        <v>45422</v>
      </c>
      <c r="C21" t="s">
        <v>71</v>
      </c>
      <c r="D21" t="s">
        <v>21</v>
      </c>
      <c r="E21" t="s">
        <v>108</v>
      </c>
      <c r="F21" t="s">
        <v>62</v>
      </c>
      <c r="G21" t="s">
        <v>109</v>
      </c>
      <c r="H21" t="s">
        <v>64</v>
      </c>
      <c r="I21" t="s">
        <v>26</v>
      </c>
      <c r="J21">
        <v>2</v>
      </c>
      <c r="K21">
        <v>443</v>
      </c>
      <c r="L21">
        <v>886</v>
      </c>
      <c r="M21">
        <v>4.5</v>
      </c>
      <c r="N21">
        <v>23</v>
      </c>
      <c r="O21">
        <v>999</v>
      </c>
      <c r="P21">
        <v>0</v>
      </c>
      <c r="Q21" t="s">
        <v>49</v>
      </c>
      <c r="R21">
        <v>35</v>
      </c>
      <c r="S21" t="s">
        <v>41</v>
      </c>
    </row>
    <row r="22" spans="1:19" x14ac:dyDescent="0.3">
      <c r="A22" t="s">
        <v>110</v>
      </c>
      <c r="B22" s="2">
        <v>45441</v>
      </c>
      <c r="C22" t="s">
        <v>71</v>
      </c>
      <c r="D22" t="s">
        <v>72</v>
      </c>
      <c r="E22" t="s">
        <v>111</v>
      </c>
      <c r="F22" t="s">
        <v>62</v>
      </c>
      <c r="G22" t="s">
        <v>94</v>
      </c>
      <c r="H22" t="s">
        <v>80</v>
      </c>
      <c r="I22" t="s">
        <v>26</v>
      </c>
      <c r="J22">
        <v>3</v>
      </c>
      <c r="K22">
        <v>197</v>
      </c>
      <c r="L22">
        <v>591</v>
      </c>
      <c r="M22">
        <v>4.3</v>
      </c>
      <c r="N22">
        <v>29</v>
      </c>
      <c r="O22">
        <v>749</v>
      </c>
      <c r="P22">
        <v>0</v>
      </c>
      <c r="Q22" t="s">
        <v>75</v>
      </c>
      <c r="R22">
        <v>34</v>
      </c>
      <c r="S22" t="s">
        <v>41</v>
      </c>
    </row>
    <row r="23" spans="1:19" x14ac:dyDescent="0.3">
      <c r="A23" t="s">
        <v>112</v>
      </c>
      <c r="B23" s="2">
        <v>45344</v>
      </c>
      <c r="C23" t="s">
        <v>113</v>
      </c>
      <c r="D23" t="s">
        <v>92</v>
      </c>
      <c r="E23" t="s">
        <v>114</v>
      </c>
      <c r="F23" t="s">
        <v>115</v>
      </c>
      <c r="G23" t="s">
        <v>116</v>
      </c>
      <c r="H23" t="s">
        <v>80</v>
      </c>
      <c r="I23" t="s">
        <v>26</v>
      </c>
      <c r="J23">
        <v>4</v>
      </c>
      <c r="K23">
        <v>224</v>
      </c>
      <c r="L23">
        <v>896</v>
      </c>
      <c r="M23">
        <v>4.5</v>
      </c>
      <c r="N23">
        <v>35</v>
      </c>
      <c r="O23">
        <v>45</v>
      </c>
      <c r="P23">
        <v>15</v>
      </c>
      <c r="Q23" t="s">
        <v>27</v>
      </c>
      <c r="R23">
        <v>37</v>
      </c>
      <c r="S23" t="s">
        <v>28</v>
      </c>
    </row>
    <row r="24" spans="1:19" x14ac:dyDescent="0.3">
      <c r="A24" t="s">
        <v>117</v>
      </c>
      <c r="B24" s="2">
        <v>45293</v>
      </c>
      <c r="C24" t="s">
        <v>43</v>
      </c>
      <c r="D24" t="s">
        <v>36</v>
      </c>
      <c r="E24" t="s">
        <v>31</v>
      </c>
      <c r="F24" t="s">
        <v>23</v>
      </c>
      <c r="G24" t="s">
        <v>32</v>
      </c>
      <c r="H24" t="s">
        <v>25</v>
      </c>
      <c r="I24" t="s">
        <v>33</v>
      </c>
      <c r="J24">
        <v>2</v>
      </c>
      <c r="K24">
        <v>288</v>
      </c>
      <c r="L24">
        <v>576</v>
      </c>
      <c r="M24">
        <v>4.2</v>
      </c>
      <c r="N24">
        <v>30</v>
      </c>
      <c r="O24">
        <v>80</v>
      </c>
      <c r="P24">
        <v>40</v>
      </c>
      <c r="Q24" t="s">
        <v>75</v>
      </c>
      <c r="R24">
        <v>37</v>
      </c>
      <c r="S24" t="s">
        <v>41</v>
      </c>
    </row>
    <row r="25" spans="1:19" x14ac:dyDescent="0.3">
      <c r="A25" t="s">
        <v>118</v>
      </c>
      <c r="B25" s="2">
        <v>45379</v>
      </c>
      <c r="C25" t="s">
        <v>55</v>
      </c>
      <c r="D25" t="s">
        <v>92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>
        <v>4</v>
      </c>
      <c r="K25">
        <v>336</v>
      </c>
      <c r="L25">
        <v>1344</v>
      </c>
      <c r="M25">
        <v>4.5</v>
      </c>
      <c r="N25">
        <v>27</v>
      </c>
      <c r="O25">
        <v>75</v>
      </c>
      <c r="P25">
        <v>30</v>
      </c>
      <c r="Q25" t="s">
        <v>27</v>
      </c>
      <c r="R25">
        <v>30</v>
      </c>
      <c r="S25" t="s">
        <v>28</v>
      </c>
    </row>
    <row r="26" spans="1:19" x14ac:dyDescent="0.3">
      <c r="A26" t="s">
        <v>119</v>
      </c>
      <c r="B26" s="2">
        <v>45527</v>
      </c>
      <c r="C26" t="s">
        <v>82</v>
      </c>
      <c r="D26" t="s">
        <v>21</v>
      </c>
      <c r="E26" t="s">
        <v>120</v>
      </c>
      <c r="F26" t="s">
        <v>87</v>
      </c>
      <c r="G26" t="s">
        <v>121</v>
      </c>
      <c r="H26" t="s">
        <v>64</v>
      </c>
      <c r="I26" t="s">
        <v>26</v>
      </c>
      <c r="J26">
        <v>1</v>
      </c>
      <c r="K26">
        <v>497</v>
      </c>
      <c r="L26">
        <v>497</v>
      </c>
      <c r="M26">
        <v>4.4000000000000004</v>
      </c>
      <c r="N26">
        <v>33</v>
      </c>
      <c r="O26">
        <v>999</v>
      </c>
      <c r="P26">
        <v>0</v>
      </c>
      <c r="Q26" t="s">
        <v>75</v>
      </c>
      <c r="R26">
        <v>34</v>
      </c>
      <c r="S26" t="s">
        <v>28</v>
      </c>
    </row>
    <row r="27" spans="1:19" x14ac:dyDescent="0.3">
      <c r="A27" t="s">
        <v>122</v>
      </c>
      <c r="B27" s="2">
        <v>45449</v>
      </c>
      <c r="C27" t="s">
        <v>30</v>
      </c>
      <c r="D27" t="s">
        <v>92</v>
      </c>
      <c r="E27" t="s">
        <v>37</v>
      </c>
      <c r="F27" t="s">
        <v>38</v>
      </c>
      <c r="G27" t="s">
        <v>39</v>
      </c>
      <c r="H27" t="s">
        <v>40</v>
      </c>
      <c r="I27" t="s">
        <v>26</v>
      </c>
      <c r="J27">
        <v>1</v>
      </c>
      <c r="K27">
        <v>238</v>
      </c>
      <c r="L27">
        <v>238</v>
      </c>
      <c r="M27">
        <v>4.3</v>
      </c>
      <c r="N27">
        <v>25</v>
      </c>
      <c r="O27">
        <v>299</v>
      </c>
      <c r="P27">
        <v>0</v>
      </c>
      <c r="Q27" t="s">
        <v>34</v>
      </c>
      <c r="R27">
        <v>39</v>
      </c>
      <c r="S27" t="s">
        <v>28</v>
      </c>
    </row>
    <row r="28" spans="1:19" x14ac:dyDescent="0.3">
      <c r="A28" t="s">
        <v>123</v>
      </c>
      <c r="B28" s="2">
        <v>45329</v>
      </c>
      <c r="C28" t="s">
        <v>113</v>
      </c>
      <c r="D28" t="s">
        <v>72</v>
      </c>
      <c r="E28" t="s">
        <v>124</v>
      </c>
      <c r="F28" t="s">
        <v>23</v>
      </c>
      <c r="G28" t="s">
        <v>125</v>
      </c>
      <c r="H28" t="s">
        <v>80</v>
      </c>
      <c r="I28" t="s">
        <v>26</v>
      </c>
      <c r="J28">
        <v>1</v>
      </c>
      <c r="K28">
        <v>309</v>
      </c>
      <c r="L28">
        <v>309</v>
      </c>
      <c r="M28">
        <v>4.7</v>
      </c>
      <c r="O28">
        <v>100</v>
      </c>
      <c r="P28">
        <v>50</v>
      </c>
      <c r="Q28" t="s">
        <v>49</v>
      </c>
      <c r="R28">
        <v>21</v>
      </c>
      <c r="S28" t="s">
        <v>41</v>
      </c>
    </row>
    <row r="29" spans="1:19" x14ac:dyDescent="0.3">
      <c r="A29" t="s">
        <v>126</v>
      </c>
      <c r="B29" s="2">
        <v>45421</v>
      </c>
      <c r="C29" t="s">
        <v>71</v>
      </c>
      <c r="D29" t="s">
        <v>92</v>
      </c>
      <c r="E29" t="s">
        <v>127</v>
      </c>
      <c r="F29" t="s">
        <v>46</v>
      </c>
      <c r="G29" t="s">
        <v>128</v>
      </c>
      <c r="H29" t="s">
        <v>40</v>
      </c>
      <c r="I29" t="s">
        <v>26</v>
      </c>
      <c r="J29">
        <v>3</v>
      </c>
      <c r="K29">
        <v>374</v>
      </c>
      <c r="L29">
        <v>1122</v>
      </c>
      <c r="M29">
        <v>4.3</v>
      </c>
      <c r="N29">
        <v>36</v>
      </c>
      <c r="O29">
        <v>699</v>
      </c>
      <c r="P29">
        <v>0</v>
      </c>
      <c r="Q29" t="s">
        <v>49</v>
      </c>
      <c r="R29">
        <v>18</v>
      </c>
      <c r="S29" t="s">
        <v>41</v>
      </c>
    </row>
    <row r="30" spans="1:19" x14ac:dyDescent="0.3">
      <c r="A30" t="s">
        <v>129</v>
      </c>
      <c r="B30" s="2">
        <v>45483</v>
      </c>
      <c r="C30" t="s">
        <v>59</v>
      </c>
      <c r="D30" t="s">
        <v>72</v>
      </c>
      <c r="E30" t="s">
        <v>130</v>
      </c>
      <c r="F30" t="s">
        <v>23</v>
      </c>
      <c r="G30" t="s">
        <v>131</v>
      </c>
      <c r="H30" t="s">
        <v>80</v>
      </c>
      <c r="I30" t="s">
        <v>26</v>
      </c>
      <c r="J30">
        <v>2</v>
      </c>
      <c r="K30">
        <v>489</v>
      </c>
      <c r="L30">
        <v>978</v>
      </c>
      <c r="M30">
        <v>4.5999999999999996</v>
      </c>
      <c r="N30">
        <v>27</v>
      </c>
      <c r="P30">
        <v>0</v>
      </c>
      <c r="Q30" t="s">
        <v>34</v>
      </c>
      <c r="R30">
        <v>18</v>
      </c>
      <c r="S30" t="s">
        <v>28</v>
      </c>
    </row>
    <row r="31" spans="1:19" x14ac:dyDescent="0.3">
      <c r="A31" t="s">
        <v>132</v>
      </c>
      <c r="B31" s="2">
        <v>45479</v>
      </c>
      <c r="C31" t="s">
        <v>59</v>
      </c>
      <c r="D31" t="s">
        <v>100</v>
      </c>
      <c r="E31" t="s">
        <v>133</v>
      </c>
      <c r="F31" t="s">
        <v>23</v>
      </c>
      <c r="G31" t="s">
        <v>134</v>
      </c>
      <c r="H31" t="s">
        <v>64</v>
      </c>
      <c r="I31" t="s">
        <v>26</v>
      </c>
      <c r="J31">
        <v>1</v>
      </c>
      <c r="K31">
        <v>385</v>
      </c>
      <c r="L31">
        <v>385</v>
      </c>
      <c r="M31">
        <v>4.4000000000000004</v>
      </c>
      <c r="N31">
        <v>13</v>
      </c>
      <c r="O31">
        <v>40</v>
      </c>
      <c r="P31">
        <v>10</v>
      </c>
      <c r="Q31" t="s">
        <v>27</v>
      </c>
      <c r="R31">
        <v>32</v>
      </c>
      <c r="S31" t="s">
        <v>28</v>
      </c>
    </row>
    <row r="32" spans="1:19" x14ac:dyDescent="0.3">
      <c r="A32" t="s">
        <v>135</v>
      </c>
      <c r="B32" s="2">
        <v>45312</v>
      </c>
      <c r="C32" t="s">
        <v>43</v>
      </c>
      <c r="D32" t="s">
        <v>60</v>
      </c>
      <c r="E32" t="s">
        <v>136</v>
      </c>
      <c r="F32" t="s">
        <v>137</v>
      </c>
      <c r="G32" t="s">
        <v>138</v>
      </c>
      <c r="H32" t="s">
        <v>80</v>
      </c>
      <c r="I32" t="s">
        <v>26</v>
      </c>
      <c r="J32">
        <v>1</v>
      </c>
      <c r="K32">
        <v>268</v>
      </c>
      <c r="L32">
        <v>268</v>
      </c>
      <c r="M32">
        <v>4.4000000000000004</v>
      </c>
      <c r="N32">
        <v>35</v>
      </c>
      <c r="O32">
        <v>299</v>
      </c>
      <c r="P32">
        <v>0</v>
      </c>
      <c r="Q32" t="s">
        <v>27</v>
      </c>
      <c r="R32">
        <v>30</v>
      </c>
      <c r="S32" t="s">
        <v>41</v>
      </c>
    </row>
    <row r="33" spans="1:19" x14ac:dyDescent="0.3">
      <c r="A33" t="s">
        <v>139</v>
      </c>
      <c r="B33" s="2">
        <v>45452</v>
      </c>
      <c r="C33" t="s">
        <v>30</v>
      </c>
      <c r="D33" t="s">
        <v>60</v>
      </c>
      <c r="E33" t="s">
        <v>140</v>
      </c>
      <c r="F33" t="s">
        <v>23</v>
      </c>
      <c r="G33" t="s">
        <v>141</v>
      </c>
      <c r="H33" t="s">
        <v>48</v>
      </c>
      <c r="I33" t="s">
        <v>33</v>
      </c>
      <c r="J33">
        <v>2</v>
      </c>
      <c r="K33">
        <v>283</v>
      </c>
      <c r="L33">
        <v>566</v>
      </c>
      <c r="M33">
        <v>4.2</v>
      </c>
      <c r="N33">
        <v>22</v>
      </c>
      <c r="O33">
        <v>249</v>
      </c>
      <c r="P33">
        <v>0</v>
      </c>
      <c r="Q33" t="s">
        <v>27</v>
      </c>
      <c r="R33">
        <v>34</v>
      </c>
      <c r="S33" t="s">
        <v>41</v>
      </c>
    </row>
    <row r="34" spans="1:19" x14ac:dyDescent="0.3">
      <c r="A34" t="s">
        <v>142</v>
      </c>
      <c r="B34" s="2">
        <v>45495</v>
      </c>
      <c r="C34" t="s">
        <v>59</v>
      </c>
      <c r="D34" t="s">
        <v>44</v>
      </c>
      <c r="E34" t="s">
        <v>143</v>
      </c>
      <c r="F34" t="s">
        <v>23</v>
      </c>
      <c r="G34" t="s">
        <v>144</v>
      </c>
      <c r="H34" t="s">
        <v>40</v>
      </c>
      <c r="I34" t="s">
        <v>26</v>
      </c>
      <c r="J34">
        <v>1</v>
      </c>
      <c r="K34">
        <v>259</v>
      </c>
      <c r="L34">
        <v>259</v>
      </c>
      <c r="M34">
        <v>4.0999999999999996</v>
      </c>
      <c r="N34">
        <v>24</v>
      </c>
      <c r="O34">
        <v>120</v>
      </c>
      <c r="P34">
        <v>60</v>
      </c>
      <c r="Q34" t="s">
        <v>34</v>
      </c>
      <c r="R34">
        <v>41</v>
      </c>
      <c r="S34" t="s">
        <v>41</v>
      </c>
    </row>
    <row r="35" spans="1:19" x14ac:dyDescent="0.3">
      <c r="A35" t="s">
        <v>145</v>
      </c>
      <c r="B35" s="2">
        <v>45349</v>
      </c>
      <c r="C35" t="s">
        <v>113</v>
      </c>
      <c r="D35" t="s">
        <v>36</v>
      </c>
      <c r="E35" t="s">
        <v>108</v>
      </c>
      <c r="F35" t="s">
        <v>23</v>
      </c>
      <c r="G35" t="s">
        <v>109</v>
      </c>
      <c r="H35" t="s">
        <v>64</v>
      </c>
      <c r="I35" t="s">
        <v>26</v>
      </c>
      <c r="J35">
        <v>4</v>
      </c>
      <c r="K35">
        <v>466</v>
      </c>
      <c r="L35">
        <v>1864</v>
      </c>
      <c r="M35">
        <v>4.5</v>
      </c>
      <c r="N35">
        <v>15</v>
      </c>
      <c r="O35">
        <v>999</v>
      </c>
      <c r="P35">
        <v>0</v>
      </c>
      <c r="Q35" t="s">
        <v>27</v>
      </c>
      <c r="R35">
        <v>43</v>
      </c>
      <c r="S35" t="s">
        <v>28</v>
      </c>
    </row>
    <row r="36" spans="1:19" x14ac:dyDescent="0.3">
      <c r="A36" t="s">
        <v>146</v>
      </c>
      <c r="B36" s="2">
        <v>45313</v>
      </c>
      <c r="C36" t="s">
        <v>43</v>
      </c>
      <c r="D36" t="s">
        <v>44</v>
      </c>
      <c r="E36" t="s">
        <v>147</v>
      </c>
      <c r="F36" t="s">
        <v>46</v>
      </c>
      <c r="G36" t="s">
        <v>148</v>
      </c>
      <c r="H36" t="s">
        <v>64</v>
      </c>
      <c r="I36" t="s">
        <v>26</v>
      </c>
      <c r="J36">
        <v>2</v>
      </c>
      <c r="K36">
        <v>377</v>
      </c>
      <c r="L36">
        <v>754</v>
      </c>
      <c r="M36">
        <v>4.3</v>
      </c>
      <c r="N36">
        <v>18</v>
      </c>
      <c r="O36">
        <v>50</v>
      </c>
      <c r="P36">
        <v>20</v>
      </c>
      <c r="Q36" t="s">
        <v>34</v>
      </c>
      <c r="R36">
        <v>25</v>
      </c>
      <c r="S36" t="s">
        <v>28</v>
      </c>
    </row>
    <row r="37" spans="1:19" x14ac:dyDescent="0.3">
      <c r="A37" t="s">
        <v>149</v>
      </c>
      <c r="B37" s="2">
        <v>45527</v>
      </c>
      <c r="C37" t="s">
        <v>82</v>
      </c>
      <c r="D37" t="s">
        <v>21</v>
      </c>
      <c r="E37" t="s">
        <v>150</v>
      </c>
      <c r="F37" t="s">
        <v>23</v>
      </c>
      <c r="G37" t="s">
        <v>151</v>
      </c>
      <c r="H37" t="s">
        <v>64</v>
      </c>
      <c r="I37" t="s">
        <v>26</v>
      </c>
      <c r="J37">
        <v>2</v>
      </c>
      <c r="K37">
        <v>493</v>
      </c>
      <c r="L37">
        <v>986</v>
      </c>
      <c r="M37">
        <v>4</v>
      </c>
      <c r="N37">
        <v>24</v>
      </c>
      <c r="O37">
        <v>169</v>
      </c>
      <c r="P37">
        <v>0</v>
      </c>
      <c r="Q37" t="s">
        <v>75</v>
      </c>
      <c r="R37">
        <v>35</v>
      </c>
      <c r="S37" t="s">
        <v>28</v>
      </c>
    </row>
    <row r="38" spans="1:19" x14ac:dyDescent="0.3">
      <c r="A38" t="s">
        <v>152</v>
      </c>
      <c r="B38" s="2">
        <v>45380</v>
      </c>
      <c r="C38" t="s">
        <v>55</v>
      </c>
      <c r="D38" t="s">
        <v>21</v>
      </c>
      <c r="E38" t="s">
        <v>153</v>
      </c>
      <c r="F38" t="s">
        <v>115</v>
      </c>
      <c r="G38" t="s">
        <v>154</v>
      </c>
      <c r="H38" t="s">
        <v>80</v>
      </c>
      <c r="I38" t="s">
        <v>26</v>
      </c>
      <c r="J38">
        <v>2</v>
      </c>
      <c r="K38">
        <v>388</v>
      </c>
      <c r="L38">
        <v>776</v>
      </c>
      <c r="M38">
        <v>4.7</v>
      </c>
      <c r="N38">
        <v>24</v>
      </c>
      <c r="P38">
        <v>0</v>
      </c>
      <c r="Q38" t="s">
        <v>75</v>
      </c>
      <c r="R38">
        <v>44</v>
      </c>
      <c r="S38" t="s">
        <v>28</v>
      </c>
    </row>
    <row r="39" spans="1:19" x14ac:dyDescent="0.3">
      <c r="A39" t="s">
        <v>155</v>
      </c>
      <c r="B39" s="2">
        <v>45340</v>
      </c>
      <c r="C39" t="s">
        <v>113</v>
      </c>
      <c r="D39" t="s">
        <v>60</v>
      </c>
      <c r="E39" t="s">
        <v>156</v>
      </c>
      <c r="F39" t="s">
        <v>157</v>
      </c>
      <c r="G39" t="s">
        <v>158</v>
      </c>
      <c r="H39" t="s">
        <v>40</v>
      </c>
      <c r="I39" t="s">
        <v>26</v>
      </c>
      <c r="J39">
        <v>4</v>
      </c>
      <c r="K39">
        <v>300</v>
      </c>
      <c r="L39">
        <v>1200</v>
      </c>
      <c r="M39">
        <v>4.3</v>
      </c>
      <c r="N39">
        <v>21</v>
      </c>
      <c r="O39">
        <v>75</v>
      </c>
      <c r="P39">
        <v>30</v>
      </c>
      <c r="Q39" t="s">
        <v>34</v>
      </c>
      <c r="R39">
        <v>30</v>
      </c>
      <c r="S39" t="s">
        <v>28</v>
      </c>
    </row>
    <row r="40" spans="1:19" x14ac:dyDescent="0.3">
      <c r="A40" t="s">
        <v>159</v>
      </c>
      <c r="B40" s="2">
        <v>45510</v>
      </c>
      <c r="C40" t="s">
        <v>82</v>
      </c>
      <c r="D40" t="s">
        <v>36</v>
      </c>
      <c r="E40" t="s">
        <v>160</v>
      </c>
      <c r="F40" t="s">
        <v>46</v>
      </c>
      <c r="G40" t="s">
        <v>161</v>
      </c>
      <c r="H40" t="s">
        <v>80</v>
      </c>
      <c r="I40" t="s">
        <v>26</v>
      </c>
      <c r="J40">
        <v>2</v>
      </c>
      <c r="K40">
        <v>279</v>
      </c>
      <c r="L40">
        <v>558</v>
      </c>
      <c r="M40">
        <v>4.0999999999999996</v>
      </c>
      <c r="N40">
        <v>18</v>
      </c>
      <c r="O40">
        <v>249</v>
      </c>
      <c r="P40">
        <v>0</v>
      </c>
      <c r="Q40" t="s">
        <v>49</v>
      </c>
      <c r="R40">
        <v>40</v>
      </c>
      <c r="S40" t="s">
        <v>41</v>
      </c>
    </row>
    <row r="41" spans="1:19" x14ac:dyDescent="0.3">
      <c r="A41" t="s">
        <v>162</v>
      </c>
      <c r="B41" s="2">
        <v>45350</v>
      </c>
      <c r="C41" t="s">
        <v>113</v>
      </c>
      <c r="D41" t="s">
        <v>72</v>
      </c>
      <c r="E41" t="s">
        <v>163</v>
      </c>
      <c r="F41" t="s">
        <v>164</v>
      </c>
      <c r="G41" t="s">
        <v>165</v>
      </c>
      <c r="H41" t="s">
        <v>80</v>
      </c>
      <c r="I41" t="s">
        <v>26</v>
      </c>
      <c r="J41">
        <v>4</v>
      </c>
      <c r="K41">
        <v>470</v>
      </c>
      <c r="L41">
        <v>1880</v>
      </c>
      <c r="M41">
        <v>4.4000000000000004</v>
      </c>
      <c r="N41">
        <v>16</v>
      </c>
      <c r="P41">
        <v>0</v>
      </c>
      <c r="Q41" t="s">
        <v>75</v>
      </c>
      <c r="R41">
        <v>31</v>
      </c>
      <c r="S41" t="s">
        <v>28</v>
      </c>
    </row>
    <row r="42" spans="1:19" x14ac:dyDescent="0.3">
      <c r="A42" t="s">
        <v>166</v>
      </c>
      <c r="B42" s="2">
        <v>45461</v>
      </c>
      <c r="C42" t="s">
        <v>30</v>
      </c>
      <c r="D42" t="s">
        <v>36</v>
      </c>
      <c r="E42" t="s">
        <v>45</v>
      </c>
      <c r="F42" t="s">
        <v>46</v>
      </c>
      <c r="G42" t="s">
        <v>47</v>
      </c>
      <c r="H42" t="s">
        <v>48</v>
      </c>
      <c r="I42" t="s">
        <v>33</v>
      </c>
      <c r="J42">
        <v>2</v>
      </c>
      <c r="K42">
        <v>519</v>
      </c>
      <c r="L42">
        <v>1038</v>
      </c>
      <c r="M42">
        <v>4.3</v>
      </c>
      <c r="N42">
        <v>24</v>
      </c>
      <c r="O42">
        <v>100</v>
      </c>
      <c r="P42">
        <v>50</v>
      </c>
      <c r="Q42" t="s">
        <v>27</v>
      </c>
      <c r="R42">
        <v>25</v>
      </c>
      <c r="S42" t="s">
        <v>41</v>
      </c>
    </row>
    <row r="43" spans="1:19" x14ac:dyDescent="0.3">
      <c r="A43" t="s">
        <v>167</v>
      </c>
      <c r="B43" s="2">
        <v>45511</v>
      </c>
      <c r="C43" t="s">
        <v>82</v>
      </c>
      <c r="D43" t="s">
        <v>72</v>
      </c>
      <c r="E43" t="s">
        <v>168</v>
      </c>
      <c r="F43" t="s">
        <v>23</v>
      </c>
      <c r="G43" t="s">
        <v>169</v>
      </c>
      <c r="H43" t="s">
        <v>25</v>
      </c>
      <c r="I43" t="s">
        <v>26</v>
      </c>
      <c r="J43">
        <v>3</v>
      </c>
      <c r="K43">
        <v>407</v>
      </c>
      <c r="L43">
        <v>1221</v>
      </c>
      <c r="M43">
        <v>4.5999999999999996</v>
      </c>
      <c r="N43">
        <v>18</v>
      </c>
      <c r="O43">
        <v>50</v>
      </c>
      <c r="P43">
        <v>20</v>
      </c>
      <c r="Q43" t="s">
        <v>34</v>
      </c>
      <c r="R43">
        <v>25</v>
      </c>
      <c r="S43" t="s">
        <v>41</v>
      </c>
    </row>
    <row r="44" spans="1:19" x14ac:dyDescent="0.3">
      <c r="A44" t="s">
        <v>170</v>
      </c>
      <c r="B44" s="2">
        <v>45479</v>
      </c>
      <c r="C44" t="s">
        <v>59</v>
      </c>
      <c r="D44" t="s">
        <v>100</v>
      </c>
      <c r="E44" t="s">
        <v>171</v>
      </c>
      <c r="F44" t="s">
        <v>23</v>
      </c>
      <c r="G44" t="s">
        <v>172</v>
      </c>
      <c r="H44" t="s">
        <v>25</v>
      </c>
      <c r="I44" t="s">
        <v>26</v>
      </c>
      <c r="J44">
        <v>1</v>
      </c>
      <c r="K44">
        <v>407</v>
      </c>
      <c r="L44">
        <v>407</v>
      </c>
      <c r="M44">
        <v>4.2</v>
      </c>
      <c r="N44">
        <v>22</v>
      </c>
      <c r="P44">
        <v>0</v>
      </c>
      <c r="Q44" t="s">
        <v>27</v>
      </c>
      <c r="R44">
        <v>44</v>
      </c>
      <c r="S44" t="s">
        <v>28</v>
      </c>
    </row>
    <row r="45" spans="1:19" x14ac:dyDescent="0.3">
      <c r="A45" t="s">
        <v>173</v>
      </c>
      <c r="B45" s="2">
        <v>45499</v>
      </c>
      <c r="C45" t="s">
        <v>59</v>
      </c>
      <c r="D45" t="s">
        <v>21</v>
      </c>
      <c r="E45" t="s">
        <v>174</v>
      </c>
      <c r="F45" t="s">
        <v>115</v>
      </c>
      <c r="G45" t="s">
        <v>175</v>
      </c>
      <c r="H45" t="s">
        <v>53</v>
      </c>
      <c r="I45" t="s">
        <v>26</v>
      </c>
      <c r="J45">
        <v>3</v>
      </c>
      <c r="K45">
        <v>499</v>
      </c>
      <c r="L45">
        <v>1497</v>
      </c>
      <c r="M45">
        <v>4.4000000000000004</v>
      </c>
      <c r="N45">
        <v>36</v>
      </c>
      <c r="O45">
        <v>500</v>
      </c>
      <c r="P45">
        <v>10</v>
      </c>
      <c r="Q45" t="s">
        <v>27</v>
      </c>
      <c r="R45">
        <v>43</v>
      </c>
      <c r="S45" t="s">
        <v>41</v>
      </c>
    </row>
    <row r="46" spans="1:19" x14ac:dyDescent="0.3">
      <c r="A46" t="s">
        <v>176</v>
      </c>
      <c r="B46" s="2">
        <v>45306</v>
      </c>
      <c r="C46" t="s">
        <v>43</v>
      </c>
      <c r="D46" t="s">
        <v>44</v>
      </c>
      <c r="E46" t="s">
        <v>177</v>
      </c>
      <c r="F46" t="s">
        <v>115</v>
      </c>
      <c r="G46" t="s">
        <v>178</v>
      </c>
      <c r="H46" t="s">
        <v>80</v>
      </c>
      <c r="I46" t="s">
        <v>26</v>
      </c>
      <c r="J46">
        <v>1</v>
      </c>
      <c r="K46">
        <v>345</v>
      </c>
      <c r="L46">
        <v>345</v>
      </c>
      <c r="M46">
        <v>4.3</v>
      </c>
      <c r="N46">
        <v>34</v>
      </c>
      <c r="O46">
        <v>700</v>
      </c>
      <c r="P46">
        <v>10</v>
      </c>
      <c r="Q46" t="s">
        <v>49</v>
      </c>
      <c r="R46">
        <v>32</v>
      </c>
      <c r="S46" t="s">
        <v>28</v>
      </c>
    </row>
    <row r="47" spans="1:19" x14ac:dyDescent="0.3">
      <c r="A47" t="s">
        <v>179</v>
      </c>
      <c r="B47" s="2">
        <v>45481</v>
      </c>
      <c r="C47" t="s">
        <v>59</v>
      </c>
      <c r="D47" t="s">
        <v>44</v>
      </c>
      <c r="E47" t="s">
        <v>180</v>
      </c>
      <c r="F47" t="s">
        <v>62</v>
      </c>
      <c r="G47" t="s">
        <v>79</v>
      </c>
      <c r="H47" t="s">
        <v>80</v>
      </c>
      <c r="I47" t="s">
        <v>26</v>
      </c>
      <c r="J47">
        <v>4</v>
      </c>
      <c r="K47">
        <v>130</v>
      </c>
      <c r="L47">
        <v>520</v>
      </c>
      <c r="M47">
        <v>4.5</v>
      </c>
      <c r="N47">
        <v>34</v>
      </c>
      <c r="P47">
        <v>0</v>
      </c>
      <c r="Q47" t="s">
        <v>27</v>
      </c>
      <c r="R47">
        <v>44</v>
      </c>
      <c r="S47" t="s">
        <v>41</v>
      </c>
    </row>
    <row r="48" spans="1:19" x14ac:dyDescent="0.3">
      <c r="A48" t="s">
        <v>181</v>
      </c>
      <c r="B48" s="2">
        <v>45481</v>
      </c>
      <c r="C48" t="s">
        <v>59</v>
      </c>
      <c r="D48" t="s">
        <v>44</v>
      </c>
      <c r="E48" t="s">
        <v>182</v>
      </c>
      <c r="F48" t="s">
        <v>46</v>
      </c>
      <c r="G48" t="s">
        <v>183</v>
      </c>
      <c r="H48" t="s">
        <v>48</v>
      </c>
      <c r="I48" t="s">
        <v>33</v>
      </c>
      <c r="J48">
        <v>3</v>
      </c>
      <c r="K48">
        <v>129</v>
      </c>
      <c r="L48">
        <v>387</v>
      </c>
      <c r="M48">
        <v>4.4000000000000004</v>
      </c>
      <c r="N48">
        <v>32</v>
      </c>
      <c r="P48">
        <v>0</v>
      </c>
      <c r="Q48" t="s">
        <v>49</v>
      </c>
      <c r="R48">
        <v>30</v>
      </c>
      <c r="S48" t="s">
        <v>28</v>
      </c>
    </row>
    <row r="49" spans="1:19" x14ac:dyDescent="0.3">
      <c r="A49" t="s">
        <v>184</v>
      </c>
      <c r="B49" s="2">
        <v>45466</v>
      </c>
      <c r="C49" t="s">
        <v>30</v>
      </c>
      <c r="D49" t="s">
        <v>60</v>
      </c>
      <c r="E49" t="s">
        <v>185</v>
      </c>
      <c r="F49" t="s">
        <v>46</v>
      </c>
      <c r="G49" t="s">
        <v>186</v>
      </c>
      <c r="H49" t="s">
        <v>80</v>
      </c>
      <c r="I49" t="s">
        <v>26</v>
      </c>
      <c r="J49">
        <v>2</v>
      </c>
      <c r="K49">
        <v>390</v>
      </c>
      <c r="L49">
        <v>780</v>
      </c>
      <c r="M49">
        <v>4.5</v>
      </c>
      <c r="N49">
        <v>13</v>
      </c>
      <c r="O49">
        <v>40</v>
      </c>
      <c r="P49">
        <v>10</v>
      </c>
      <c r="Q49" t="s">
        <v>75</v>
      </c>
      <c r="R49">
        <v>24</v>
      </c>
      <c r="S49" t="s">
        <v>28</v>
      </c>
    </row>
    <row r="50" spans="1:19" x14ac:dyDescent="0.3">
      <c r="A50" t="s">
        <v>187</v>
      </c>
      <c r="B50" s="2">
        <v>45481</v>
      </c>
      <c r="C50" t="s">
        <v>59</v>
      </c>
      <c r="D50" t="s">
        <v>44</v>
      </c>
      <c r="E50" t="s">
        <v>188</v>
      </c>
      <c r="F50" t="s">
        <v>23</v>
      </c>
      <c r="G50" t="s">
        <v>189</v>
      </c>
      <c r="H50" t="s">
        <v>64</v>
      </c>
      <c r="I50" t="s">
        <v>26</v>
      </c>
      <c r="J50">
        <v>1</v>
      </c>
      <c r="K50">
        <v>392</v>
      </c>
      <c r="L50">
        <v>392</v>
      </c>
      <c r="M50">
        <v>4.5999999999999996</v>
      </c>
      <c r="N50">
        <v>25</v>
      </c>
      <c r="P50">
        <v>0</v>
      </c>
      <c r="Q50" t="s">
        <v>34</v>
      </c>
      <c r="R50">
        <v>22</v>
      </c>
      <c r="S50" t="s">
        <v>41</v>
      </c>
    </row>
    <row r="51" spans="1:19" x14ac:dyDescent="0.3">
      <c r="A51" t="s">
        <v>190</v>
      </c>
      <c r="B51" s="2">
        <v>45342</v>
      </c>
      <c r="C51" t="s">
        <v>113</v>
      </c>
      <c r="D51" t="s">
        <v>36</v>
      </c>
      <c r="E51" t="s">
        <v>191</v>
      </c>
      <c r="F51" t="s">
        <v>192</v>
      </c>
      <c r="G51" t="s">
        <v>193</v>
      </c>
      <c r="H51" t="s">
        <v>40</v>
      </c>
      <c r="I51" t="s">
        <v>26</v>
      </c>
      <c r="J51">
        <v>1</v>
      </c>
      <c r="K51">
        <v>543</v>
      </c>
      <c r="L51">
        <v>543</v>
      </c>
      <c r="M51">
        <v>4.0999999999999996</v>
      </c>
      <c r="N51">
        <v>18</v>
      </c>
      <c r="O51">
        <v>75</v>
      </c>
      <c r="P51">
        <v>30</v>
      </c>
      <c r="Q51" t="s">
        <v>27</v>
      </c>
      <c r="R51">
        <v>34</v>
      </c>
      <c r="S51" t="s">
        <v>28</v>
      </c>
    </row>
    <row r="52" spans="1:19" x14ac:dyDescent="0.3">
      <c r="A52" t="s">
        <v>194</v>
      </c>
      <c r="B52" s="2">
        <v>45399</v>
      </c>
      <c r="C52" t="s">
        <v>20</v>
      </c>
      <c r="D52" t="s">
        <v>72</v>
      </c>
      <c r="E52" t="s">
        <v>51</v>
      </c>
      <c r="F52" t="s">
        <v>23</v>
      </c>
      <c r="G52" t="s">
        <v>52</v>
      </c>
      <c r="H52" t="s">
        <v>53</v>
      </c>
      <c r="I52" t="s">
        <v>26</v>
      </c>
      <c r="J52">
        <v>3</v>
      </c>
      <c r="K52">
        <v>521</v>
      </c>
      <c r="L52">
        <v>1563</v>
      </c>
      <c r="M52">
        <v>4.5999999999999996</v>
      </c>
      <c r="N52">
        <v>22</v>
      </c>
      <c r="O52">
        <v>120</v>
      </c>
      <c r="P52">
        <v>60</v>
      </c>
      <c r="Q52" t="s">
        <v>34</v>
      </c>
      <c r="R52">
        <v>45</v>
      </c>
      <c r="S52" t="s">
        <v>41</v>
      </c>
    </row>
    <row r="53" spans="1:19" x14ac:dyDescent="0.3">
      <c r="A53" t="s">
        <v>195</v>
      </c>
      <c r="B53" s="2">
        <v>45346</v>
      </c>
      <c r="C53" t="s">
        <v>113</v>
      </c>
      <c r="D53" t="s">
        <v>100</v>
      </c>
      <c r="E53" t="s">
        <v>196</v>
      </c>
      <c r="F53" t="s">
        <v>46</v>
      </c>
      <c r="G53" t="s">
        <v>197</v>
      </c>
      <c r="H53" t="s">
        <v>80</v>
      </c>
      <c r="I53" t="s">
        <v>26</v>
      </c>
      <c r="J53">
        <v>4</v>
      </c>
      <c r="K53">
        <v>302</v>
      </c>
      <c r="L53">
        <v>1208</v>
      </c>
      <c r="M53">
        <v>4.3</v>
      </c>
      <c r="N53">
        <v>20</v>
      </c>
      <c r="P53">
        <v>0</v>
      </c>
      <c r="Q53" t="s">
        <v>27</v>
      </c>
      <c r="R53">
        <v>42</v>
      </c>
      <c r="S53" t="s">
        <v>28</v>
      </c>
    </row>
    <row r="54" spans="1:19" x14ac:dyDescent="0.3">
      <c r="A54" t="s">
        <v>198</v>
      </c>
      <c r="B54" s="2">
        <v>45355</v>
      </c>
      <c r="C54" t="s">
        <v>55</v>
      </c>
      <c r="D54" t="s">
        <v>44</v>
      </c>
      <c r="E54" t="s">
        <v>199</v>
      </c>
      <c r="F54" t="s">
        <v>200</v>
      </c>
      <c r="G54" t="s">
        <v>201</v>
      </c>
      <c r="H54" t="s">
        <v>80</v>
      </c>
      <c r="I54" t="s">
        <v>26</v>
      </c>
      <c r="J54">
        <v>3</v>
      </c>
      <c r="K54">
        <v>576</v>
      </c>
      <c r="L54">
        <v>1728</v>
      </c>
      <c r="M54">
        <v>4.2</v>
      </c>
      <c r="N54">
        <v>32</v>
      </c>
      <c r="O54">
        <v>40</v>
      </c>
      <c r="P54">
        <v>10</v>
      </c>
      <c r="Q54" t="s">
        <v>34</v>
      </c>
      <c r="R54">
        <v>46</v>
      </c>
      <c r="S54" t="s">
        <v>28</v>
      </c>
    </row>
    <row r="55" spans="1:19" x14ac:dyDescent="0.3">
      <c r="A55" t="s">
        <v>202</v>
      </c>
      <c r="B55" s="2">
        <v>45422</v>
      </c>
      <c r="C55" t="s">
        <v>71</v>
      </c>
      <c r="D55" t="s">
        <v>21</v>
      </c>
      <c r="E55" t="s">
        <v>203</v>
      </c>
      <c r="F55" t="s">
        <v>23</v>
      </c>
      <c r="G55" t="s">
        <v>204</v>
      </c>
      <c r="H55" t="s">
        <v>80</v>
      </c>
      <c r="I55" t="s">
        <v>26</v>
      </c>
      <c r="J55">
        <v>4</v>
      </c>
      <c r="K55">
        <v>272</v>
      </c>
      <c r="L55">
        <v>1088</v>
      </c>
      <c r="M55">
        <v>4.3</v>
      </c>
      <c r="N55">
        <v>32</v>
      </c>
      <c r="O55">
        <v>1500</v>
      </c>
      <c r="P55">
        <v>10</v>
      </c>
      <c r="Q55" t="s">
        <v>27</v>
      </c>
      <c r="R55">
        <v>33</v>
      </c>
      <c r="S55" t="s">
        <v>28</v>
      </c>
    </row>
    <row r="56" spans="1:19" x14ac:dyDescent="0.3">
      <c r="A56" t="s">
        <v>205</v>
      </c>
      <c r="B56" s="2">
        <v>45520</v>
      </c>
      <c r="C56" t="s">
        <v>82</v>
      </c>
      <c r="D56" t="s">
        <v>21</v>
      </c>
      <c r="E56" t="s">
        <v>206</v>
      </c>
      <c r="F56" t="s">
        <v>46</v>
      </c>
      <c r="G56" t="s">
        <v>207</v>
      </c>
      <c r="H56" t="s">
        <v>80</v>
      </c>
      <c r="I56" t="s">
        <v>26</v>
      </c>
      <c r="J56">
        <v>4</v>
      </c>
      <c r="K56">
        <v>434</v>
      </c>
      <c r="L56">
        <v>1736</v>
      </c>
      <c r="M56">
        <v>4.4000000000000004</v>
      </c>
      <c r="N56">
        <v>28</v>
      </c>
      <c r="O56">
        <v>75</v>
      </c>
      <c r="P56">
        <v>30</v>
      </c>
      <c r="Q56" t="s">
        <v>27</v>
      </c>
      <c r="R56">
        <v>40</v>
      </c>
      <c r="S56" t="s">
        <v>41</v>
      </c>
    </row>
    <row r="57" spans="1:19" x14ac:dyDescent="0.3">
      <c r="A57" t="s">
        <v>208</v>
      </c>
      <c r="B57" s="2">
        <v>45342</v>
      </c>
      <c r="C57" t="s">
        <v>113</v>
      </c>
      <c r="D57" t="s">
        <v>36</v>
      </c>
      <c r="E57" t="s">
        <v>209</v>
      </c>
      <c r="F57" t="s">
        <v>23</v>
      </c>
      <c r="G57" t="s">
        <v>210</v>
      </c>
      <c r="H57" t="s">
        <v>80</v>
      </c>
      <c r="I57" t="s">
        <v>26</v>
      </c>
      <c r="J57">
        <v>1</v>
      </c>
      <c r="K57">
        <v>453</v>
      </c>
      <c r="L57">
        <v>453</v>
      </c>
      <c r="M57">
        <v>4.3</v>
      </c>
      <c r="N57">
        <v>14</v>
      </c>
      <c r="O57">
        <v>100</v>
      </c>
      <c r="P57">
        <v>10</v>
      </c>
      <c r="Q57" t="s">
        <v>27</v>
      </c>
      <c r="R57">
        <v>19</v>
      </c>
      <c r="S57" t="s">
        <v>41</v>
      </c>
    </row>
    <row r="58" spans="1:19" x14ac:dyDescent="0.3">
      <c r="A58" t="s">
        <v>211</v>
      </c>
      <c r="B58" s="2">
        <v>45426</v>
      </c>
      <c r="C58" t="s">
        <v>71</v>
      </c>
      <c r="D58" t="s">
        <v>36</v>
      </c>
      <c r="E58" t="s">
        <v>56</v>
      </c>
      <c r="F58" t="s">
        <v>23</v>
      </c>
      <c r="G58" t="s">
        <v>57</v>
      </c>
      <c r="H58" t="s">
        <v>40</v>
      </c>
      <c r="I58" t="s">
        <v>26</v>
      </c>
      <c r="J58">
        <v>3</v>
      </c>
      <c r="K58">
        <v>243</v>
      </c>
      <c r="L58">
        <v>729</v>
      </c>
      <c r="M58">
        <v>3.8</v>
      </c>
      <c r="N58">
        <v>32</v>
      </c>
      <c r="O58">
        <v>120</v>
      </c>
      <c r="P58">
        <v>60</v>
      </c>
      <c r="Q58" t="s">
        <v>27</v>
      </c>
      <c r="R58">
        <v>39</v>
      </c>
      <c r="S58" t="s">
        <v>28</v>
      </c>
    </row>
    <row r="59" spans="1:19" x14ac:dyDescent="0.3">
      <c r="A59" t="s">
        <v>212</v>
      </c>
      <c r="B59" s="2">
        <v>45312</v>
      </c>
      <c r="C59" t="s">
        <v>43</v>
      </c>
      <c r="D59" t="s">
        <v>60</v>
      </c>
      <c r="E59" t="s">
        <v>213</v>
      </c>
      <c r="F59" t="s">
        <v>214</v>
      </c>
      <c r="G59" t="s">
        <v>215</v>
      </c>
      <c r="H59" t="s">
        <v>40</v>
      </c>
      <c r="I59" t="s">
        <v>26</v>
      </c>
      <c r="J59">
        <v>3</v>
      </c>
      <c r="K59">
        <v>592</v>
      </c>
      <c r="L59">
        <v>1776</v>
      </c>
      <c r="O59">
        <v>100</v>
      </c>
      <c r="P59">
        <v>50</v>
      </c>
      <c r="Q59" t="s">
        <v>27</v>
      </c>
      <c r="R59">
        <v>35</v>
      </c>
      <c r="S59" t="s">
        <v>41</v>
      </c>
    </row>
    <row r="60" spans="1:19" x14ac:dyDescent="0.3">
      <c r="A60" t="s">
        <v>216</v>
      </c>
      <c r="B60" s="2">
        <v>45364</v>
      </c>
      <c r="C60" t="s">
        <v>55</v>
      </c>
      <c r="D60" t="s">
        <v>72</v>
      </c>
      <c r="E60" t="s">
        <v>217</v>
      </c>
      <c r="F60" t="s">
        <v>46</v>
      </c>
      <c r="G60" t="s">
        <v>218</v>
      </c>
      <c r="H60" t="s">
        <v>64</v>
      </c>
      <c r="I60" t="s">
        <v>26</v>
      </c>
      <c r="J60">
        <v>4</v>
      </c>
      <c r="K60">
        <v>233</v>
      </c>
      <c r="L60">
        <v>932</v>
      </c>
      <c r="M60">
        <v>4.7</v>
      </c>
      <c r="N60">
        <v>15</v>
      </c>
      <c r="O60">
        <v>50</v>
      </c>
      <c r="P60">
        <v>20</v>
      </c>
      <c r="Q60" t="s">
        <v>27</v>
      </c>
      <c r="R60">
        <v>48</v>
      </c>
      <c r="S60" t="s">
        <v>28</v>
      </c>
    </row>
    <row r="61" spans="1:19" x14ac:dyDescent="0.3">
      <c r="A61" t="s">
        <v>219</v>
      </c>
      <c r="B61" s="2">
        <v>45458</v>
      </c>
      <c r="C61" t="s">
        <v>30</v>
      </c>
      <c r="D61" t="s">
        <v>100</v>
      </c>
      <c r="E61" t="s">
        <v>220</v>
      </c>
      <c r="F61" t="s">
        <v>46</v>
      </c>
      <c r="G61" t="s">
        <v>221</v>
      </c>
      <c r="H61" t="s">
        <v>80</v>
      </c>
      <c r="I61" t="s">
        <v>26</v>
      </c>
      <c r="J61">
        <v>3</v>
      </c>
      <c r="K61">
        <v>397</v>
      </c>
      <c r="L61">
        <v>1191</v>
      </c>
      <c r="M61">
        <v>3.8</v>
      </c>
      <c r="N61">
        <v>25</v>
      </c>
      <c r="P61">
        <v>0</v>
      </c>
      <c r="Q61" t="s">
        <v>27</v>
      </c>
      <c r="R61">
        <v>34</v>
      </c>
      <c r="S61" t="s">
        <v>41</v>
      </c>
    </row>
    <row r="62" spans="1:19" x14ac:dyDescent="0.3">
      <c r="A62" t="s">
        <v>222</v>
      </c>
      <c r="B62" s="2">
        <v>45309</v>
      </c>
      <c r="C62" t="s">
        <v>43</v>
      </c>
      <c r="D62" t="s">
        <v>92</v>
      </c>
      <c r="E62" t="s">
        <v>223</v>
      </c>
      <c r="F62" t="s">
        <v>23</v>
      </c>
      <c r="G62" t="s">
        <v>224</v>
      </c>
      <c r="H62" t="s">
        <v>53</v>
      </c>
      <c r="I62" t="s">
        <v>33</v>
      </c>
      <c r="J62">
        <v>2</v>
      </c>
      <c r="K62">
        <v>533</v>
      </c>
      <c r="L62">
        <v>1066</v>
      </c>
      <c r="M62">
        <v>4.0999999999999996</v>
      </c>
      <c r="N62">
        <v>31</v>
      </c>
      <c r="P62">
        <v>0</v>
      </c>
      <c r="Q62" t="s">
        <v>27</v>
      </c>
      <c r="R62">
        <v>47</v>
      </c>
      <c r="S62" t="s">
        <v>41</v>
      </c>
    </row>
    <row r="63" spans="1:19" x14ac:dyDescent="0.3">
      <c r="A63" t="s">
        <v>225</v>
      </c>
      <c r="B63" s="2">
        <v>45423</v>
      </c>
      <c r="C63" t="s">
        <v>71</v>
      </c>
      <c r="D63" t="s">
        <v>100</v>
      </c>
      <c r="E63" t="s">
        <v>226</v>
      </c>
      <c r="F63" t="s">
        <v>137</v>
      </c>
      <c r="G63" t="s">
        <v>227</v>
      </c>
      <c r="H63" t="s">
        <v>80</v>
      </c>
      <c r="I63" t="s">
        <v>26</v>
      </c>
      <c r="J63">
        <v>2</v>
      </c>
      <c r="K63">
        <v>587</v>
      </c>
      <c r="L63">
        <v>1174</v>
      </c>
      <c r="M63">
        <v>4.4000000000000004</v>
      </c>
      <c r="N63">
        <v>33</v>
      </c>
      <c r="P63">
        <v>0</v>
      </c>
      <c r="Q63" t="s">
        <v>27</v>
      </c>
      <c r="R63">
        <v>24</v>
      </c>
      <c r="S63" t="s">
        <v>28</v>
      </c>
    </row>
    <row r="64" spans="1:19" x14ac:dyDescent="0.3">
      <c r="A64" t="s">
        <v>228</v>
      </c>
      <c r="B64" s="2">
        <v>45380</v>
      </c>
      <c r="C64" t="s">
        <v>55</v>
      </c>
      <c r="D64" t="s">
        <v>21</v>
      </c>
      <c r="E64" t="s">
        <v>229</v>
      </c>
      <c r="F64" t="s">
        <v>62</v>
      </c>
      <c r="G64" t="s">
        <v>230</v>
      </c>
      <c r="H64" t="s">
        <v>80</v>
      </c>
      <c r="I64" t="s">
        <v>26</v>
      </c>
      <c r="J64">
        <v>3</v>
      </c>
      <c r="K64">
        <v>332</v>
      </c>
      <c r="L64">
        <v>996</v>
      </c>
      <c r="M64">
        <v>4.4000000000000004</v>
      </c>
      <c r="N64">
        <v>33</v>
      </c>
      <c r="P64">
        <v>0</v>
      </c>
      <c r="Q64" t="s">
        <v>34</v>
      </c>
      <c r="R64">
        <v>30</v>
      </c>
      <c r="S64" t="s">
        <v>28</v>
      </c>
    </row>
    <row r="65" spans="1:19" x14ac:dyDescent="0.3">
      <c r="A65" t="s">
        <v>231</v>
      </c>
      <c r="B65" s="2">
        <v>45351</v>
      </c>
      <c r="C65" t="s">
        <v>113</v>
      </c>
      <c r="D65" t="s">
        <v>92</v>
      </c>
      <c r="E65" t="s">
        <v>232</v>
      </c>
      <c r="F65" t="s">
        <v>115</v>
      </c>
      <c r="G65" t="s">
        <v>233</v>
      </c>
      <c r="H65" t="s">
        <v>80</v>
      </c>
      <c r="I65" t="s">
        <v>26</v>
      </c>
      <c r="J65">
        <v>3</v>
      </c>
      <c r="K65">
        <v>291</v>
      </c>
      <c r="L65">
        <v>873</v>
      </c>
      <c r="M65">
        <v>4.4000000000000004</v>
      </c>
      <c r="N65">
        <v>34</v>
      </c>
      <c r="O65">
        <v>999</v>
      </c>
      <c r="P65">
        <v>0</v>
      </c>
      <c r="Q65" t="s">
        <v>49</v>
      </c>
      <c r="R65">
        <v>49</v>
      </c>
      <c r="S65" t="s">
        <v>28</v>
      </c>
    </row>
    <row r="66" spans="1:19" x14ac:dyDescent="0.3">
      <c r="A66" t="s">
        <v>234</v>
      </c>
      <c r="B66" s="2">
        <v>45305</v>
      </c>
      <c r="C66" t="s">
        <v>43</v>
      </c>
      <c r="D66" t="s">
        <v>60</v>
      </c>
      <c r="E66" t="s">
        <v>61</v>
      </c>
      <c r="F66" t="s">
        <v>62</v>
      </c>
      <c r="G66" t="s">
        <v>63</v>
      </c>
      <c r="H66" t="s">
        <v>64</v>
      </c>
      <c r="I66" t="s">
        <v>26</v>
      </c>
      <c r="J66">
        <v>4</v>
      </c>
      <c r="K66">
        <v>407</v>
      </c>
      <c r="L66">
        <v>1628</v>
      </c>
      <c r="M66">
        <v>4.4000000000000004</v>
      </c>
      <c r="N66">
        <v>24</v>
      </c>
      <c r="O66">
        <v>150</v>
      </c>
      <c r="P66">
        <v>60</v>
      </c>
      <c r="Q66" t="s">
        <v>27</v>
      </c>
      <c r="R66">
        <v>35</v>
      </c>
      <c r="S66" t="s">
        <v>28</v>
      </c>
    </row>
    <row r="67" spans="1:19" x14ac:dyDescent="0.3">
      <c r="A67" t="s">
        <v>235</v>
      </c>
      <c r="B67" s="2">
        <v>45300</v>
      </c>
      <c r="C67" t="s">
        <v>43</v>
      </c>
      <c r="D67" t="s">
        <v>36</v>
      </c>
      <c r="E67" t="s">
        <v>236</v>
      </c>
      <c r="F67" t="s">
        <v>87</v>
      </c>
      <c r="G67" t="s">
        <v>237</v>
      </c>
      <c r="H67" t="s">
        <v>80</v>
      </c>
      <c r="I67" t="s">
        <v>26</v>
      </c>
      <c r="J67">
        <v>2</v>
      </c>
      <c r="K67">
        <v>554</v>
      </c>
      <c r="L67">
        <v>1108</v>
      </c>
      <c r="M67">
        <v>4.3</v>
      </c>
      <c r="N67">
        <v>33</v>
      </c>
      <c r="O67">
        <v>449</v>
      </c>
      <c r="P67">
        <v>0</v>
      </c>
      <c r="Q67" t="s">
        <v>49</v>
      </c>
      <c r="R67">
        <v>46</v>
      </c>
      <c r="S67" t="s">
        <v>28</v>
      </c>
    </row>
    <row r="68" spans="1:19" x14ac:dyDescent="0.3">
      <c r="A68" t="s">
        <v>238</v>
      </c>
      <c r="B68" s="2">
        <v>45381</v>
      </c>
      <c r="C68" t="s">
        <v>55</v>
      </c>
      <c r="D68" t="s">
        <v>100</v>
      </c>
      <c r="E68" t="s">
        <v>66</v>
      </c>
      <c r="F68" t="s">
        <v>23</v>
      </c>
      <c r="G68" t="s">
        <v>64</v>
      </c>
      <c r="H68" t="s">
        <v>64</v>
      </c>
      <c r="I68" t="s">
        <v>26</v>
      </c>
      <c r="J68">
        <v>2</v>
      </c>
      <c r="K68">
        <v>293</v>
      </c>
      <c r="L68">
        <v>586</v>
      </c>
      <c r="M68">
        <v>4.5</v>
      </c>
      <c r="N68">
        <v>14</v>
      </c>
      <c r="P68">
        <v>0</v>
      </c>
      <c r="Q68" t="s">
        <v>27</v>
      </c>
      <c r="R68">
        <v>31</v>
      </c>
      <c r="S68" t="s">
        <v>41</v>
      </c>
    </row>
    <row r="69" spans="1:19" x14ac:dyDescent="0.3">
      <c r="A69" t="s">
        <v>239</v>
      </c>
      <c r="B69" s="2">
        <v>45344</v>
      </c>
      <c r="C69" t="s">
        <v>113</v>
      </c>
      <c r="D69" t="s">
        <v>92</v>
      </c>
      <c r="E69" t="s">
        <v>240</v>
      </c>
      <c r="F69" t="s">
        <v>23</v>
      </c>
      <c r="G69" t="s">
        <v>241</v>
      </c>
      <c r="H69" t="s">
        <v>80</v>
      </c>
      <c r="I69" t="s">
        <v>26</v>
      </c>
      <c r="J69">
        <v>1</v>
      </c>
      <c r="K69">
        <v>232</v>
      </c>
      <c r="L69">
        <v>232</v>
      </c>
      <c r="M69">
        <v>4.5</v>
      </c>
      <c r="N69">
        <v>31</v>
      </c>
      <c r="O69">
        <v>40</v>
      </c>
      <c r="P69">
        <v>10</v>
      </c>
      <c r="Q69" t="s">
        <v>27</v>
      </c>
      <c r="R69">
        <v>47</v>
      </c>
      <c r="S69" t="s">
        <v>41</v>
      </c>
    </row>
    <row r="70" spans="1:19" x14ac:dyDescent="0.3">
      <c r="A70" t="s">
        <v>242</v>
      </c>
      <c r="B70" s="2">
        <v>45421</v>
      </c>
      <c r="C70" t="s">
        <v>71</v>
      </c>
      <c r="D70" t="s">
        <v>92</v>
      </c>
      <c r="E70" t="s">
        <v>243</v>
      </c>
      <c r="F70" t="s">
        <v>23</v>
      </c>
      <c r="G70" t="s">
        <v>244</v>
      </c>
      <c r="H70" t="s">
        <v>64</v>
      </c>
      <c r="I70" t="s">
        <v>26</v>
      </c>
      <c r="J70">
        <v>4</v>
      </c>
      <c r="K70">
        <v>495</v>
      </c>
      <c r="L70">
        <v>1980</v>
      </c>
      <c r="M70">
        <v>4.5</v>
      </c>
      <c r="N70">
        <v>25</v>
      </c>
      <c r="O70">
        <v>50</v>
      </c>
      <c r="P70">
        <v>20</v>
      </c>
      <c r="Q70" t="s">
        <v>34</v>
      </c>
      <c r="R70">
        <v>35</v>
      </c>
      <c r="S70" t="s">
        <v>28</v>
      </c>
    </row>
    <row r="71" spans="1:19" x14ac:dyDescent="0.3">
      <c r="A71" t="s">
        <v>245</v>
      </c>
      <c r="B71" s="2">
        <v>45375</v>
      </c>
      <c r="C71" t="s">
        <v>55</v>
      </c>
      <c r="D71" t="s">
        <v>60</v>
      </c>
      <c r="E71" t="s">
        <v>246</v>
      </c>
      <c r="F71" t="s">
        <v>23</v>
      </c>
      <c r="G71" t="s">
        <v>204</v>
      </c>
      <c r="H71" t="s">
        <v>80</v>
      </c>
      <c r="I71" t="s">
        <v>26</v>
      </c>
      <c r="J71">
        <v>1</v>
      </c>
      <c r="K71">
        <v>524</v>
      </c>
      <c r="L71">
        <v>524</v>
      </c>
      <c r="M71">
        <v>4.4000000000000004</v>
      </c>
      <c r="N71">
        <v>26</v>
      </c>
      <c r="O71">
        <v>40</v>
      </c>
      <c r="P71">
        <v>10</v>
      </c>
      <c r="Q71" t="s">
        <v>75</v>
      </c>
      <c r="R71">
        <v>30</v>
      </c>
      <c r="S71" t="s">
        <v>28</v>
      </c>
    </row>
    <row r="72" spans="1:19" x14ac:dyDescent="0.3">
      <c r="A72" t="s">
        <v>247</v>
      </c>
      <c r="B72" s="2">
        <v>45383</v>
      </c>
      <c r="C72" t="s">
        <v>20</v>
      </c>
      <c r="D72" t="s">
        <v>44</v>
      </c>
      <c r="E72" t="s">
        <v>73</v>
      </c>
      <c r="F72" t="s">
        <v>23</v>
      </c>
      <c r="G72" t="s">
        <v>74</v>
      </c>
      <c r="H72" t="s">
        <v>64</v>
      </c>
      <c r="I72" t="s">
        <v>26</v>
      </c>
      <c r="J72">
        <v>2</v>
      </c>
      <c r="K72">
        <v>241</v>
      </c>
      <c r="L72">
        <v>482</v>
      </c>
      <c r="M72">
        <v>4.5999999999999996</v>
      </c>
      <c r="N72">
        <v>13</v>
      </c>
      <c r="O72">
        <v>50</v>
      </c>
      <c r="P72">
        <v>20</v>
      </c>
      <c r="Q72" t="s">
        <v>75</v>
      </c>
      <c r="R72">
        <v>28</v>
      </c>
      <c r="S72" t="s">
        <v>28</v>
      </c>
    </row>
    <row r="73" spans="1:19" x14ac:dyDescent="0.3">
      <c r="A73" t="s">
        <v>248</v>
      </c>
      <c r="B73" s="2">
        <v>45402</v>
      </c>
      <c r="C73" t="s">
        <v>20</v>
      </c>
      <c r="D73" t="s">
        <v>100</v>
      </c>
      <c r="E73" t="s">
        <v>249</v>
      </c>
      <c r="F73" t="s">
        <v>46</v>
      </c>
      <c r="G73" t="s">
        <v>250</v>
      </c>
      <c r="H73" t="s">
        <v>64</v>
      </c>
      <c r="I73" t="s">
        <v>26</v>
      </c>
      <c r="J73">
        <v>4</v>
      </c>
      <c r="K73">
        <v>151</v>
      </c>
      <c r="L73">
        <v>604</v>
      </c>
      <c r="M73">
        <v>4.7</v>
      </c>
      <c r="N73">
        <v>13</v>
      </c>
      <c r="P73">
        <v>0</v>
      </c>
      <c r="Q73" t="s">
        <v>34</v>
      </c>
      <c r="R73">
        <v>38</v>
      </c>
      <c r="S73" t="s">
        <v>41</v>
      </c>
    </row>
    <row r="74" spans="1:19" x14ac:dyDescent="0.3">
      <c r="A74" t="s">
        <v>251</v>
      </c>
      <c r="B74" s="2">
        <v>45479</v>
      </c>
      <c r="C74" t="s">
        <v>59</v>
      </c>
      <c r="D74" t="s">
        <v>100</v>
      </c>
      <c r="E74" t="s">
        <v>68</v>
      </c>
      <c r="F74" t="s">
        <v>23</v>
      </c>
      <c r="G74" t="s">
        <v>69</v>
      </c>
      <c r="H74" t="s">
        <v>48</v>
      </c>
      <c r="I74" t="s">
        <v>33</v>
      </c>
      <c r="J74">
        <v>3</v>
      </c>
      <c r="K74">
        <v>341</v>
      </c>
      <c r="L74">
        <v>1023</v>
      </c>
      <c r="M74">
        <v>4.5</v>
      </c>
      <c r="N74">
        <v>22</v>
      </c>
      <c r="O74">
        <v>50</v>
      </c>
      <c r="P74">
        <v>20</v>
      </c>
      <c r="Q74" t="s">
        <v>49</v>
      </c>
      <c r="R74">
        <v>47</v>
      </c>
      <c r="S74" t="s">
        <v>28</v>
      </c>
    </row>
    <row r="75" spans="1:19" x14ac:dyDescent="0.3">
      <c r="A75" t="s">
        <v>252</v>
      </c>
      <c r="B75" s="2">
        <v>45490</v>
      </c>
      <c r="C75" t="s">
        <v>59</v>
      </c>
      <c r="D75" t="s">
        <v>72</v>
      </c>
      <c r="E75" t="s">
        <v>253</v>
      </c>
      <c r="F75" t="s">
        <v>23</v>
      </c>
      <c r="G75" t="s">
        <v>254</v>
      </c>
      <c r="H75" t="s">
        <v>40</v>
      </c>
      <c r="I75" t="s">
        <v>26</v>
      </c>
      <c r="J75">
        <v>4</v>
      </c>
      <c r="K75">
        <v>238</v>
      </c>
      <c r="L75">
        <v>952</v>
      </c>
      <c r="M75">
        <v>4.3</v>
      </c>
      <c r="O75">
        <v>100</v>
      </c>
      <c r="P75">
        <v>50</v>
      </c>
      <c r="Q75" t="s">
        <v>75</v>
      </c>
      <c r="R75">
        <v>38</v>
      </c>
      <c r="S75" t="s">
        <v>28</v>
      </c>
    </row>
    <row r="76" spans="1:19" x14ac:dyDescent="0.3">
      <c r="A76" t="s">
        <v>255</v>
      </c>
      <c r="B76" s="2">
        <v>45463</v>
      </c>
      <c r="C76" t="s">
        <v>30</v>
      </c>
      <c r="D76" t="s">
        <v>92</v>
      </c>
      <c r="E76" t="s">
        <v>256</v>
      </c>
      <c r="F76" t="s">
        <v>257</v>
      </c>
      <c r="G76" t="s">
        <v>258</v>
      </c>
      <c r="H76" t="s">
        <v>80</v>
      </c>
      <c r="I76" t="s">
        <v>26</v>
      </c>
      <c r="J76">
        <v>3</v>
      </c>
      <c r="K76">
        <v>158</v>
      </c>
      <c r="L76">
        <v>474</v>
      </c>
      <c r="M76">
        <v>4.5</v>
      </c>
      <c r="O76">
        <v>100</v>
      </c>
      <c r="P76">
        <v>50</v>
      </c>
      <c r="Q76" t="s">
        <v>34</v>
      </c>
      <c r="R76">
        <v>33</v>
      </c>
      <c r="S76" t="s">
        <v>41</v>
      </c>
    </row>
    <row r="77" spans="1:19" x14ac:dyDescent="0.3">
      <c r="A77" t="s">
        <v>259</v>
      </c>
      <c r="B77" s="2">
        <v>45299</v>
      </c>
      <c r="C77" t="s">
        <v>43</v>
      </c>
      <c r="D77" t="s">
        <v>44</v>
      </c>
      <c r="E77" t="s">
        <v>260</v>
      </c>
      <c r="F77" t="s">
        <v>192</v>
      </c>
      <c r="G77" t="s">
        <v>261</v>
      </c>
      <c r="H77" t="s">
        <v>53</v>
      </c>
      <c r="I77" t="s">
        <v>26</v>
      </c>
      <c r="J77">
        <v>3</v>
      </c>
      <c r="K77">
        <v>387</v>
      </c>
      <c r="L77">
        <v>1161</v>
      </c>
      <c r="M77">
        <v>4.5</v>
      </c>
      <c r="N77">
        <v>19</v>
      </c>
      <c r="O77">
        <v>50</v>
      </c>
      <c r="P77">
        <v>20</v>
      </c>
      <c r="Q77" t="s">
        <v>34</v>
      </c>
      <c r="R77">
        <v>40</v>
      </c>
      <c r="S77" t="s">
        <v>41</v>
      </c>
    </row>
    <row r="78" spans="1:19" x14ac:dyDescent="0.3">
      <c r="A78" t="s">
        <v>262</v>
      </c>
      <c r="B78" s="2">
        <v>45466</v>
      </c>
      <c r="C78" t="s">
        <v>30</v>
      </c>
      <c r="D78" t="s">
        <v>60</v>
      </c>
      <c r="E78" t="s">
        <v>263</v>
      </c>
      <c r="F78" t="s">
        <v>264</v>
      </c>
      <c r="G78" t="s">
        <v>265</v>
      </c>
      <c r="H78" t="s">
        <v>80</v>
      </c>
      <c r="I78" t="s">
        <v>26</v>
      </c>
      <c r="J78">
        <v>4</v>
      </c>
      <c r="K78">
        <v>352</v>
      </c>
      <c r="L78">
        <v>1408</v>
      </c>
      <c r="M78">
        <v>4.3</v>
      </c>
      <c r="O78">
        <v>100</v>
      </c>
      <c r="P78">
        <v>50</v>
      </c>
      <c r="Q78" t="s">
        <v>75</v>
      </c>
      <c r="R78">
        <v>34</v>
      </c>
      <c r="S78" t="s">
        <v>41</v>
      </c>
    </row>
    <row r="79" spans="1:19" x14ac:dyDescent="0.3">
      <c r="A79" t="s">
        <v>266</v>
      </c>
      <c r="B79" s="2">
        <v>45326</v>
      </c>
      <c r="C79" t="s">
        <v>113</v>
      </c>
      <c r="D79" t="s">
        <v>60</v>
      </c>
      <c r="E79" t="s">
        <v>267</v>
      </c>
      <c r="F79" t="s">
        <v>268</v>
      </c>
      <c r="G79" t="s">
        <v>269</v>
      </c>
      <c r="H79" t="s">
        <v>48</v>
      </c>
      <c r="I79" t="s">
        <v>33</v>
      </c>
      <c r="J79">
        <v>3</v>
      </c>
      <c r="K79">
        <v>550</v>
      </c>
      <c r="L79">
        <v>1650</v>
      </c>
      <c r="M79">
        <v>4.2</v>
      </c>
      <c r="O79">
        <v>100</v>
      </c>
      <c r="P79">
        <v>50</v>
      </c>
      <c r="Q79" t="s">
        <v>49</v>
      </c>
      <c r="R79">
        <v>25</v>
      </c>
      <c r="S79" t="s">
        <v>41</v>
      </c>
    </row>
    <row r="80" spans="1:19" x14ac:dyDescent="0.3">
      <c r="A80" t="s">
        <v>270</v>
      </c>
      <c r="B80" s="2">
        <v>45497</v>
      </c>
      <c r="C80" t="s">
        <v>59</v>
      </c>
      <c r="D80" t="s">
        <v>72</v>
      </c>
      <c r="E80" t="s">
        <v>271</v>
      </c>
      <c r="F80" t="s">
        <v>115</v>
      </c>
      <c r="G80" t="s">
        <v>64</v>
      </c>
      <c r="H80" t="s">
        <v>64</v>
      </c>
      <c r="I80" t="s">
        <v>26</v>
      </c>
      <c r="J80">
        <v>1</v>
      </c>
      <c r="K80">
        <v>137</v>
      </c>
      <c r="L80">
        <v>137</v>
      </c>
      <c r="M80">
        <v>4.0999999999999996</v>
      </c>
      <c r="N80">
        <v>29</v>
      </c>
      <c r="P80">
        <v>0</v>
      </c>
      <c r="Q80" t="s">
        <v>34</v>
      </c>
      <c r="R80">
        <v>36</v>
      </c>
      <c r="S80" t="s">
        <v>28</v>
      </c>
    </row>
    <row r="81" spans="1:19" x14ac:dyDescent="0.3">
      <c r="A81" t="s">
        <v>272</v>
      </c>
      <c r="B81" s="2">
        <v>45372</v>
      </c>
      <c r="C81" t="s">
        <v>55</v>
      </c>
      <c r="D81" t="s">
        <v>92</v>
      </c>
      <c r="E81" t="s">
        <v>273</v>
      </c>
      <c r="F81" t="s">
        <v>137</v>
      </c>
      <c r="G81" t="s">
        <v>274</v>
      </c>
      <c r="H81" t="s">
        <v>80</v>
      </c>
      <c r="I81" t="s">
        <v>26</v>
      </c>
      <c r="J81">
        <v>2</v>
      </c>
      <c r="K81">
        <v>268</v>
      </c>
      <c r="L81">
        <v>536</v>
      </c>
      <c r="M81">
        <v>4.4000000000000004</v>
      </c>
      <c r="N81">
        <v>29</v>
      </c>
      <c r="P81">
        <v>0</v>
      </c>
      <c r="Q81" t="s">
        <v>27</v>
      </c>
      <c r="R81">
        <v>37</v>
      </c>
      <c r="S81" t="s">
        <v>41</v>
      </c>
    </row>
    <row r="82" spans="1:19" x14ac:dyDescent="0.3">
      <c r="A82" t="s">
        <v>275</v>
      </c>
      <c r="B82" s="2">
        <v>45455</v>
      </c>
      <c r="C82" t="s">
        <v>30</v>
      </c>
      <c r="D82" t="s">
        <v>72</v>
      </c>
      <c r="E82" t="s">
        <v>77</v>
      </c>
      <c r="F82" t="s">
        <v>78</v>
      </c>
      <c r="G82" t="s">
        <v>79</v>
      </c>
      <c r="H82" t="s">
        <v>80</v>
      </c>
      <c r="I82" t="s">
        <v>26</v>
      </c>
      <c r="J82">
        <v>3</v>
      </c>
      <c r="K82">
        <v>516</v>
      </c>
      <c r="L82">
        <v>1548</v>
      </c>
      <c r="M82">
        <v>4.7</v>
      </c>
      <c r="N82">
        <v>27</v>
      </c>
      <c r="P82">
        <v>0</v>
      </c>
      <c r="Q82" t="s">
        <v>49</v>
      </c>
      <c r="R82">
        <v>32</v>
      </c>
      <c r="S82" t="s">
        <v>41</v>
      </c>
    </row>
    <row r="83" spans="1:19" x14ac:dyDescent="0.3">
      <c r="A83" t="s">
        <v>276</v>
      </c>
      <c r="B83" s="2">
        <v>45341</v>
      </c>
      <c r="C83" t="s">
        <v>113</v>
      </c>
      <c r="D83" t="s">
        <v>44</v>
      </c>
      <c r="E83" t="s">
        <v>277</v>
      </c>
      <c r="F83" t="s">
        <v>278</v>
      </c>
      <c r="G83" t="s">
        <v>279</v>
      </c>
      <c r="H83" t="s">
        <v>40</v>
      </c>
      <c r="I83" t="s">
        <v>26</v>
      </c>
      <c r="J83">
        <v>1</v>
      </c>
      <c r="K83">
        <v>268</v>
      </c>
      <c r="L83">
        <v>268</v>
      </c>
      <c r="M83">
        <v>4.2</v>
      </c>
      <c r="N83">
        <v>25</v>
      </c>
      <c r="O83">
        <v>100</v>
      </c>
      <c r="P83">
        <v>50</v>
      </c>
      <c r="Q83" t="s">
        <v>49</v>
      </c>
      <c r="R83">
        <v>26</v>
      </c>
      <c r="S83" t="s">
        <v>28</v>
      </c>
    </row>
    <row r="84" spans="1:19" x14ac:dyDescent="0.3">
      <c r="A84" t="s">
        <v>280</v>
      </c>
      <c r="B84" s="2">
        <v>45395</v>
      </c>
      <c r="C84" t="s">
        <v>20</v>
      </c>
      <c r="D84" t="s">
        <v>100</v>
      </c>
      <c r="E84" t="s">
        <v>281</v>
      </c>
      <c r="F84" t="s">
        <v>62</v>
      </c>
      <c r="G84" t="s">
        <v>282</v>
      </c>
      <c r="H84" t="s">
        <v>64</v>
      </c>
      <c r="I84" t="s">
        <v>26</v>
      </c>
      <c r="J84">
        <v>3</v>
      </c>
      <c r="K84">
        <v>245</v>
      </c>
      <c r="L84">
        <v>735</v>
      </c>
      <c r="M84">
        <v>4.7</v>
      </c>
      <c r="N84">
        <v>30</v>
      </c>
      <c r="P84">
        <v>0</v>
      </c>
      <c r="Q84" t="s">
        <v>75</v>
      </c>
      <c r="R84">
        <v>37</v>
      </c>
      <c r="S84" t="s">
        <v>28</v>
      </c>
    </row>
    <row r="85" spans="1:19" x14ac:dyDescent="0.3">
      <c r="A85" t="s">
        <v>283</v>
      </c>
      <c r="B85" s="2">
        <v>45423</v>
      </c>
      <c r="C85" t="s">
        <v>71</v>
      </c>
      <c r="D85" t="s">
        <v>100</v>
      </c>
      <c r="E85" t="s">
        <v>284</v>
      </c>
      <c r="F85" t="s">
        <v>46</v>
      </c>
      <c r="G85" t="s">
        <v>285</v>
      </c>
      <c r="H85" t="s">
        <v>64</v>
      </c>
      <c r="I85" t="s">
        <v>26</v>
      </c>
      <c r="J85">
        <v>2</v>
      </c>
      <c r="K85">
        <v>511</v>
      </c>
      <c r="L85">
        <v>1022</v>
      </c>
      <c r="M85">
        <v>4.4000000000000004</v>
      </c>
      <c r="N85">
        <v>17</v>
      </c>
      <c r="O85">
        <v>900</v>
      </c>
      <c r="P85">
        <v>10</v>
      </c>
      <c r="Q85" t="s">
        <v>75</v>
      </c>
      <c r="R85">
        <v>27</v>
      </c>
      <c r="S85" t="s">
        <v>28</v>
      </c>
    </row>
    <row r="86" spans="1:19" x14ac:dyDescent="0.3">
      <c r="A86" t="s">
        <v>286</v>
      </c>
      <c r="B86" s="2">
        <v>45293</v>
      </c>
      <c r="C86" t="s">
        <v>43</v>
      </c>
      <c r="D86" t="s">
        <v>36</v>
      </c>
      <c r="E86" t="s">
        <v>83</v>
      </c>
      <c r="F86" t="s">
        <v>23</v>
      </c>
      <c r="G86" t="s">
        <v>84</v>
      </c>
      <c r="H86" t="s">
        <v>64</v>
      </c>
      <c r="I86" t="s">
        <v>26</v>
      </c>
      <c r="J86">
        <v>1</v>
      </c>
      <c r="K86">
        <v>421</v>
      </c>
      <c r="L86">
        <v>421</v>
      </c>
      <c r="M86">
        <v>4.7</v>
      </c>
      <c r="N86">
        <v>17</v>
      </c>
      <c r="O86">
        <v>149</v>
      </c>
      <c r="P86">
        <v>0</v>
      </c>
      <c r="Q86" t="s">
        <v>27</v>
      </c>
      <c r="R86">
        <v>29</v>
      </c>
      <c r="S86" t="s">
        <v>41</v>
      </c>
    </row>
    <row r="87" spans="1:19" x14ac:dyDescent="0.3">
      <c r="A87" t="s">
        <v>287</v>
      </c>
      <c r="B87" s="2">
        <v>45425</v>
      </c>
      <c r="C87" t="s">
        <v>71</v>
      </c>
      <c r="D87" t="s">
        <v>44</v>
      </c>
      <c r="E87" t="s">
        <v>288</v>
      </c>
      <c r="F87" t="s">
        <v>62</v>
      </c>
      <c r="G87" t="s">
        <v>289</v>
      </c>
      <c r="H87" t="s">
        <v>48</v>
      </c>
      <c r="I87" t="s">
        <v>33</v>
      </c>
      <c r="J87">
        <v>2</v>
      </c>
      <c r="K87">
        <v>479</v>
      </c>
      <c r="L87">
        <v>958</v>
      </c>
      <c r="M87">
        <v>4.5</v>
      </c>
      <c r="N87">
        <v>26</v>
      </c>
      <c r="P87">
        <v>0</v>
      </c>
      <c r="Q87" t="s">
        <v>34</v>
      </c>
      <c r="R87">
        <v>48</v>
      </c>
      <c r="S87" t="s">
        <v>28</v>
      </c>
    </row>
    <row r="88" spans="1:19" x14ac:dyDescent="0.3">
      <c r="A88" t="s">
        <v>290</v>
      </c>
      <c r="B88" s="2">
        <v>45345</v>
      </c>
      <c r="C88" t="s">
        <v>113</v>
      </c>
      <c r="D88" t="s">
        <v>21</v>
      </c>
      <c r="E88" t="s">
        <v>291</v>
      </c>
      <c r="F88" t="s">
        <v>115</v>
      </c>
      <c r="G88" t="s">
        <v>84</v>
      </c>
      <c r="H88" t="s">
        <v>64</v>
      </c>
      <c r="I88" t="s">
        <v>26</v>
      </c>
      <c r="J88">
        <v>2</v>
      </c>
      <c r="K88">
        <v>357</v>
      </c>
      <c r="L88">
        <v>714</v>
      </c>
      <c r="M88">
        <v>4.5</v>
      </c>
      <c r="N88">
        <v>26</v>
      </c>
      <c r="O88">
        <v>100</v>
      </c>
      <c r="P88">
        <v>50</v>
      </c>
      <c r="Q88" t="s">
        <v>75</v>
      </c>
      <c r="R88">
        <v>38</v>
      </c>
      <c r="S88" t="s">
        <v>41</v>
      </c>
    </row>
    <row r="89" spans="1:19" x14ac:dyDescent="0.3">
      <c r="A89" t="s">
        <v>292</v>
      </c>
      <c r="B89" s="2">
        <v>45397</v>
      </c>
      <c r="C89" t="s">
        <v>20</v>
      </c>
      <c r="D89" t="s">
        <v>44</v>
      </c>
      <c r="E89" t="s">
        <v>293</v>
      </c>
      <c r="F89" t="s">
        <v>268</v>
      </c>
      <c r="G89" t="s">
        <v>294</v>
      </c>
      <c r="H89" t="s">
        <v>48</v>
      </c>
      <c r="I89" t="s">
        <v>33</v>
      </c>
      <c r="J89">
        <v>1</v>
      </c>
      <c r="K89">
        <v>254</v>
      </c>
      <c r="L89">
        <v>254</v>
      </c>
      <c r="M89">
        <v>3.6</v>
      </c>
      <c r="N89">
        <v>36</v>
      </c>
      <c r="P89">
        <v>0</v>
      </c>
      <c r="Q89" t="s">
        <v>75</v>
      </c>
      <c r="R89">
        <v>40</v>
      </c>
      <c r="S89" t="s">
        <v>41</v>
      </c>
    </row>
    <row r="90" spans="1:19" x14ac:dyDescent="0.3">
      <c r="A90" t="s">
        <v>295</v>
      </c>
      <c r="B90" s="2">
        <v>45295</v>
      </c>
      <c r="C90" t="s">
        <v>43</v>
      </c>
      <c r="D90" t="s">
        <v>92</v>
      </c>
      <c r="E90" t="s">
        <v>296</v>
      </c>
      <c r="F90" t="s">
        <v>115</v>
      </c>
      <c r="G90" t="s">
        <v>109</v>
      </c>
      <c r="H90" t="s">
        <v>64</v>
      </c>
      <c r="I90" t="s">
        <v>26</v>
      </c>
      <c r="J90">
        <v>1</v>
      </c>
      <c r="K90">
        <v>270</v>
      </c>
      <c r="L90">
        <v>270</v>
      </c>
      <c r="M90">
        <v>4.3</v>
      </c>
      <c r="N90">
        <v>29</v>
      </c>
      <c r="P90">
        <v>0</v>
      </c>
      <c r="Q90" t="s">
        <v>49</v>
      </c>
      <c r="R90">
        <v>49</v>
      </c>
      <c r="S90" t="s">
        <v>41</v>
      </c>
    </row>
    <row r="91" spans="1:19" x14ac:dyDescent="0.3">
      <c r="A91" t="s">
        <v>297</v>
      </c>
      <c r="B91" s="2">
        <v>45345</v>
      </c>
      <c r="C91" t="s">
        <v>113</v>
      </c>
      <c r="D91" t="s">
        <v>21</v>
      </c>
      <c r="E91" t="s">
        <v>298</v>
      </c>
      <c r="F91" t="s">
        <v>192</v>
      </c>
      <c r="G91" t="s">
        <v>299</v>
      </c>
      <c r="H91" t="s">
        <v>64</v>
      </c>
      <c r="I91" t="s">
        <v>26</v>
      </c>
      <c r="J91">
        <v>1</v>
      </c>
      <c r="K91">
        <v>355</v>
      </c>
      <c r="L91">
        <v>355</v>
      </c>
      <c r="M91">
        <v>4.2</v>
      </c>
      <c r="N91">
        <v>36</v>
      </c>
      <c r="P91">
        <v>0</v>
      </c>
      <c r="Q91" t="s">
        <v>75</v>
      </c>
      <c r="R91">
        <v>37</v>
      </c>
      <c r="S91" t="s">
        <v>28</v>
      </c>
    </row>
    <row r="92" spans="1:19" x14ac:dyDescent="0.3">
      <c r="A92" t="s">
        <v>300</v>
      </c>
      <c r="B92" s="2">
        <v>45512</v>
      </c>
      <c r="C92" t="s">
        <v>82</v>
      </c>
      <c r="D92" t="s">
        <v>92</v>
      </c>
      <c r="E92" t="s">
        <v>86</v>
      </c>
      <c r="F92" t="s">
        <v>87</v>
      </c>
      <c r="G92" t="s">
        <v>64</v>
      </c>
      <c r="H92" t="s">
        <v>64</v>
      </c>
      <c r="I92" t="s">
        <v>26</v>
      </c>
      <c r="J92">
        <v>4</v>
      </c>
      <c r="K92">
        <v>343</v>
      </c>
      <c r="L92">
        <v>1372</v>
      </c>
      <c r="M92">
        <v>4.4000000000000004</v>
      </c>
      <c r="N92">
        <v>34</v>
      </c>
      <c r="P92">
        <v>0</v>
      </c>
      <c r="Q92" t="s">
        <v>75</v>
      </c>
      <c r="R92">
        <v>47</v>
      </c>
      <c r="S92" t="s">
        <v>41</v>
      </c>
    </row>
    <row r="93" spans="1:19" x14ac:dyDescent="0.3">
      <c r="A93" t="s">
        <v>301</v>
      </c>
      <c r="B93" s="2">
        <v>45482</v>
      </c>
      <c r="C93" t="s">
        <v>59</v>
      </c>
      <c r="D93" t="s">
        <v>36</v>
      </c>
      <c r="E93" t="s">
        <v>302</v>
      </c>
      <c r="F93" t="s">
        <v>23</v>
      </c>
      <c r="G93" t="s">
        <v>64</v>
      </c>
      <c r="H93" t="s">
        <v>64</v>
      </c>
      <c r="I93" t="s">
        <v>26</v>
      </c>
      <c r="J93">
        <v>1</v>
      </c>
      <c r="K93">
        <v>322</v>
      </c>
      <c r="L93">
        <v>322</v>
      </c>
      <c r="M93">
        <v>4.2</v>
      </c>
      <c r="N93">
        <v>22</v>
      </c>
      <c r="O93">
        <v>120</v>
      </c>
      <c r="P93">
        <v>60</v>
      </c>
      <c r="Q93" t="s">
        <v>75</v>
      </c>
      <c r="R93">
        <v>18</v>
      </c>
      <c r="S93" t="s">
        <v>28</v>
      </c>
    </row>
    <row r="94" spans="1:19" x14ac:dyDescent="0.3">
      <c r="A94" t="s">
        <v>303</v>
      </c>
      <c r="B94" s="2">
        <v>45437</v>
      </c>
      <c r="C94" t="s">
        <v>71</v>
      </c>
      <c r="D94" t="s">
        <v>100</v>
      </c>
      <c r="E94" t="s">
        <v>304</v>
      </c>
      <c r="F94" t="s">
        <v>23</v>
      </c>
      <c r="G94" t="s">
        <v>305</v>
      </c>
      <c r="H94" t="s">
        <v>80</v>
      </c>
      <c r="I94" t="s">
        <v>33</v>
      </c>
      <c r="J94">
        <v>1</v>
      </c>
      <c r="K94">
        <v>375</v>
      </c>
      <c r="L94">
        <v>375</v>
      </c>
      <c r="M94">
        <v>3.5</v>
      </c>
      <c r="N94">
        <v>32</v>
      </c>
      <c r="P94">
        <v>0</v>
      </c>
      <c r="Q94" t="s">
        <v>75</v>
      </c>
      <c r="R94">
        <v>42</v>
      </c>
      <c r="S94" t="s">
        <v>28</v>
      </c>
    </row>
    <row r="95" spans="1:19" x14ac:dyDescent="0.3">
      <c r="A95" t="s">
        <v>306</v>
      </c>
      <c r="B95" s="2">
        <v>45509</v>
      </c>
      <c r="C95" t="s">
        <v>82</v>
      </c>
      <c r="D95" t="s">
        <v>44</v>
      </c>
      <c r="E95" t="s">
        <v>307</v>
      </c>
      <c r="F95" t="s">
        <v>46</v>
      </c>
      <c r="G95" t="s">
        <v>308</v>
      </c>
      <c r="H95" t="s">
        <v>64</v>
      </c>
      <c r="I95" t="s">
        <v>26</v>
      </c>
      <c r="J95">
        <v>1</v>
      </c>
      <c r="K95">
        <v>205</v>
      </c>
      <c r="L95">
        <v>205</v>
      </c>
      <c r="M95">
        <v>4.8</v>
      </c>
      <c r="N95">
        <v>15</v>
      </c>
      <c r="P95">
        <v>0</v>
      </c>
      <c r="Q95" t="s">
        <v>49</v>
      </c>
      <c r="R95">
        <v>37</v>
      </c>
      <c r="S95" t="s">
        <v>28</v>
      </c>
    </row>
    <row r="96" spans="1:19" x14ac:dyDescent="0.3">
      <c r="A96" t="s">
        <v>309</v>
      </c>
      <c r="B96" s="2">
        <v>45335</v>
      </c>
      <c r="C96" t="s">
        <v>113</v>
      </c>
      <c r="D96" t="s">
        <v>36</v>
      </c>
      <c r="E96" t="s">
        <v>310</v>
      </c>
      <c r="F96" t="s">
        <v>23</v>
      </c>
      <c r="G96" t="s">
        <v>311</v>
      </c>
      <c r="H96" t="s">
        <v>64</v>
      </c>
      <c r="I96" t="s">
        <v>26</v>
      </c>
      <c r="J96">
        <v>1</v>
      </c>
      <c r="K96">
        <v>269</v>
      </c>
      <c r="L96">
        <v>269</v>
      </c>
      <c r="M96">
        <v>4.2</v>
      </c>
      <c r="N96">
        <v>14</v>
      </c>
      <c r="O96">
        <v>50</v>
      </c>
      <c r="P96">
        <v>20</v>
      </c>
      <c r="Q96" t="s">
        <v>27</v>
      </c>
      <c r="R96">
        <v>26</v>
      </c>
      <c r="S96" t="s">
        <v>41</v>
      </c>
    </row>
    <row r="97" spans="1:19" x14ac:dyDescent="0.3">
      <c r="A97" t="s">
        <v>312</v>
      </c>
      <c r="B97" s="2">
        <v>45453</v>
      </c>
      <c r="C97" t="s">
        <v>30</v>
      </c>
      <c r="D97" t="s">
        <v>44</v>
      </c>
      <c r="E97" t="s">
        <v>313</v>
      </c>
      <c r="F97" t="s">
        <v>268</v>
      </c>
      <c r="G97" t="s">
        <v>314</v>
      </c>
      <c r="H97" t="s">
        <v>64</v>
      </c>
      <c r="I97" t="s">
        <v>26</v>
      </c>
      <c r="J97">
        <v>3</v>
      </c>
      <c r="K97">
        <v>354</v>
      </c>
      <c r="L97">
        <v>1062</v>
      </c>
      <c r="M97">
        <v>4.7</v>
      </c>
      <c r="N97">
        <v>24</v>
      </c>
      <c r="O97">
        <v>599</v>
      </c>
      <c r="P97">
        <v>0</v>
      </c>
      <c r="Q97" t="s">
        <v>27</v>
      </c>
      <c r="R97">
        <v>39</v>
      </c>
      <c r="S97" t="s">
        <v>41</v>
      </c>
    </row>
    <row r="98" spans="1:19" x14ac:dyDescent="0.3">
      <c r="A98" t="s">
        <v>315</v>
      </c>
      <c r="B98" s="2">
        <v>45493</v>
      </c>
      <c r="C98" t="s">
        <v>59</v>
      </c>
      <c r="D98" t="s">
        <v>100</v>
      </c>
      <c r="E98" t="s">
        <v>316</v>
      </c>
      <c r="F98" t="s">
        <v>23</v>
      </c>
      <c r="G98" t="s">
        <v>317</v>
      </c>
      <c r="H98" t="s">
        <v>64</v>
      </c>
      <c r="I98" t="s">
        <v>26</v>
      </c>
      <c r="J98">
        <v>4</v>
      </c>
      <c r="K98">
        <v>464</v>
      </c>
      <c r="L98">
        <v>1856</v>
      </c>
      <c r="M98">
        <v>4.4000000000000004</v>
      </c>
      <c r="O98">
        <v>100</v>
      </c>
      <c r="P98">
        <v>50</v>
      </c>
      <c r="Q98" t="s">
        <v>34</v>
      </c>
      <c r="R98">
        <v>32</v>
      </c>
      <c r="S98" t="s">
        <v>41</v>
      </c>
    </row>
    <row r="99" spans="1:19" x14ac:dyDescent="0.3">
      <c r="A99" t="s">
        <v>318</v>
      </c>
      <c r="B99" s="2">
        <v>45481</v>
      </c>
      <c r="C99" t="s">
        <v>59</v>
      </c>
      <c r="D99" t="s">
        <v>44</v>
      </c>
      <c r="E99" t="s">
        <v>319</v>
      </c>
      <c r="F99" t="s">
        <v>23</v>
      </c>
      <c r="G99" t="s">
        <v>320</v>
      </c>
      <c r="H99" t="s">
        <v>64</v>
      </c>
      <c r="I99" t="s">
        <v>26</v>
      </c>
      <c r="J99">
        <v>2</v>
      </c>
      <c r="K99">
        <v>141</v>
      </c>
      <c r="L99">
        <v>282</v>
      </c>
      <c r="M99">
        <v>4.0999999999999996</v>
      </c>
      <c r="N99">
        <v>20</v>
      </c>
      <c r="O99">
        <v>100</v>
      </c>
      <c r="P99">
        <v>50</v>
      </c>
      <c r="Q99" t="s">
        <v>75</v>
      </c>
      <c r="R99">
        <v>18</v>
      </c>
      <c r="S99" t="s">
        <v>28</v>
      </c>
    </row>
    <row r="100" spans="1:19" x14ac:dyDescent="0.3">
      <c r="A100" t="s">
        <v>321</v>
      </c>
      <c r="B100" s="2">
        <v>45519</v>
      </c>
      <c r="C100" t="s">
        <v>82</v>
      </c>
      <c r="D100" t="s">
        <v>92</v>
      </c>
      <c r="E100" t="s">
        <v>322</v>
      </c>
      <c r="F100" t="s">
        <v>23</v>
      </c>
      <c r="G100" t="s">
        <v>323</v>
      </c>
      <c r="H100" t="s">
        <v>64</v>
      </c>
      <c r="I100" t="s">
        <v>26</v>
      </c>
      <c r="J100">
        <v>1</v>
      </c>
      <c r="K100">
        <v>467</v>
      </c>
      <c r="L100">
        <v>467</v>
      </c>
      <c r="M100">
        <v>4</v>
      </c>
      <c r="N100">
        <v>25</v>
      </c>
      <c r="O100">
        <v>100</v>
      </c>
      <c r="P100">
        <v>50</v>
      </c>
      <c r="Q100" t="s">
        <v>49</v>
      </c>
      <c r="R100">
        <v>29</v>
      </c>
      <c r="S100" t="s">
        <v>41</v>
      </c>
    </row>
    <row r="101" spans="1:19" x14ac:dyDescent="0.3">
      <c r="A101" t="s">
        <v>324</v>
      </c>
      <c r="B101" s="2">
        <v>45305</v>
      </c>
      <c r="C101" t="s">
        <v>43</v>
      </c>
      <c r="D101" t="s">
        <v>60</v>
      </c>
      <c r="E101" t="s">
        <v>89</v>
      </c>
      <c r="F101" t="s">
        <v>46</v>
      </c>
      <c r="G101" t="s">
        <v>90</v>
      </c>
      <c r="H101" t="s">
        <v>64</v>
      </c>
      <c r="I101" t="s">
        <v>26</v>
      </c>
      <c r="J101">
        <v>3</v>
      </c>
      <c r="K101">
        <v>404</v>
      </c>
      <c r="L101">
        <v>1212</v>
      </c>
      <c r="M101">
        <v>4.5999999999999996</v>
      </c>
      <c r="N101">
        <v>18</v>
      </c>
      <c r="P101">
        <v>0</v>
      </c>
      <c r="Q101" t="s">
        <v>34</v>
      </c>
      <c r="R101">
        <v>20</v>
      </c>
      <c r="S101" t="s">
        <v>41</v>
      </c>
    </row>
    <row r="102" spans="1:19" x14ac:dyDescent="0.3">
      <c r="A102" t="s">
        <v>325</v>
      </c>
      <c r="B102" s="2">
        <v>45386</v>
      </c>
      <c r="C102" t="s">
        <v>20</v>
      </c>
      <c r="D102" t="s">
        <v>92</v>
      </c>
      <c r="E102" t="s">
        <v>98</v>
      </c>
      <c r="F102" t="s">
        <v>23</v>
      </c>
      <c r="G102" t="s">
        <v>84</v>
      </c>
      <c r="H102" t="s">
        <v>64</v>
      </c>
      <c r="I102" t="s">
        <v>26</v>
      </c>
      <c r="J102">
        <v>3</v>
      </c>
      <c r="K102">
        <v>388</v>
      </c>
      <c r="L102">
        <v>1164</v>
      </c>
      <c r="M102">
        <v>4.7</v>
      </c>
      <c r="N102">
        <v>16</v>
      </c>
      <c r="O102">
        <v>99</v>
      </c>
      <c r="P102">
        <v>0</v>
      </c>
      <c r="Q102" t="s">
        <v>34</v>
      </c>
      <c r="R102">
        <v>28</v>
      </c>
      <c r="S102" t="s">
        <v>41</v>
      </c>
    </row>
    <row r="103" spans="1:19" x14ac:dyDescent="0.3">
      <c r="A103" t="s">
        <v>326</v>
      </c>
      <c r="B103" s="2">
        <v>45339</v>
      </c>
      <c r="C103" t="s">
        <v>113</v>
      </c>
      <c r="D103" t="s">
        <v>100</v>
      </c>
      <c r="E103" t="s">
        <v>327</v>
      </c>
      <c r="F103" t="s">
        <v>23</v>
      </c>
      <c r="G103" t="s">
        <v>328</v>
      </c>
      <c r="H103" t="s">
        <v>48</v>
      </c>
      <c r="I103" t="s">
        <v>33</v>
      </c>
      <c r="J103">
        <v>3</v>
      </c>
      <c r="K103">
        <v>585</v>
      </c>
      <c r="L103">
        <v>1755</v>
      </c>
      <c r="M103">
        <v>4.0999999999999996</v>
      </c>
      <c r="N103">
        <v>32</v>
      </c>
      <c r="O103">
        <v>100</v>
      </c>
      <c r="P103">
        <v>50</v>
      </c>
      <c r="Q103" t="s">
        <v>27</v>
      </c>
      <c r="R103">
        <v>19</v>
      </c>
      <c r="S103" t="s">
        <v>41</v>
      </c>
    </row>
    <row r="104" spans="1:19" x14ac:dyDescent="0.3">
      <c r="A104" t="s">
        <v>329</v>
      </c>
      <c r="B104" s="2">
        <v>45306</v>
      </c>
      <c r="C104" t="s">
        <v>43</v>
      </c>
      <c r="D104" t="s">
        <v>44</v>
      </c>
      <c r="E104" t="s">
        <v>96</v>
      </c>
      <c r="F104" t="s">
        <v>46</v>
      </c>
      <c r="G104" t="s">
        <v>24</v>
      </c>
      <c r="H104" t="s">
        <v>25</v>
      </c>
      <c r="I104" t="s">
        <v>26</v>
      </c>
      <c r="J104">
        <v>2</v>
      </c>
      <c r="K104">
        <v>377</v>
      </c>
      <c r="L104">
        <v>754</v>
      </c>
      <c r="M104">
        <v>4.3</v>
      </c>
      <c r="N104">
        <v>26</v>
      </c>
      <c r="P104">
        <v>0</v>
      </c>
      <c r="Q104" t="s">
        <v>49</v>
      </c>
      <c r="R104">
        <v>33</v>
      </c>
      <c r="S104" t="s">
        <v>41</v>
      </c>
    </row>
    <row r="105" spans="1:19" x14ac:dyDescent="0.3">
      <c r="A105" t="s">
        <v>330</v>
      </c>
      <c r="B105" s="2">
        <v>45491</v>
      </c>
      <c r="C105" t="s">
        <v>59</v>
      </c>
      <c r="D105" t="s">
        <v>92</v>
      </c>
      <c r="E105" t="s">
        <v>331</v>
      </c>
      <c r="F105" t="s">
        <v>46</v>
      </c>
      <c r="G105" t="s">
        <v>332</v>
      </c>
      <c r="H105" t="s">
        <v>53</v>
      </c>
      <c r="I105" t="s">
        <v>26</v>
      </c>
      <c r="J105">
        <v>1</v>
      </c>
      <c r="K105">
        <v>148</v>
      </c>
      <c r="L105">
        <v>148</v>
      </c>
      <c r="M105">
        <v>4.5999999999999996</v>
      </c>
      <c r="N105">
        <v>18</v>
      </c>
      <c r="O105">
        <v>50</v>
      </c>
      <c r="P105">
        <v>20</v>
      </c>
      <c r="Q105" t="s">
        <v>49</v>
      </c>
      <c r="R105">
        <v>26</v>
      </c>
      <c r="S105" t="s">
        <v>28</v>
      </c>
    </row>
    <row r="106" spans="1:19" x14ac:dyDescent="0.3">
      <c r="A106" t="s">
        <v>333</v>
      </c>
      <c r="B106" s="2">
        <v>45497</v>
      </c>
      <c r="C106" t="s">
        <v>59</v>
      </c>
      <c r="D106" t="s">
        <v>72</v>
      </c>
      <c r="E106" t="s">
        <v>334</v>
      </c>
      <c r="F106" t="s">
        <v>23</v>
      </c>
      <c r="G106" t="s">
        <v>335</v>
      </c>
      <c r="H106" t="s">
        <v>40</v>
      </c>
      <c r="I106" t="s">
        <v>26</v>
      </c>
      <c r="J106">
        <v>4</v>
      </c>
      <c r="K106">
        <v>332</v>
      </c>
      <c r="L106">
        <v>1328</v>
      </c>
      <c r="M106">
        <v>4.4000000000000004</v>
      </c>
      <c r="O106">
        <v>100</v>
      </c>
      <c r="P106">
        <v>50</v>
      </c>
      <c r="Q106" t="s">
        <v>49</v>
      </c>
      <c r="R106">
        <v>49</v>
      </c>
      <c r="S106" t="s">
        <v>28</v>
      </c>
    </row>
    <row r="107" spans="1:19" x14ac:dyDescent="0.3">
      <c r="A107" t="s">
        <v>336</v>
      </c>
      <c r="B107" s="2">
        <v>45506</v>
      </c>
      <c r="C107" t="s">
        <v>82</v>
      </c>
      <c r="D107" t="s">
        <v>21</v>
      </c>
      <c r="E107" t="s">
        <v>337</v>
      </c>
      <c r="F107" t="s">
        <v>23</v>
      </c>
      <c r="G107" t="s">
        <v>338</v>
      </c>
      <c r="H107" t="s">
        <v>48</v>
      </c>
      <c r="I107" t="s">
        <v>33</v>
      </c>
      <c r="J107">
        <v>4</v>
      </c>
      <c r="K107">
        <v>582</v>
      </c>
      <c r="L107">
        <v>2328</v>
      </c>
      <c r="M107">
        <v>4.2</v>
      </c>
      <c r="N107">
        <v>24</v>
      </c>
      <c r="O107">
        <v>80</v>
      </c>
      <c r="P107">
        <v>40</v>
      </c>
      <c r="Q107" t="s">
        <v>27</v>
      </c>
      <c r="R107">
        <v>32</v>
      </c>
      <c r="S107" t="s">
        <v>28</v>
      </c>
    </row>
    <row r="108" spans="1:19" x14ac:dyDescent="0.3">
      <c r="A108" t="s">
        <v>339</v>
      </c>
      <c r="B108" s="2">
        <v>45481</v>
      </c>
      <c r="C108" t="s">
        <v>59</v>
      </c>
      <c r="D108" t="s">
        <v>44</v>
      </c>
      <c r="E108" t="s">
        <v>340</v>
      </c>
      <c r="F108" t="s">
        <v>46</v>
      </c>
      <c r="G108" t="s">
        <v>341</v>
      </c>
      <c r="H108" t="s">
        <v>64</v>
      </c>
      <c r="I108" t="s">
        <v>26</v>
      </c>
      <c r="J108">
        <v>3</v>
      </c>
      <c r="K108">
        <v>555</v>
      </c>
      <c r="L108">
        <v>1665</v>
      </c>
      <c r="M108">
        <v>4.5</v>
      </c>
      <c r="N108">
        <v>18</v>
      </c>
      <c r="P108">
        <v>0</v>
      </c>
      <c r="Q108" t="s">
        <v>27</v>
      </c>
      <c r="R108">
        <v>29</v>
      </c>
      <c r="S108" t="s">
        <v>28</v>
      </c>
    </row>
    <row r="109" spans="1:19" x14ac:dyDescent="0.3">
      <c r="A109" t="s">
        <v>342</v>
      </c>
      <c r="B109" s="2">
        <v>45331</v>
      </c>
      <c r="C109" t="s">
        <v>113</v>
      </c>
      <c r="D109" t="s">
        <v>21</v>
      </c>
      <c r="E109" t="s">
        <v>343</v>
      </c>
      <c r="F109" t="s">
        <v>23</v>
      </c>
      <c r="G109" t="s">
        <v>344</v>
      </c>
      <c r="H109" t="s">
        <v>40</v>
      </c>
      <c r="I109" t="s">
        <v>26</v>
      </c>
      <c r="J109">
        <v>2</v>
      </c>
      <c r="K109">
        <v>402</v>
      </c>
      <c r="L109">
        <v>804</v>
      </c>
      <c r="M109">
        <v>3.9</v>
      </c>
      <c r="N109">
        <v>34</v>
      </c>
      <c r="O109">
        <v>50</v>
      </c>
      <c r="P109">
        <v>20</v>
      </c>
      <c r="Q109" t="s">
        <v>27</v>
      </c>
      <c r="R109">
        <v>18</v>
      </c>
      <c r="S109" t="s">
        <v>41</v>
      </c>
    </row>
    <row r="110" spans="1:19" x14ac:dyDescent="0.3">
      <c r="A110" t="s">
        <v>345</v>
      </c>
      <c r="B110" s="2">
        <v>45504</v>
      </c>
      <c r="C110" t="s">
        <v>59</v>
      </c>
      <c r="D110" t="s">
        <v>72</v>
      </c>
      <c r="E110" t="s">
        <v>346</v>
      </c>
      <c r="F110" t="s">
        <v>23</v>
      </c>
      <c r="G110" t="s">
        <v>347</v>
      </c>
      <c r="H110" t="s">
        <v>64</v>
      </c>
      <c r="I110" t="s">
        <v>26</v>
      </c>
      <c r="J110">
        <v>2</v>
      </c>
      <c r="K110">
        <v>169</v>
      </c>
      <c r="L110">
        <v>338</v>
      </c>
      <c r="M110">
        <v>4.3</v>
      </c>
      <c r="O110">
        <v>100</v>
      </c>
      <c r="P110">
        <v>50</v>
      </c>
      <c r="Q110" t="s">
        <v>27</v>
      </c>
      <c r="R110">
        <v>30</v>
      </c>
      <c r="S110" t="s">
        <v>28</v>
      </c>
    </row>
    <row r="111" spans="1:19" x14ac:dyDescent="0.3">
      <c r="A111" t="s">
        <v>348</v>
      </c>
      <c r="B111" s="2">
        <v>45499</v>
      </c>
      <c r="C111" t="s">
        <v>59</v>
      </c>
      <c r="D111" t="s">
        <v>21</v>
      </c>
      <c r="E111" t="s">
        <v>349</v>
      </c>
      <c r="F111" t="s">
        <v>46</v>
      </c>
      <c r="G111" t="s">
        <v>109</v>
      </c>
      <c r="H111" t="s">
        <v>64</v>
      </c>
      <c r="I111" t="s">
        <v>26</v>
      </c>
      <c r="J111">
        <v>2</v>
      </c>
      <c r="K111">
        <v>214</v>
      </c>
      <c r="L111">
        <v>428</v>
      </c>
      <c r="M111">
        <v>3.8</v>
      </c>
      <c r="N111">
        <v>16</v>
      </c>
      <c r="O111">
        <v>100</v>
      </c>
      <c r="P111">
        <v>50</v>
      </c>
      <c r="Q111" t="s">
        <v>27</v>
      </c>
      <c r="R111">
        <v>31</v>
      </c>
      <c r="S111" t="s">
        <v>41</v>
      </c>
    </row>
    <row r="112" spans="1:19" x14ac:dyDescent="0.3">
      <c r="A112" t="s">
        <v>350</v>
      </c>
      <c r="B112" s="2">
        <v>45528</v>
      </c>
      <c r="C112" t="s">
        <v>82</v>
      </c>
      <c r="D112" t="s">
        <v>100</v>
      </c>
      <c r="E112" t="s">
        <v>351</v>
      </c>
      <c r="F112" t="s">
        <v>23</v>
      </c>
      <c r="G112" t="s">
        <v>352</v>
      </c>
      <c r="H112" t="s">
        <v>48</v>
      </c>
      <c r="I112" t="s">
        <v>33</v>
      </c>
      <c r="J112">
        <v>4</v>
      </c>
      <c r="K112">
        <v>582</v>
      </c>
      <c r="L112">
        <v>2328</v>
      </c>
      <c r="M112">
        <v>4</v>
      </c>
      <c r="O112">
        <v>120</v>
      </c>
      <c r="P112">
        <v>60</v>
      </c>
      <c r="Q112" t="s">
        <v>75</v>
      </c>
      <c r="R112">
        <v>42</v>
      </c>
      <c r="S112" t="s">
        <v>28</v>
      </c>
    </row>
    <row r="113" spans="1:19" x14ac:dyDescent="0.3">
      <c r="A113" t="s">
        <v>353</v>
      </c>
      <c r="B113" s="2">
        <v>45373</v>
      </c>
      <c r="C113" t="s">
        <v>55</v>
      </c>
      <c r="D113" t="s">
        <v>21</v>
      </c>
      <c r="E113" t="s">
        <v>93</v>
      </c>
      <c r="F113" t="s">
        <v>23</v>
      </c>
      <c r="G113" t="s">
        <v>94</v>
      </c>
      <c r="H113" t="s">
        <v>80</v>
      </c>
      <c r="I113" t="s">
        <v>26</v>
      </c>
      <c r="J113">
        <v>3</v>
      </c>
      <c r="K113">
        <v>526</v>
      </c>
      <c r="L113">
        <v>1578</v>
      </c>
      <c r="M113">
        <v>4.5999999999999996</v>
      </c>
      <c r="N113">
        <v>15</v>
      </c>
      <c r="O113">
        <v>799</v>
      </c>
      <c r="P113">
        <v>0</v>
      </c>
      <c r="Q113" t="s">
        <v>75</v>
      </c>
      <c r="R113">
        <v>42</v>
      </c>
      <c r="S113" t="s">
        <v>28</v>
      </c>
    </row>
    <row r="114" spans="1:19" x14ac:dyDescent="0.3">
      <c r="A114" t="s">
        <v>354</v>
      </c>
      <c r="B114" s="2">
        <v>45402</v>
      </c>
      <c r="C114" t="s">
        <v>20</v>
      </c>
      <c r="D114" t="s">
        <v>100</v>
      </c>
      <c r="E114" t="s">
        <v>355</v>
      </c>
      <c r="F114" t="s">
        <v>87</v>
      </c>
      <c r="G114" t="s">
        <v>356</v>
      </c>
      <c r="H114" t="s">
        <v>64</v>
      </c>
      <c r="I114" t="s">
        <v>26</v>
      </c>
      <c r="J114">
        <v>1</v>
      </c>
      <c r="K114">
        <v>207</v>
      </c>
      <c r="L114">
        <v>207</v>
      </c>
      <c r="M114">
        <v>4.7</v>
      </c>
      <c r="N114">
        <v>25</v>
      </c>
      <c r="O114">
        <v>499</v>
      </c>
      <c r="P114">
        <v>0</v>
      </c>
      <c r="Q114" t="s">
        <v>49</v>
      </c>
      <c r="R114">
        <v>25</v>
      </c>
      <c r="S114" t="s">
        <v>28</v>
      </c>
    </row>
    <row r="115" spans="1:19" x14ac:dyDescent="0.3">
      <c r="A115" t="s">
        <v>357</v>
      </c>
      <c r="B115" s="2">
        <v>45344</v>
      </c>
      <c r="C115" t="s">
        <v>113</v>
      </c>
      <c r="D115" t="s">
        <v>92</v>
      </c>
      <c r="E115" t="s">
        <v>101</v>
      </c>
      <c r="F115" t="s">
        <v>102</v>
      </c>
      <c r="G115" t="s">
        <v>103</v>
      </c>
      <c r="H115" t="s">
        <v>64</v>
      </c>
      <c r="I115" t="s">
        <v>26</v>
      </c>
      <c r="J115">
        <v>4</v>
      </c>
      <c r="K115">
        <v>163</v>
      </c>
      <c r="L115">
        <v>652</v>
      </c>
      <c r="M115">
        <v>4.2</v>
      </c>
      <c r="N115">
        <v>24</v>
      </c>
      <c r="O115">
        <v>599</v>
      </c>
      <c r="P115">
        <v>0</v>
      </c>
      <c r="Q115" t="s">
        <v>34</v>
      </c>
      <c r="R115">
        <v>25</v>
      </c>
      <c r="S115" t="s">
        <v>41</v>
      </c>
    </row>
    <row r="116" spans="1:19" x14ac:dyDescent="0.3">
      <c r="A116" t="s">
        <v>358</v>
      </c>
      <c r="B116" s="2">
        <v>45315</v>
      </c>
      <c r="C116" t="s">
        <v>43</v>
      </c>
      <c r="D116" t="s">
        <v>72</v>
      </c>
      <c r="E116" t="s">
        <v>359</v>
      </c>
      <c r="F116" t="s">
        <v>46</v>
      </c>
      <c r="G116" t="s">
        <v>360</v>
      </c>
      <c r="H116" t="s">
        <v>48</v>
      </c>
      <c r="I116" t="s">
        <v>33</v>
      </c>
      <c r="J116">
        <v>3</v>
      </c>
      <c r="K116">
        <v>580</v>
      </c>
      <c r="L116">
        <v>1740</v>
      </c>
      <c r="O116">
        <v>75</v>
      </c>
      <c r="P116">
        <v>30</v>
      </c>
      <c r="Q116" t="s">
        <v>49</v>
      </c>
      <c r="R116">
        <v>44</v>
      </c>
      <c r="S116" t="s">
        <v>41</v>
      </c>
    </row>
    <row r="117" spans="1:19" x14ac:dyDescent="0.3">
      <c r="A117" t="s">
        <v>361</v>
      </c>
      <c r="B117" s="2">
        <v>45445</v>
      </c>
      <c r="C117" t="s">
        <v>30</v>
      </c>
      <c r="D117" t="s">
        <v>60</v>
      </c>
      <c r="E117" t="s">
        <v>362</v>
      </c>
      <c r="F117" t="s">
        <v>115</v>
      </c>
      <c r="G117" t="s">
        <v>363</v>
      </c>
      <c r="H117" t="s">
        <v>64</v>
      </c>
      <c r="I117" t="s">
        <v>26</v>
      </c>
      <c r="J117">
        <v>3</v>
      </c>
      <c r="K117">
        <v>397</v>
      </c>
      <c r="L117">
        <v>1191</v>
      </c>
      <c r="M117">
        <v>3.8</v>
      </c>
      <c r="N117">
        <v>30</v>
      </c>
      <c r="P117">
        <v>0</v>
      </c>
      <c r="Q117" t="s">
        <v>34</v>
      </c>
      <c r="R117">
        <v>47</v>
      </c>
      <c r="S117" t="s">
        <v>28</v>
      </c>
    </row>
    <row r="118" spans="1:19" x14ac:dyDescent="0.3">
      <c r="A118" t="s">
        <v>364</v>
      </c>
      <c r="B118" s="2">
        <v>45508</v>
      </c>
      <c r="C118" t="s">
        <v>82</v>
      </c>
      <c r="D118" t="s">
        <v>60</v>
      </c>
      <c r="E118" t="s">
        <v>365</v>
      </c>
      <c r="F118" t="s">
        <v>38</v>
      </c>
      <c r="G118" t="s">
        <v>366</v>
      </c>
      <c r="H118" t="s">
        <v>53</v>
      </c>
      <c r="I118" t="s">
        <v>26</v>
      </c>
      <c r="J118">
        <v>1</v>
      </c>
      <c r="K118">
        <v>290</v>
      </c>
      <c r="L118">
        <v>290</v>
      </c>
      <c r="M118">
        <v>4.0999999999999996</v>
      </c>
      <c r="N118">
        <v>26</v>
      </c>
      <c r="O118">
        <v>80</v>
      </c>
      <c r="P118">
        <v>40</v>
      </c>
      <c r="Q118" t="s">
        <v>27</v>
      </c>
      <c r="R118">
        <v>29</v>
      </c>
      <c r="S118" t="s">
        <v>41</v>
      </c>
    </row>
    <row r="119" spans="1:19" x14ac:dyDescent="0.3">
      <c r="A119" t="s">
        <v>367</v>
      </c>
      <c r="B119" s="2">
        <v>45479</v>
      </c>
      <c r="C119" t="s">
        <v>59</v>
      </c>
      <c r="D119" t="s">
        <v>100</v>
      </c>
      <c r="E119" t="s">
        <v>368</v>
      </c>
      <c r="F119" t="s">
        <v>46</v>
      </c>
      <c r="G119" t="s">
        <v>369</v>
      </c>
      <c r="H119" t="s">
        <v>64</v>
      </c>
      <c r="I119" t="s">
        <v>26</v>
      </c>
      <c r="J119">
        <v>1</v>
      </c>
      <c r="K119">
        <v>540</v>
      </c>
      <c r="L119">
        <v>540</v>
      </c>
      <c r="M119">
        <v>4.3</v>
      </c>
      <c r="N119">
        <v>20</v>
      </c>
      <c r="O119">
        <v>50</v>
      </c>
      <c r="P119">
        <v>20</v>
      </c>
      <c r="Q119" t="s">
        <v>34</v>
      </c>
      <c r="R119">
        <v>18</v>
      </c>
      <c r="S119" t="s">
        <v>28</v>
      </c>
    </row>
    <row r="120" spans="1:19" x14ac:dyDescent="0.3">
      <c r="A120" t="s">
        <v>370</v>
      </c>
      <c r="B120" s="2">
        <v>45415</v>
      </c>
      <c r="C120" t="s">
        <v>71</v>
      </c>
      <c r="D120" t="s">
        <v>21</v>
      </c>
      <c r="E120" t="s">
        <v>105</v>
      </c>
      <c r="F120" t="s">
        <v>102</v>
      </c>
      <c r="G120" t="s">
        <v>106</v>
      </c>
      <c r="H120" t="s">
        <v>53</v>
      </c>
      <c r="I120" t="s">
        <v>26</v>
      </c>
      <c r="J120">
        <v>1</v>
      </c>
      <c r="K120">
        <v>308</v>
      </c>
      <c r="L120">
        <v>308</v>
      </c>
      <c r="M120">
        <v>4.5</v>
      </c>
      <c r="N120">
        <v>25</v>
      </c>
      <c r="O120">
        <v>449</v>
      </c>
      <c r="P120">
        <v>0</v>
      </c>
      <c r="Q120" t="s">
        <v>49</v>
      </c>
      <c r="R120">
        <v>28</v>
      </c>
      <c r="S120" t="s">
        <v>28</v>
      </c>
    </row>
    <row r="121" spans="1:19" x14ac:dyDescent="0.3">
      <c r="A121" t="s">
        <v>371</v>
      </c>
      <c r="B121" s="2">
        <v>45528</v>
      </c>
      <c r="C121" t="s">
        <v>82</v>
      </c>
      <c r="D121" t="s">
        <v>100</v>
      </c>
      <c r="E121" t="s">
        <v>372</v>
      </c>
      <c r="F121" t="s">
        <v>115</v>
      </c>
      <c r="G121" t="s">
        <v>373</v>
      </c>
      <c r="H121" t="s">
        <v>80</v>
      </c>
      <c r="I121" t="s">
        <v>26</v>
      </c>
      <c r="J121">
        <v>2</v>
      </c>
      <c r="K121">
        <v>472</v>
      </c>
      <c r="L121">
        <v>944</v>
      </c>
      <c r="M121">
        <v>4.5999999999999996</v>
      </c>
      <c r="N121">
        <v>32</v>
      </c>
      <c r="P121">
        <v>0</v>
      </c>
      <c r="Q121" t="s">
        <v>49</v>
      </c>
      <c r="R121">
        <v>25</v>
      </c>
      <c r="S121" t="s">
        <v>28</v>
      </c>
    </row>
    <row r="122" spans="1:19" x14ac:dyDescent="0.3">
      <c r="A122" t="s">
        <v>374</v>
      </c>
      <c r="B122" s="2">
        <v>45332</v>
      </c>
      <c r="C122" t="s">
        <v>113</v>
      </c>
      <c r="D122" t="s">
        <v>100</v>
      </c>
      <c r="E122" t="s">
        <v>375</v>
      </c>
      <c r="F122" t="s">
        <v>62</v>
      </c>
      <c r="G122" t="s">
        <v>53</v>
      </c>
      <c r="H122" t="s">
        <v>53</v>
      </c>
      <c r="I122" t="s">
        <v>26</v>
      </c>
      <c r="J122">
        <v>1</v>
      </c>
      <c r="K122">
        <v>303</v>
      </c>
      <c r="L122">
        <v>303</v>
      </c>
      <c r="M122">
        <v>4.0999999999999996</v>
      </c>
      <c r="N122">
        <v>36</v>
      </c>
      <c r="O122">
        <v>449</v>
      </c>
      <c r="P122">
        <v>0</v>
      </c>
      <c r="Q122" t="s">
        <v>34</v>
      </c>
      <c r="R122">
        <v>27</v>
      </c>
      <c r="S122" t="s">
        <v>41</v>
      </c>
    </row>
    <row r="123" spans="1:19" x14ac:dyDescent="0.3">
      <c r="A123" t="s">
        <v>376</v>
      </c>
      <c r="B123" s="2">
        <v>45448</v>
      </c>
      <c r="C123" t="s">
        <v>30</v>
      </c>
      <c r="D123" t="s">
        <v>72</v>
      </c>
      <c r="E123" t="s">
        <v>377</v>
      </c>
      <c r="F123" t="s">
        <v>23</v>
      </c>
      <c r="G123" t="s">
        <v>158</v>
      </c>
      <c r="H123" t="s">
        <v>40</v>
      </c>
      <c r="I123" t="s">
        <v>26</v>
      </c>
      <c r="J123">
        <v>3</v>
      </c>
      <c r="K123">
        <v>122</v>
      </c>
      <c r="L123">
        <v>366</v>
      </c>
      <c r="M123">
        <v>4.2</v>
      </c>
      <c r="N123">
        <v>28</v>
      </c>
      <c r="O123">
        <v>179</v>
      </c>
      <c r="P123">
        <v>0</v>
      </c>
      <c r="Q123" t="s">
        <v>75</v>
      </c>
      <c r="R123">
        <v>47</v>
      </c>
      <c r="S123" t="s">
        <v>28</v>
      </c>
    </row>
    <row r="124" spans="1:19" x14ac:dyDescent="0.3">
      <c r="A124" t="s">
        <v>378</v>
      </c>
      <c r="B124" s="2">
        <v>45306</v>
      </c>
      <c r="C124" t="s">
        <v>43</v>
      </c>
      <c r="D124" t="s">
        <v>44</v>
      </c>
      <c r="E124" t="s">
        <v>379</v>
      </c>
      <c r="F124" t="s">
        <v>380</v>
      </c>
      <c r="G124" t="s">
        <v>381</v>
      </c>
      <c r="H124" t="s">
        <v>40</v>
      </c>
      <c r="I124" t="s">
        <v>26</v>
      </c>
      <c r="J124">
        <v>1</v>
      </c>
      <c r="K124">
        <v>310</v>
      </c>
      <c r="L124">
        <v>310</v>
      </c>
      <c r="M124">
        <v>2.2999999999999998</v>
      </c>
      <c r="N124">
        <v>26</v>
      </c>
      <c r="O124">
        <v>100</v>
      </c>
      <c r="P124">
        <v>50</v>
      </c>
      <c r="Q124" t="s">
        <v>27</v>
      </c>
      <c r="R124">
        <v>36</v>
      </c>
      <c r="S124" t="s">
        <v>28</v>
      </c>
    </row>
    <row r="125" spans="1:19" x14ac:dyDescent="0.3">
      <c r="A125" t="s">
        <v>382</v>
      </c>
      <c r="B125" s="2">
        <v>45336</v>
      </c>
      <c r="C125" t="s">
        <v>113</v>
      </c>
      <c r="D125" t="s">
        <v>72</v>
      </c>
      <c r="E125" t="s">
        <v>383</v>
      </c>
      <c r="F125" t="s">
        <v>23</v>
      </c>
      <c r="G125" t="s">
        <v>384</v>
      </c>
      <c r="H125" t="s">
        <v>64</v>
      </c>
      <c r="I125" t="s">
        <v>26</v>
      </c>
      <c r="J125">
        <v>3</v>
      </c>
      <c r="K125">
        <v>237</v>
      </c>
      <c r="L125">
        <v>711</v>
      </c>
      <c r="M125">
        <v>3.4</v>
      </c>
      <c r="O125">
        <v>149</v>
      </c>
      <c r="P125">
        <v>0</v>
      </c>
      <c r="Q125" t="s">
        <v>27</v>
      </c>
      <c r="R125">
        <v>28</v>
      </c>
      <c r="S125" t="s">
        <v>28</v>
      </c>
    </row>
    <row r="126" spans="1:19" x14ac:dyDescent="0.3">
      <c r="A126" t="s">
        <v>385</v>
      </c>
      <c r="B126" s="2">
        <v>45356</v>
      </c>
      <c r="C126" t="s">
        <v>55</v>
      </c>
      <c r="D126" t="s">
        <v>36</v>
      </c>
      <c r="E126" t="s">
        <v>386</v>
      </c>
      <c r="F126" t="s">
        <v>115</v>
      </c>
      <c r="G126" t="s">
        <v>64</v>
      </c>
      <c r="H126" t="s">
        <v>64</v>
      </c>
      <c r="I126" t="s">
        <v>26</v>
      </c>
      <c r="J126">
        <v>4</v>
      </c>
      <c r="K126">
        <v>138</v>
      </c>
      <c r="L126">
        <v>552</v>
      </c>
      <c r="M126">
        <v>4.2</v>
      </c>
      <c r="N126">
        <v>28</v>
      </c>
      <c r="O126">
        <v>449</v>
      </c>
      <c r="P126">
        <v>0</v>
      </c>
      <c r="Q126" t="s">
        <v>49</v>
      </c>
      <c r="R126">
        <v>24</v>
      </c>
      <c r="S126" t="s">
        <v>41</v>
      </c>
    </row>
    <row r="127" spans="1:19" x14ac:dyDescent="0.3">
      <c r="A127" t="s">
        <v>387</v>
      </c>
      <c r="B127" s="2">
        <v>45380</v>
      </c>
      <c r="C127" t="s">
        <v>55</v>
      </c>
      <c r="D127" t="s">
        <v>21</v>
      </c>
      <c r="E127" t="s">
        <v>388</v>
      </c>
      <c r="F127" t="s">
        <v>87</v>
      </c>
      <c r="G127" t="s">
        <v>389</v>
      </c>
      <c r="H127" t="s">
        <v>64</v>
      </c>
      <c r="I127" t="s">
        <v>26</v>
      </c>
      <c r="J127">
        <v>2</v>
      </c>
      <c r="K127">
        <v>142</v>
      </c>
      <c r="L127">
        <v>284</v>
      </c>
      <c r="M127">
        <v>4.2</v>
      </c>
      <c r="N127">
        <v>32</v>
      </c>
      <c r="P127">
        <v>0</v>
      </c>
      <c r="Q127" t="s">
        <v>75</v>
      </c>
      <c r="R127">
        <v>28</v>
      </c>
      <c r="S127" t="s">
        <v>28</v>
      </c>
    </row>
    <row r="128" spans="1:19" x14ac:dyDescent="0.3">
      <c r="A128" t="s">
        <v>390</v>
      </c>
      <c r="B128" s="2">
        <v>45362</v>
      </c>
      <c r="C128" t="s">
        <v>55</v>
      </c>
      <c r="D128" t="s">
        <v>44</v>
      </c>
      <c r="E128" t="s">
        <v>391</v>
      </c>
      <c r="F128" t="s">
        <v>46</v>
      </c>
      <c r="G128" t="s">
        <v>392</v>
      </c>
      <c r="H128" t="s">
        <v>53</v>
      </c>
      <c r="I128" t="s">
        <v>26</v>
      </c>
      <c r="J128">
        <v>4</v>
      </c>
      <c r="K128">
        <v>532</v>
      </c>
      <c r="L128">
        <v>2128</v>
      </c>
      <c r="M128">
        <v>4.2</v>
      </c>
      <c r="N128">
        <v>39</v>
      </c>
      <c r="O128">
        <v>120</v>
      </c>
      <c r="P128">
        <v>60</v>
      </c>
      <c r="Q128" t="s">
        <v>34</v>
      </c>
      <c r="R128">
        <v>48</v>
      </c>
      <c r="S128" t="s">
        <v>41</v>
      </c>
    </row>
    <row r="129" spans="1:19" x14ac:dyDescent="0.3">
      <c r="A129" t="s">
        <v>393</v>
      </c>
      <c r="B129" s="2">
        <v>45300</v>
      </c>
      <c r="C129" t="s">
        <v>43</v>
      </c>
      <c r="D129" t="s">
        <v>36</v>
      </c>
      <c r="E129" t="s">
        <v>394</v>
      </c>
      <c r="F129" t="s">
        <v>115</v>
      </c>
      <c r="G129" t="s">
        <v>395</v>
      </c>
      <c r="H129" t="s">
        <v>64</v>
      </c>
      <c r="I129" t="s">
        <v>26</v>
      </c>
      <c r="J129">
        <v>4</v>
      </c>
      <c r="K129">
        <v>149</v>
      </c>
      <c r="L129">
        <v>596</v>
      </c>
      <c r="M129">
        <v>3.9</v>
      </c>
      <c r="N129">
        <v>26</v>
      </c>
      <c r="O129">
        <v>600</v>
      </c>
      <c r="P129">
        <v>10</v>
      </c>
      <c r="Q129" t="s">
        <v>27</v>
      </c>
      <c r="R129">
        <v>34</v>
      </c>
      <c r="S129" t="s">
        <v>28</v>
      </c>
    </row>
    <row r="130" spans="1:19" x14ac:dyDescent="0.3">
      <c r="A130" t="s">
        <v>396</v>
      </c>
      <c r="B130" s="2">
        <v>45379</v>
      </c>
      <c r="C130" t="s">
        <v>55</v>
      </c>
      <c r="D130" t="s">
        <v>92</v>
      </c>
      <c r="E130" t="s">
        <v>397</v>
      </c>
      <c r="F130" t="s">
        <v>23</v>
      </c>
      <c r="G130" t="s">
        <v>398</v>
      </c>
      <c r="H130" t="s">
        <v>64</v>
      </c>
      <c r="I130" t="s">
        <v>26</v>
      </c>
      <c r="J130">
        <v>3</v>
      </c>
      <c r="K130">
        <v>414</v>
      </c>
      <c r="L130">
        <v>1242</v>
      </c>
      <c r="M130">
        <v>3</v>
      </c>
      <c r="N130">
        <v>30</v>
      </c>
      <c r="P130">
        <v>0</v>
      </c>
      <c r="Q130" t="s">
        <v>75</v>
      </c>
      <c r="R130">
        <v>18</v>
      </c>
      <c r="S130" t="s">
        <v>41</v>
      </c>
    </row>
    <row r="131" spans="1:19" x14ac:dyDescent="0.3">
      <c r="A131" t="s">
        <v>399</v>
      </c>
      <c r="B131" s="2">
        <v>45420</v>
      </c>
      <c r="C131" t="s">
        <v>71</v>
      </c>
      <c r="D131" t="s">
        <v>72</v>
      </c>
      <c r="E131" t="s">
        <v>400</v>
      </c>
      <c r="F131" t="s">
        <v>87</v>
      </c>
      <c r="G131" t="s">
        <v>401</v>
      </c>
      <c r="H131" t="s">
        <v>80</v>
      </c>
      <c r="I131" t="s">
        <v>26</v>
      </c>
      <c r="J131">
        <v>4</v>
      </c>
      <c r="K131">
        <v>227</v>
      </c>
      <c r="L131">
        <v>908</v>
      </c>
      <c r="M131">
        <v>4.0999999999999996</v>
      </c>
      <c r="N131">
        <v>36</v>
      </c>
      <c r="O131">
        <v>499</v>
      </c>
      <c r="P131">
        <v>0</v>
      </c>
      <c r="Q131" t="s">
        <v>27</v>
      </c>
      <c r="R131">
        <v>49</v>
      </c>
      <c r="S131" t="s">
        <v>28</v>
      </c>
    </row>
    <row r="132" spans="1:19" x14ac:dyDescent="0.3">
      <c r="A132" t="s">
        <v>402</v>
      </c>
      <c r="B132" s="2">
        <v>45527</v>
      </c>
      <c r="C132" t="s">
        <v>82</v>
      </c>
      <c r="D132" t="s">
        <v>21</v>
      </c>
      <c r="E132" t="s">
        <v>403</v>
      </c>
      <c r="F132" t="s">
        <v>62</v>
      </c>
      <c r="G132" t="s">
        <v>404</v>
      </c>
      <c r="H132" t="s">
        <v>40</v>
      </c>
      <c r="I132" t="s">
        <v>26</v>
      </c>
      <c r="J132">
        <v>3</v>
      </c>
      <c r="K132">
        <v>486</v>
      </c>
      <c r="L132">
        <v>1458</v>
      </c>
      <c r="M132">
        <v>4.5999999999999996</v>
      </c>
      <c r="N132">
        <v>34</v>
      </c>
      <c r="P132">
        <v>0</v>
      </c>
      <c r="Q132" t="s">
        <v>75</v>
      </c>
      <c r="R132">
        <v>43</v>
      </c>
      <c r="S132" t="s">
        <v>28</v>
      </c>
    </row>
    <row r="133" spans="1:19" x14ac:dyDescent="0.3">
      <c r="A133" t="s">
        <v>405</v>
      </c>
      <c r="B133" s="2">
        <v>45427</v>
      </c>
      <c r="C133" t="s">
        <v>71</v>
      </c>
      <c r="D133" t="s">
        <v>72</v>
      </c>
      <c r="E133" t="s">
        <v>406</v>
      </c>
      <c r="F133" t="s">
        <v>87</v>
      </c>
      <c r="G133" t="s">
        <v>407</v>
      </c>
      <c r="H133" t="s">
        <v>64</v>
      </c>
      <c r="I133" t="s">
        <v>26</v>
      </c>
      <c r="J133">
        <v>1</v>
      </c>
      <c r="K133">
        <v>400</v>
      </c>
      <c r="L133">
        <v>400</v>
      </c>
      <c r="M133">
        <v>4.4000000000000004</v>
      </c>
      <c r="N133">
        <v>34</v>
      </c>
      <c r="P133">
        <v>0</v>
      </c>
      <c r="Q133" t="s">
        <v>75</v>
      </c>
      <c r="R133">
        <v>46</v>
      </c>
      <c r="S133" t="s">
        <v>41</v>
      </c>
    </row>
    <row r="134" spans="1:19" x14ac:dyDescent="0.3">
      <c r="A134" t="s">
        <v>408</v>
      </c>
      <c r="B134" s="2">
        <v>45507</v>
      </c>
      <c r="C134" t="s">
        <v>82</v>
      </c>
      <c r="D134" t="s">
        <v>100</v>
      </c>
      <c r="E134" t="s">
        <v>409</v>
      </c>
      <c r="F134" t="s">
        <v>87</v>
      </c>
      <c r="G134" t="s">
        <v>410</v>
      </c>
      <c r="H134" t="s">
        <v>64</v>
      </c>
      <c r="I134" t="s">
        <v>26</v>
      </c>
      <c r="J134">
        <v>1</v>
      </c>
      <c r="K134">
        <v>247</v>
      </c>
      <c r="L134">
        <v>247</v>
      </c>
      <c r="M134">
        <v>4.5999999999999996</v>
      </c>
      <c r="N134">
        <v>32</v>
      </c>
      <c r="O134">
        <v>449</v>
      </c>
      <c r="P134">
        <v>0</v>
      </c>
      <c r="Q134" t="s">
        <v>49</v>
      </c>
      <c r="R134">
        <v>38</v>
      </c>
      <c r="S134" t="s">
        <v>41</v>
      </c>
    </row>
    <row r="135" spans="1:19" x14ac:dyDescent="0.3">
      <c r="A135" t="s">
        <v>411</v>
      </c>
      <c r="B135" s="2">
        <v>45354</v>
      </c>
      <c r="C135" t="s">
        <v>55</v>
      </c>
      <c r="D135" t="s">
        <v>60</v>
      </c>
      <c r="E135" t="s">
        <v>412</v>
      </c>
      <c r="F135" t="s">
        <v>46</v>
      </c>
      <c r="G135" t="s">
        <v>79</v>
      </c>
      <c r="H135" t="s">
        <v>80</v>
      </c>
      <c r="I135" t="s">
        <v>26</v>
      </c>
      <c r="J135">
        <v>3</v>
      </c>
      <c r="K135">
        <v>348</v>
      </c>
      <c r="L135">
        <v>1044</v>
      </c>
      <c r="M135">
        <v>4.3</v>
      </c>
      <c r="N135">
        <v>36</v>
      </c>
      <c r="O135">
        <v>999</v>
      </c>
      <c r="P135">
        <v>0</v>
      </c>
      <c r="Q135" t="s">
        <v>27</v>
      </c>
      <c r="R135">
        <v>38</v>
      </c>
      <c r="S135" t="s">
        <v>28</v>
      </c>
    </row>
    <row r="136" spans="1:19" x14ac:dyDescent="0.3">
      <c r="A136" t="s">
        <v>413</v>
      </c>
      <c r="B136" s="2">
        <v>45430</v>
      </c>
      <c r="C136" t="s">
        <v>71</v>
      </c>
      <c r="D136" t="s">
        <v>100</v>
      </c>
      <c r="E136" t="s">
        <v>414</v>
      </c>
      <c r="F136" t="s">
        <v>115</v>
      </c>
      <c r="G136" t="s">
        <v>415</v>
      </c>
      <c r="H136" t="s">
        <v>25</v>
      </c>
      <c r="I136" t="s">
        <v>26</v>
      </c>
      <c r="J136">
        <v>1</v>
      </c>
      <c r="K136">
        <v>230</v>
      </c>
      <c r="L136">
        <v>230</v>
      </c>
      <c r="P136">
        <v>0</v>
      </c>
      <c r="Q136" t="s">
        <v>34</v>
      </c>
      <c r="R136">
        <v>25</v>
      </c>
      <c r="S136" t="s">
        <v>41</v>
      </c>
    </row>
    <row r="137" spans="1:19" x14ac:dyDescent="0.3">
      <c r="A137" t="s">
        <v>416</v>
      </c>
      <c r="B137" s="2">
        <v>45372</v>
      </c>
      <c r="C137" t="s">
        <v>55</v>
      </c>
      <c r="D137" t="s">
        <v>92</v>
      </c>
      <c r="E137" t="s">
        <v>417</v>
      </c>
      <c r="F137" t="s">
        <v>23</v>
      </c>
      <c r="G137" t="s">
        <v>418</v>
      </c>
      <c r="H137" t="s">
        <v>80</v>
      </c>
      <c r="I137" t="s">
        <v>26</v>
      </c>
      <c r="J137">
        <v>2</v>
      </c>
      <c r="K137">
        <v>255</v>
      </c>
      <c r="L137">
        <v>510</v>
      </c>
      <c r="M137">
        <v>4.5999999999999996</v>
      </c>
      <c r="N137">
        <v>18</v>
      </c>
      <c r="O137">
        <v>120</v>
      </c>
      <c r="P137">
        <v>60</v>
      </c>
      <c r="Q137" t="s">
        <v>49</v>
      </c>
      <c r="R137">
        <v>40</v>
      </c>
      <c r="S137" t="s">
        <v>28</v>
      </c>
    </row>
    <row r="138" spans="1:19" x14ac:dyDescent="0.3">
      <c r="A138" t="s">
        <v>419</v>
      </c>
      <c r="B138" s="2">
        <v>45427</v>
      </c>
      <c r="C138" t="s">
        <v>71</v>
      </c>
      <c r="D138" t="s">
        <v>72</v>
      </c>
      <c r="E138" t="s">
        <v>420</v>
      </c>
      <c r="F138" t="s">
        <v>23</v>
      </c>
      <c r="G138" t="s">
        <v>421</v>
      </c>
      <c r="H138" t="s">
        <v>64</v>
      </c>
      <c r="I138" t="s">
        <v>26</v>
      </c>
      <c r="J138">
        <v>4</v>
      </c>
      <c r="K138">
        <v>481</v>
      </c>
      <c r="L138">
        <v>1924</v>
      </c>
      <c r="M138">
        <v>4.4000000000000004</v>
      </c>
      <c r="O138">
        <v>100</v>
      </c>
      <c r="P138">
        <v>50</v>
      </c>
      <c r="Q138" t="s">
        <v>49</v>
      </c>
      <c r="R138">
        <v>41</v>
      </c>
      <c r="S138" t="s">
        <v>28</v>
      </c>
    </row>
    <row r="139" spans="1:19" x14ac:dyDescent="0.3">
      <c r="A139" t="s">
        <v>422</v>
      </c>
      <c r="B139" s="2">
        <v>45454</v>
      </c>
      <c r="C139" t="s">
        <v>30</v>
      </c>
      <c r="D139" t="s">
        <v>36</v>
      </c>
      <c r="E139" t="s">
        <v>423</v>
      </c>
      <c r="F139" t="s">
        <v>23</v>
      </c>
      <c r="G139" t="s">
        <v>84</v>
      </c>
      <c r="H139" t="s">
        <v>64</v>
      </c>
      <c r="I139" t="s">
        <v>26</v>
      </c>
      <c r="J139">
        <v>2</v>
      </c>
      <c r="K139">
        <v>305</v>
      </c>
      <c r="L139">
        <v>610</v>
      </c>
      <c r="M139">
        <v>4.2</v>
      </c>
      <c r="N139">
        <v>14</v>
      </c>
      <c r="O139">
        <v>100</v>
      </c>
      <c r="P139">
        <v>50</v>
      </c>
      <c r="Q139" t="s">
        <v>34</v>
      </c>
      <c r="R139">
        <v>23</v>
      </c>
      <c r="S139" t="s">
        <v>28</v>
      </c>
    </row>
    <row r="140" spans="1:19" x14ac:dyDescent="0.3">
      <c r="A140" t="s">
        <v>424</v>
      </c>
      <c r="B140" s="2">
        <v>45454</v>
      </c>
      <c r="C140" t="s">
        <v>30</v>
      </c>
      <c r="D140" t="s">
        <v>36</v>
      </c>
      <c r="E140" t="s">
        <v>425</v>
      </c>
      <c r="F140" t="s">
        <v>23</v>
      </c>
      <c r="G140" t="s">
        <v>426</v>
      </c>
      <c r="H140" t="s">
        <v>80</v>
      </c>
      <c r="I140" t="s">
        <v>26</v>
      </c>
      <c r="J140">
        <v>4</v>
      </c>
      <c r="K140">
        <v>263</v>
      </c>
      <c r="L140">
        <v>1052</v>
      </c>
      <c r="M140">
        <v>4.0999999999999996</v>
      </c>
      <c r="N140">
        <v>27</v>
      </c>
      <c r="O140">
        <v>449</v>
      </c>
      <c r="P140">
        <v>0</v>
      </c>
      <c r="Q140" t="s">
        <v>49</v>
      </c>
      <c r="R140">
        <v>39</v>
      </c>
      <c r="S140" t="s">
        <v>41</v>
      </c>
    </row>
    <row r="141" spans="1:19" x14ac:dyDescent="0.3">
      <c r="A141" t="s">
        <v>427</v>
      </c>
      <c r="B141" s="2">
        <v>45324</v>
      </c>
      <c r="C141" t="s">
        <v>113</v>
      </c>
      <c r="D141" t="s">
        <v>21</v>
      </c>
      <c r="E141" t="s">
        <v>428</v>
      </c>
      <c r="F141" t="s">
        <v>137</v>
      </c>
      <c r="G141" t="s">
        <v>429</v>
      </c>
      <c r="H141" t="s">
        <v>40</v>
      </c>
      <c r="I141" t="s">
        <v>26</v>
      </c>
      <c r="J141">
        <v>1</v>
      </c>
      <c r="K141">
        <v>191</v>
      </c>
      <c r="L141">
        <v>191</v>
      </c>
      <c r="M141">
        <v>4</v>
      </c>
      <c r="N141">
        <v>28</v>
      </c>
      <c r="O141">
        <v>100</v>
      </c>
      <c r="P141">
        <v>50</v>
      </c>
      <c r="Q141" t="s">
        <v>75</v>
      </c>
      <c r="R141">
        <v>35</v>
      </c>
      <c r="S141" t="s">
        <v>28</v>
      </c>
    </row>
    <row r="142" spans="1:19" x14ac:dyDescent="0.3">
      <c r="A142" t="s">
        <v>430</v>
      </c>
      <c r="B142" s="2">
        <v>45414</v>
      </c>
      <c r="C142" t="s">
        <v>71</v>
      </c>
      <c r="D142" t="s">
        <v>92</v>
      </c>
      <c r="E142" t="s">
        <v>431</v>
      </c>
      <c r="F142" t="s">
        <v>23</v>
      </c>
      <c r="G142" t="s">
        <v>432</v>
      </c>
      <c r="H142" t="s">
        <v>80</v>
      </c>
      <c r="I142" t="s">
        <v>26</v>
      </c>
      <c r="J142">
        <v>2</v>
      </c>
      <c r="K142">
        <v>248</v>
      </c>
      <c r="L142">
        <v>496</v>
      </c>
      <c r="M142">
        <v>4.2</v>
      </c>
      <c r="O142">
        <v>100</v>
      </c>
      <c r="P142">
        <v>50</v>
      </c>
      <c r="Q142" t="s">
        <v>75</v>
      </c>
      <c r="R142">
        <v>23</v>
      </c>
      <c r="S142" t="s">
        <v>41</v>
      </c>
    </row>
    <row r="143" spans="1:19" x14ac:dyDescent="0.3">
      <c r="A143" t="s">
        <v>433</v>
      </c>
      <c r="B143" s="2">
        <v>45296</v>
      </c>
      <c r="C143" t="s">
        <v>43</v>
      </c>
      <c r="D143" t="s">
        <v>21</v>
      </c>
      <c r="E143" t="s">
        <v>434</v>
      </c>
      <c r="F143" t="s">
        <v>23</v>
      </c>
      <c r="G143" t="s">
        <v>435</v>
      </c>
      <c r="H143" t="s">
        <v>48</v>
      </c>
      <c r="I143" t="s">
        <v>33</v>
      </c>
      <c r="J143">
        <v>1</v>
      </c>
      <c r="K143">
        <v>483</v>
      </c>
      <c r="L143">
        <v>483</v>
      </c>
      <c r="M143">
        <v>4.4000000000000004</v>
      </c>
      <c r="N143">
        <v>29</v>
      </c>
      <c r="O143">
        <v>80</v>
      </c>
      <c r="P143">
        <v>40</v>
      </c>
      <c r="Q143" t="s">
        <v>27</v>
      </c>
      <c r="R143">
        <v>22</v>
      </c>
      <c r="S143" t="s">
        <v>28</v>
      </c>
    </row>
    <row r="144" spans="1:19" x14ac:dyDescent="0.3">
      <c r="A144" t="s">
        <v>436</v>
      </c>
      <c r="B144" s="2">
        <v>45525</v>
      </c>
      <c r="C144" t="s">
        <v>82</v>
      </c>
      <c r="D144" t="s">
        <v>72</v>
      </c>
      <c r="E144" t="s">
        <v>437</v>
      </c>
      <c r="F144" t="s">
        <v>115</v>
      </c>
      <c r="G144" t="s">
        <v>438</v>
      </c>
      <c r="H144" t="s">
        <v>64</v>
      </c>
      <c r="I144" t="s">
        <v>26</v>
      </c>
      <c r="J144">
        <v>4</v>
      </c>
      <c r="K144">
        <v>380</v>
      </c>
      <c r="L144">
        <v>1520</v>
      </c>
      <c r="M144">
        <v>4.5999999999999996</v>
      </c>
      <c r="N144">
        <v>33</v>
      </c>
      <c r="P144">
        <v>0</v>
      </c>
      <c r="Q144" t="s">
        <v>27</v>
      </c>
      <c r="R144">
        <v>30</v>
      </c>
      <c r="S144" t="s">
        <v>41</v>
      </c>
    </row>
    <row r="145" spans="1:19" x14ac:dyDescent="0.3">
      <c r="A145" t="s">
        <v>439</v>
      </c>
      <c r="B145" s="2">
        <v>45522</v>
      </c>
      <c r="C145" t="s">
        <v>82</v>
      </c>
      <c r="D145" t="s">
        <v>60</v>
      </c>
      <c r="E145" t="s">
        <v>440</v>
      </c>
      <c r="F145" t="s">
        <v>115</v>
      </c>
      <c r="G145" t="s">
        <v>441</v>
      </c>
      <c r="H145" t="s">
        <v>53</v>
      </c>
      <c r="I145" t="s">
        <v>26</v>
      </c>
      <c r="J145">
        <v>3</v>
      </c>
      <c r="K145">
        <v>122</v>
      </c>
      <c r="L145">
        <v>366</v>
      </c>
      <c r="M145">
        <v>4.4000000000000004</v>
      </c>
      <c r="N145">
        <v>33</v>
      </c>
      <c r="P145">
        <v>0</v>
      </c>
      <c r="Q145" t="s">
        <v>34</v>
      </c>
      <c r="R145">
        <v>49</v>
      </c>
      <c r="S145" t="s">
        <v>41</v>
      </c>
    </row>
    <row r="146" spans="1:19" x14ac:dyDescent="0.3">
      <c r="A146" t="s">
        <v>442</v>
      </c>
      <c r="B146" s="2">
        <v>45332</v>
      </c>
      <c r="C146" t="s">
        <v>113</v>
      </c>
      <c r="D146" t="s">
        <v>100</v>
      </c>
      <c r="E146" t="s">
        <v>443</v>
      </c>
      <c r="F146" t="s">
        <v>62</v>
      </c>
      <c r="G146" t="s">
        <v>444</v>
      </c>
      <c r="H146" t="s">
        <v>48</v>
      </c>
      <c r="I146" t="s">
        <v>33</v>
      </c>
      <c r="J146">
        <v>3</v>
      </c>
      <c r="K146">
        <v>568</v>
      </c>
      <c r="L146">
        <v>1704</v>
      </c>
      <c r="M146">
        <v>4.3</v>
      </c>
      <c r="N146">
        <v>35</v>
      </c>
      <c r="O146">
        <v>499</v>
      </c>
      <c r="P146">
        <v>0</v>
      </c>
      <c r="Q146" t="s">
        <v>27</v>
      </c>
      <c r="R146">
        <v>36</v>
      </c>
      <c r="S146" t="s">
        <v>28</v>
      </c>
    </row>
    <row r="147" spans="1:19" x14ac:dyDescent="0.3">
      <c r="A147" t="s">
        <v>445</v>
      </c>
      <c r="B147" s="2">
        <v>45319</v>
      </c>
      <c r="C147" t="s">
        <v>43</v>
      </c>
      <c r="D147" t="s">
        <v>60</v>
      </c>
      <c r="E147" t="s">
        <v>446</v>
      </c>
      <c r="F147" t="s">
        <v>38</v>
      </c>
      <c r="G147" t="s">
        <v>447</v>
      </c>
      <c r="H147" t="s">
        <v>64</v>
      </c>
      <c r="I147" t="s">
        <v>26</v>
      </c>
      <c r="J147">
        <v>2</v>
      </c>
      <c r="K147">
        <v>507</v>
      </c>
      <c r="L147">
        <v>1014</v>
      </c>
      <c r="M147">
        <v>4.8</v>
      </c>
      <c r="N147">
        <v>15</v>
      </c>
      <c r="O147">
        <v>100</v>
      </c>
      <c r="P147">
        <v>50</v>
      </c>
      <c r="Q147" t="s">
        <v>75</v>
      </c>
      <c r="R147">
        <v>39</v>
      </c>
      <c r="S147" t="s">
        <v>41</v>
      </c>
    </row>
    <row r="148" spans="1:19" x14ac:dyDescent="0.3">
      <c r="A148" t="s">
        <v>448</v>
      </c>
      <c r="B148" s="2">
        <v>45426</v>
      </c>
      <c r="C148" t="s">
        <v>71</v>
      </c>
      <c r="D148" t="s">
        <v>36</v>
      </c>
      <c r="E148" t="s">
        <v>449</v>
      </c>
      <c r="F148" t="s">
        <v>450</v>
      </c>
      <c r="G148" t="s">
        <v>308</v>
      </c>
      <c r="H148" t="s">
        <v>64</v>
      </c>
      <c r="I148" t="s">
        <v>26</v>
      </c>
      <c r="J148">
        <v>1</v>
      </c>
      <c r="K148">
        <v>223</v>
      </c>
      <c r="L148">
        <v>223</v>
      </c>
      <c r="M148">
        <v>4.7</v>
      </c>
      <c r="N148">
        <v>40</v>
      </c>
      <c r="O148">
        <v>499</v>
      </c>
      <c r="P148">
        <v>0</v>
      </c>
      <c r="Q148" t="s">
        <v>34</v>
      </c>
      <c r="R148">
        <v>25</v>
      </c>
      <c r="S148" t="s">
        <v>28</v>
      </c>
    </row>
    <row r="149" spans="1:19" x14ac:dyDescent="0.3">
      <c r="A149" t="s">
        <v>451</v>
      </c>
      <c r="B149" s="2">
        <v>45492</v>
      </c>
      <c r="C149" t="s">
        <v>59</v>
      </c>
      <c r="D149" t="s">
        <v>21</v>
      </c>
      <c r="E149" t="s">
        <v>452</v>
      </c>
      <c r="F149" t="s">
        <v>62</v>
      </c>
      <c r="G149" t="s">
        <v>453</v>
      </c>
      <c r="H149" t="s">
        <v>64</v>
      </c>
      <c r="I149" t="s">
        <v>26</v>
      </c>
      <c r="J149">
        <v>1</v>
      </c>
      <c r="K149">
        <v>343</v>
      </c>
      <c r="L149">
        <v>343</v>
      </c>
      <c r="M149">
        <v>4.4000000000000004</v>
      </c>
      <c r="N149">
        <v>28</v>
      </c>
      <c r="O149">
        <v>1500</v>
      </c>
      <c r="P149">
        <v>10</v>
      </c>
      <c r="Q149" t="s">
        <v>34</v>
      </c>
      <c r="R149">
        <v>26</v>
      </c>
      <c r="S149" t="s">
        <v>28</v>
      </c>
    </row>
    <row r="150" spans="1:19" x14ac:dyDescent="0.3">
      <c r="A150" t="s">
        <v>454</v>
      </c>
      <c r="B150" s="2">
        <v>45363</v>
      </c>
      <c r="C150" t="s">
        <v>55</v>
      </c>
      <c r="D150" t="s">
        <v>36</v>
      </c>
      <c r="E150" t="s">
        <v>455</v>
      </c>
      <c r="F150" t="s">
        <v>87</v>
      </c>
      <c r="G150" t="s">
        <v>64</v>
      </c>
      <c r="H150" t="s">
        <v>64</v>
      </c>
      <c r="I150" t="s">
        <v>26</v>
      </c>
      <c r="J150">
        <v>2</v>
      </c>
      <c r="K150">
        <v>439</v>
      </c>
      <c r="L150">
        <v>878</v>
      </c>
      <c r="M150">
        <v>4.2</v>
      </c>
      <c r="N150">
        <v>30</v>
      </c>
      <c r="O150">
        <v>150</v>
      </c>
      <c r="P150">
        <v>30</v>
      </c>
      <c r="Q150" t="s">
        <v>27</v>
      </c>
      <c r="R150">
        <v>34</v>
      </c>
      <c r="S150" t="s">
        <v>28</v>
      </c>
    </row>
    <row r="151" spans="1:19" x14ac:dyDescent="0.3">
      <c r="A151" t="s">
        <v>456</v>
      </c>
      <c r="B151" s="2">
        <v>45303</v>
      </c>
      <c r="C151" t="s">
        <v>43</v>
      </c>
      <c r="D151" t="s">
        <v>21</v>
      </c>
      <c r="E151" t="s">
        <v>457</v>
      </c>
      <c r="F151" t="s">
        <v>458</v>
      </c>
      <c r="G151" t="s">
        <v>84</v>
      </c>
      <c r="H151" t="s">
        <v>64</v>
      </c>
      <c r="I151" t="s">
        <v>26</v>
      </c>
      <c r="J151">
        <v>3</v>
      </c>
      <c r="K151">
        <v>481</v>
      </c>
      <c r="L151">
        <v>1443</v>
      </c>
      <c r="M151">
        <v>4.7</v>
      </c>
      <c r="N151">
        <v>21</v>
      </c>
      <c r="P151">
        <v>20</v>
      </c>
      <c r="Q151" t="s">
        <v>75</v>
      </c>
      <c r="R151">
        <v>20</v>
      </c>
      <c r="S151" t="s">
        <v>28</v>
      </c>
    </row>
    <row r="152" spans="1:19" x14ac:dyDescent="0.3">
      <c r="A152" t="s">
        <v>459</v>
      </c>
      <c r="B152" s="2">
        <v>45453</v>
      </c>
      <c r="C152" t="s">
        <v>30</v>
      </c>
      <c r="D152" t="s">
        <v>44</v>
      </c>
      <c r="E152" t="s">
        <v>460</v>
      </c>
      <c r="F152" t="s">
        <v>23</v>
      </c>
      <c r="G152" t="s">
        <v>320</v>
      </c>
      <c r="H152" t="s">
        <v>64</v>
      </c>
      <c r="I152" t="s">
        <v>26</v>
      </c>
      <c r="J152">
        <v>4</v>
      </c>
      <c r="K152">
        <v>473</v>
      </c>
      <c r="L152">
        <v>1892</v>
      </c>
      <c r="M152">
        <v>4.2</v>
      </c>
      <c r="N152">
        <v>21</v>
      </c>
      <c r="O152">
        <v>100</v>
      </c>
      <c r="P152">
        <v>50</v>
      </c>
      <c r="Q152" t="s">
        <v>34</v>
      </c>
      <c r="R152">
        <v>36</v>
      </c>
      <c r="S152" t="s">
        <v>28</v>
      </c>
    </row>
    <row r="153" spans="1:19" x14ac:dyDescent="0.3">
      <c r="A153" t="s">
        <v>461</v>
      </c>
      <c r="B153" s="2">
        <v>45324</v>
      </c>
      <c r="C153" t="s">
        <v>113</v>
      </c>
      <c r="D153" t="s">
        <v>21</v>
      </c>
      <c r="E153" t="s">
        <v>462</v>
      </c>
      <c r="F153" t="s">
        <v>23</v>
      </c>
      <c r="G153" t="s">
        <v>463</v>
      </c>
      <c r="H153" t="s">
        <v>64</v>
      </c>
      <c r="I153" t="s">
        <v>26</v>
      </c>
      <c r="J153">
        <v>2</v>
      </c>
      <c r="K153">
        <v>592</v>
      </c>
      <c r="L153">
        <v>1184</v>
      </c>
      <c r="M153">
        <v>4.5</v>
      </c>
      <c r="N153">
        <v>27</v>
      </c>
      <c r="O153">
        <v>50</v>
      </c>
      <c r="P153">
        <v>20</v>
      </c>
      <c r="Q153" t="s">
        <v>75</v>
      </c>
      <c r="R153">
        <v>28</v>
      </c>
      <c r="S153" t="s">
        <v>41</v>
      </c>
    </row>
    <row r="154" spans="1:19" x14ac:dyDescent="0.3">
      <c r="A154" t="s">
        <v>464</v>
      </c>
      <c r="B154" s="2">
        <v>45339</v>
      </c>
      <c r="C154" t="s">
        <v>113</v>
      </c>
      <c r="D154" t="s">
        <v>100</v>
      </c>
      <c r="E154" t="s">
        <v>465</v>
      </c>
      <c r="F154" t="s">
        <v>46</v>
      </c>
      <c r="G154" t="s">
        <v>221</v>
      </c>
      <c r="H154" t="s">
        <v>80</v>
      </c>
      <c r="I154" t="s">
        <v>26</v>
      </c>
      <c r="J154">
        <v>4</v>
      </c>
      <c r="K154">
        <v>129</v>
      </c>
      <c r="L154">
        <v>516</v>
      </c>
      <c r="P154">
        <v>0</v>
      </c>
      <c r="Q154" t="s">
        <v>75</v>
      </c>
      <c r="R154">
        <v>41</v>
      </c>
      <c r="S154" t="s">
        <v>28</v>
      </c>
    </row>
    <row r="155" spans="1:19" x14ac:dyDescent="0.3">
      <c r="A155" t="s">
        <v>466</v>
      </c>
      <c r="B155" s="2">
        <v>45442</v>
      </c>
      <c r="C155" t="s">
        <v>71</v>
      </c>
      <c r="D155" t="s">
        <v>92</v>
      </c>
      <c r="E155" t="s">
        <v>467</v>
      </c>
      <c r="F155" t="s">
        <v>62</v>
      </c>
      <c r="G155" t="s">
        <v>468</v>
      </c>
      <c r="H155" t="s">
        <v>80</v>
      </c>
      <c r="I155" t="s">
        <v>26</v>
      </c>
      <c r="J155">
        <v>3</v>
      </c>
      <c r="K155">
        <v>524</v>
      </c>
      <c r="L155">
        <v>1572</v>
      </c>
      <c r="M155">
        <v>4</v>
      </c>
      <c r="N155">
        <v>27</v>
      </c>
      <c r="O155">
        <v>749</v>
      </c>
      <c r="P155">
        <v>0</v>
      </c>
      <c r="Q155" t="s">
        <v>75</v>
      </c>
      <c r="R155">
        <v>34</v>
      </c>
      <c r="S155" t="s">
        <v>41</v>
      </c>
    </row>
    <row r="156" spans="1:19" x14ac:dyDescent="0.3">
      <c r="A156" t="s">
        <v>469</v>
      </c>
      <c r="B156" s="2">
        <v>45353</v>
      </c>
      <c r="C156" t="s">
        <v>55</v>
      </c>
      <c r="D156" t="s">
        <v>100</v>
      </c>
      <c r="E156" t="s">
        <v>470</v>
      </c>
      <c r="F156" t="s">
        <v>471</v>
      </c>
      <c r="G156" t="s">
        <v>472</v>
      </c>
      <c r="H156" t="s">
        <v>64</v>
      </c>
      <c r="I156" t="s">
        <v>26</v>
      </c>
      <c r="J156">
        <v>1</v>
      </c>
      <c r="K156">
        <v>503</v>
      </c>
      <c r="L156">
        <v>503</v>
      </c>
      <c r="M156">
        <v>4.5</v>
      </c>
      <c r="N156">
        <v>18</v>
      </c>
      <c r="O156">
        <v>120</v>
      </c>
      <c r="P156">
        <v>60</v>
      </c>
      <c r="Q156" t="s">
        <v>27</v>
      </c>
      <c r="R156">
        <v>38</v>
      </c>
      <c r="S156" t="s">
        <v>41</v>
      </c>
    </row>
    <row r="157" spans="1:19" x14ac:dyDescent="0.3">
      <c r="A157" t="s">
        <v>473</v>
      </c>
      <c r="B157" s="2">
        <v>45507</v>
      </c>
      <c r="C157" t="s">
        <v>82</v>
      </c>
      <c r="D157" t="s">
        <v>100</v>
      </c>
      <c r="E157" t="s">
        <v>474</v>
      </c>
      <c r="F157" t="s">
        <v>23</v>
      </c>
      <c r="G157" t="s">
        <v>475</v>
      </c>
      <c r="H157" t="s">
        <v>48</v>
      </c>
      <c r="I157" t="s">
        <v>33</v>
      </c>
      <c r="J157">
        <v>3</v>
      </c>
      <c r="K157">
        <v>421</v>
      </c>
      <c r="L157">
        <v>1263</v>
      </c>
      <c r="M157">
        <v>4.3</v>
      </c>
      <c r="N157">
        <v>24</v>
      </c>
      <c r="O157">
        <v>799</v>
      </c>
      <c r="P157">
        <v>0</v>
      </c>
      <c r="Q157" t="s">
        <v>49</v>
      </c>
      <c r="R157">
        <v>36</v>
      </c>
      <c r="S157" t="s">
        <v>28</v>
      </c>
    </row>
    <row r="158" spans="1:19" x14ac:dyDescent="0.3">
      <c r="A158" t="s">
        <v>476</v>
      </c>
      <c r="B158" s="2">
        <v>45328</v>
      </c>
      <c r="C158" t="s">
        <v>113</v>
      </c>
      <c r="D158" t="s">
        <v>36</v>
      </c>
      <c r="E158" t="s">
        <v>477</v>
      </c>
      <c r="F158" t="s">
        <v>23</v>
      </c>
      <c r="G158" t="s">
        <v>478</v>
      </c>
      <c r="H158" t="s">
        <v>48</v>
      </c>
      <c r="I158" t="s">
        <v>33</v>
      </c>
      <c r="J158">
        <v>2</v>
      </c>
      <c r="K158">
        <v>350</v>
      </c>
      <c r="L158">
        <v>700</v>
      </c>
      <c r="M158">
        <v>4.4000000000000004</v>
      </c>
      <c r="O158">
        <v>100</v>
      </c>
      <c r="P158">
        <v>50</v>
      </c>
      <c r="Q158" t="s">
        <v>49</v>
      </c>
      <c r="R158">
        <v>19</v>
      </c>
      <c r="S158" t="s">
        <v>41</v>
      </c>
    </row>
    <row r="159" spans="1:19" x14ac:dyDescent="0.3">
      <c r="A159" t="s">
        <v>479</v>
      </c>
      <c r="B159" s="2">
        <v>45390</v>
      </c>
      <c r="C159" t="s">
        <v>20</v>
      </c>
      <c r="D159" t="s">
        <v>44</v>
      </c>
      <c r="E159" t="s">
        <v>480</v>
      </c>
      <c r="F159" t="s">
        <v>23</v>
      </c>
      <c r="G159" t="s">
        <v>435</v>
      </c>
      <c r="H159" t="s">
        <v>48</v>
      </c>
      <c r="I159" t="s">
        <v>33</v>
      </c>
      <c r="J159">
        <v>1</v>
      </c>
      <c r="K159">
        <v>338</v>
      </c>
      <c r="L159">
        <v>338</v>
      </c>
      <c r="M159">
        <v>4.2</v>
      </c>
      <c r="N159">
        <v>22</v>
      </c>
      <c r="O159">
        <v>110</v>
      </c>
      <c r="P159">
        <v>60</v>
      </c>
      <c r="Q159" t="s">
        <v>34</v>
      </c>
      <c r="R159">
        <v>48</v>
      </c>
      <c r="S159" t="s">
        <v>28</v>
      </c>
    </row>
    <row r="160" spans="1:19" x14ac:dyDescent="0.3">
      <c r="A160" t="s">
        <v>481</v>
      </c>
      <c r="B160" s="2">
        <v>45463</v>
      </c>
      <c r="C160" t="s">
        <v>30</v>
      </c>
      <c r="D160" t="s">
        <v>92</v>
      </c>
      <c r="E160" t="s">
        <v>482</v>
      </c>
      <c r="F160" t="s">
        <v>23</v>
      </c>
      <c r="G160" t="s">
        <v>483</v>
      </c>
      <c r="H160" t="s">
        <v>64</v>
      </c>
      <c r="I160" t="s">
        <v>33</v>
      </c>
      <c r="J160">
        <v>2</v>
      </c>
      <c r="K160">
        <v>530</v>
      </c>
      <c r="L160">
        <v>1060</v>
      </c>
      <c r="M160">
        <v>4.0999999999999996</v>
      </c>
      <c r="N160">
        <v>26</v>
      </c>
      <c r="O160">
        <v>110</v>
      </c>
      <c r="P160">
        <v>60</v>
      </c>
      <c r="Q160" t="s">
        <v>75</v>
      </c>
      <c r="R160">
        <v>25</v>
      </c>
      <c r="S160" t="s">
        <v>41</v>
      </c>
    </row>
    <row r="161" spans="1:19" x14ac:dyDescent="0.3">
      <c r="A161" t="s">
        <v>484</v>
      </c>
      <c r="B161" s="2">
        <v>45395</v>
      </c>
      <c r="C161" t="s">
        <v>20</v>
      </c>
      <c r="D161" t="s">
        <v>100</v>
      </c>
      <c r="E161" t="s">
        <v>485</v>
      </c>
      <c r="F161" t="s">
        <v>23</v>
      </c>
      <c r="G161" t="s">
        <v>486</v>
      </c>
      <c r="H161" t="s">
        <v>48</v>
      </c>
      <c r="I161" t="s">
        <v>33</v>
      </c>
      <c r="J161">
        <v>2</v>
      </c>
      <c r="K161">
        <v>185</v>
      </c>
      <c r="L161">
        <v>370</v>
      </c>
      <c r="M161">
        <v>4.3</v>
      </c>
      <c r="N161">
        <v>26</v>
      </c>
      <c r="O161">
        <v>159</v>
      </c>
      <c r="P161">
        <v>0</v>
      </c>
      <c r="Q161" t="s">
        <v>27</v>
      </c>
      <c r="R161">
        <v>36</v>
      </c>
      <c r="S161" t="s">
        <v>41</v>
      </c>
    </row>
    <row r="162" spans="1:19" x14ac:dyDescent="0.3">
      <c r="A162" t="s">
        <v>487</v>
      </c>
      <c r="B162" s="2">
        <v>45505</v>
      </c>
      <c r="C162" t="s">
        <v>82</v>
      </c>
      <c r="D162" t="s">
        <v>92</v>
      </c>
      <c r="E162" t="s">
        <v>488</v>
      </c>
      <c r="F162" t="s">
        <v>23</v>
      </c>
      <c r="G162" t="s">
        <v>489</v>
      </c>
      <c r="H162" t="s">
        <v>64</v>
      </c>
      <c r="I162" t="s">
        <v>26</v>
      </c>
      <c r="J162">
        <v>3</v>
      </c>
      <c r="K162">
        <v>544</v>
      </c>
      <c r="L162">
        <v>1632</v>
      </c>
      <c r="M162">
        <v>4</v>
      </c>
      <c r="N162">
        <v>26</v>
      </c>
      <c r="O162">
        <v>80</v>
      </c>
      <c r="P162">
        <v>40</v>
      </c>
      <c r="Q162" t="s">
        <v>75</v>
      </c>
      <c r="R162">
        <v>24</v>
      </c>
      <c r="S162" t="s">
        <v>41</v>
      </c>
    </row>
    <row r="163" spans="1:19" x14ac:dyDescent="0.3">
      <c r="A163" t="s">
        <v>490</v>
      </c>
      <c r="B163" s="2">
        <v>45510</v>
      </c>
      <c r="C163" t="s">
        <v>82</v>
      </c>
      <c r="D163" t="s">
        <v>36</v>
      </c>
      <c r="E163" t="s">
        <v>491</v>
      </c>
      <c r="F163" t="s">
        <v>115</v>
      </c>
      <c r="G163" t="s">
        <v>492</v>
      </c>
      <c r="H163" t="s">
        <v>64</v>
      </c>
      <c r="I163" t="s">
        <v>26</v>
      </c>
      <c r="J163">
        <v>2</v>
      </c>
      <c r="K163">
        <v>231</v>
      </c>
      <c r="L163">
        <v>462</v>
      </c>
      <c r="M163">
        <v>4.9000000000000004</v>
      </c>
      <c r="N163">
        <v>33</v>
      </c>
      <c r="P163">
        <v>0</v>
      </c>
      <c r="Q163" t="s">
        <v>75</v>
      </c>
      <c r="R163">
        <v>45</v>
      </c>
      <c r="S163" t="s">
        <v>28</v>
      </c>
    </row>
    <row r="164" spans="1:19" x14ac:dyDescent="0.3">
      <c r="A164" t="s">
        <v>493</v>
      </c>
      <c r="B164" s="2">
        <v>45326</v>
      </c>
      <c r="C164" t="s">
        <v>113</v>
      </c>
      <c r="D164" t="s">
        <v>60</v>
      </c>
      <c r="E164" t="s">
        <v>494</v>
      </c>
      <c r="F164" t="s">
        <v>115</v>
      </c>
      <c r="G164" t="s">
        <v>154</v>
      </c>
      <c r="H164" t="s">
        <v>80</v>
      </c>
      <c r="I164" t="s">
        <v>26</v>
      </c>
      <c r="J164">
        <v>3</v>
      </c>
      <c r="K164">
        <v>132</v>
      </c>
      <c r="L164">
        <v>396</v>
      </c>
      <c r="M164">
        <v>4.5999999999999996</v>
      </c>
      <c r="N164">
        <v>31</v>
      </c>
      <c r="P164">
        <v>0</v>
      </c>
      <c r="Q164" t="s">
        <v>27</v>
      </c>
      <c r="R164">
        <v>44</v>
      </c>
      <c r="S164" t="s">
        <v>41</v>
      </c>
    </row>
    <row r="165" spans="1:19" x14ac:dyDescent="0.3">
      <c r="A165" t="s">
        <v>495</v>
      </c>
      <c r="B165" s="2">
        <v>45484</v>
      </c>
      <c r="C165" t="s">
        <v>59</v>
      </c>
      <c r="D165" t="s">
        <v>92</v>
      </c>
      <c r="E165" t="s">
        <v>496</v>
      </c>
      <c r="F165" t="s">
        <v>115</v>
      </c>
      <c r="G165" t="s">
        <v>497</v>
      </c>
      <c r="H165" t="s">
        <v>80</v>
      </c>
      <c r="I165" t="s">
        <v>26</v>
      </c>
      <c r="J165">
        <v>1</v>
      </c>
      <c r="K165">
        <v>512</v>
      </c>
      <c r="L165">
        <v>512</v>
      </c>
      <c r="M165">
        <v>4.5</v>
      </c>
      <c r="N165">
        <v>31</v>
      </c>
      <c r="O165">
        <v>1900</v>
      </c>
      <c r="P165">
        <v>10</v>
      </c>
      <c r="Q165" t="s">
        <v>49</v>
      </c>
      <c r="R165">
        <v>34</v>
      </c>
      <c r="S165" t="s">
        <v>28</v>
      </c>
    </row>
    <row r="166" spans="1:19" x14ac:dyDescent="0.3">
      <c r="A166" t="s">
        <v>498</v>
      </c>
      <c r="B166" s="2">
        <v>45518</v>
      </c>
      <c r="C166" t="s">
        <v>82</v>
      </c>
      <c r="D166" t="s">
        <v>72</v>
      </c>
      <c r="E166" t="s">
        <v>499</v>
      </c>
      <c r="F166" t="s">
        <v>115</v>
      </c>
      <c r="G166" t="s">
        <v>500</v>
      </c>
      <c r="H166" t="s">
        <v>64</v>
      </c>
      <c r="I166" t="s">
        <v>26</v>
      </c>
      <c r="J166">
        <v>3</v>
      </c>
      <c r="K166">
        <v>539</v>
      </c>
      <c r="L166">
        <v>1617</v>
      </c>
      <c r="M166">
        <v>4.4000000000000004</v>
      </c>
      <c r="N166">
        <v>27</v>
      </c>
      <c r="O166">
        <v>599</v>
      </c>
      <c r="P166">
        <v>0</v>
      </c>
      <c r="Q166" t="s">
        <v>75</v>
      </c>
      <c r="R166">
        <v>23</v>
      </c>
      <c r="S166" t="s">
        <v>41</v>
      </c>
    </row>
    <row r="167" spans="1:19" x14ac:dyDescent="0.3">
      <c r="A167" t="s">
        <v>501</v>
      </c>
      <c r="B167" s="2">
        <v>45392</v>
      </c>
      <c r="C167" t="s">
        <v>20</v>
      </c>
      <c r="D167" t="s">
        <v>72</v>
      </c>
      <c r="E167" t="s">
        <v>502</v>
      </c>
      <c r="F167" t="s">
        <v>115</v>
      </c>
      <c r="G167" t="s">
        <v>503</v>
      </c>
      <c r="H167" t="s">
        <v>80</v>
      </c>
      <c r="I167" t="s">
        <v>26</v>
      </c>
      <c r="J167">
        <v>1</v>
      </c>
      <c r="K167">
        <v>205</v>
      </c>
      <c r="L167">
        <v>205</v>
      </c>
      <c r="M167">
        <v>4.0999999999999996</v>
      </c>
      <c r="N167">
        <v>34</v>
      </c>
      <c r="O167">
        <v>1000</v>
      </c>
      <c r="P167">
        <v>10</v>
      </c>
      <c r="Q167" t="s">
        <v>75</v>
      </c>
      <c r="R167">
        <v>36</v>
      </c>
      <c r="S167" t="s">
        <v>41</v>
      </c>
    </row>
    <row r="168" spans="1:19" x14ac:dyDescent="0.3">
      <c r="A168" t="s">
        <v>504</v>
      </c>
      <c r="B168" s="2">
        <v>45466</v>
      </c>
      <c r="C168" t="s">
        <v>30</v>
      </c>
      <c r="D168" t="s">
        <v>60</v>
      </c>
      <c r="E168" t="s">
        <v>505</v>
      </c>
      <c r="F168" t="s">
        <v>23</v>
      </c>
      <c r="G168" t="s">
        <v>64</v>
      </c>
      <c r="H168" t="s">
        <v>64</v>
      </c>
      <c r="I168" t="s">
        <v>26</v>
      </c>
      <c r="J168">
        <v>3</v>
      </c>
      <c r="K168">
        <v>353</v>
      </c>
      <c r="L168">
        <v>1059</v>
      </c>
      <c r="M168">
        <v>4.5999999999999996</v>
      </c>
      <c r="N168">
        <v>13</v>
      </c>
      <c r="O168">
        <v>75</v>
      </c>
      <c r="P168">
        <v>30</v>
      </c>
      <c r="Q168" t="s">
        <v>49</v>
      </c>
      <c r="R168">
        <v>41</v>
      </c>
      <c r="S168" t="s">
        <v>41</v>
      </c>
    </row>
    <row r="169" spans="1:19" x14ac:dyDescent="0.3">
      <c r="A169" t="s">
        <v>506</v>
      </c>
      <c r="B169" s="2">
        <v>45497</v>
      </c>
      <c r="C169" t="s">
        <v>59</v>
      </c>
      <c r="D169" t="s">
        <v>72</v>
      </c>
      <c r="E169" t="s">
        <v>507</v>
      </c>
      <c r="F169" t="s">
        <v>115</v>
      </c>
      <c r="G169" t="s">
        <v>508</v>
      </c>
      <c r="H169" t="s">
        <v>64</v>
      </c>
      <c r="I169" t="s">
        <v>26</v>
      </c>
      <c r="J169">
        <v>4</v>
      </c>
      <c r="K169">
        <v>209</v>
      </c>
      <c r="L169">
        <v>836</v>
      </c>
      <c r="M169">
        <v>3.5</v>
      </c>
      <c r="N169">
        <v>39</v>
      </c>
      <c r="O169">
        <v>700</v>
      </c>
      <c r="P169">
        <v>20</v>
      </c>
      <c r="Q169" t="s">
        <v>27</v>
      </c>
      <c r="R169">
        <v>23</v>
      </c>
      <c r="S169" t="s">
        <v>41</v>
      </c>
    </row>
    <row r="170" spans="1:19" x14ac:dyDescent="0.3">
      <c r="A170" t="s">
        <v>509</v>
      </c>
      <c r="B170" s="2">
        <v>45422</v>
      </c>
      <c r="C170" t="s">
        <v>71</v>
      </c>
      <c r="D170" t="s">
        <v>21</v>
      </c>
      <c r="E170" t="s">
        <v>510</v>
      </c>
      <c r="F170" t="s">
        <v>115</v>
      </c>
      <c r="G170" t="s">
        <v>308</v>
      </c>
      <c r="H170" t="s">
        <v>64</v>
      </c>
      <c r="I170" t="s">
        <v>26</v>
      </c>
      <c r="J170">
        <v>4</v>
      </c>
      <c r="K170">
        <v>433</v>
      </c>
      <c r="L170">
        <v>1732</v>
      </c>
      <c r="M170">
        <v>4.7</v>
      </c>
      <c r="N170">
        <v>28</v>
      </c>
      <c r="P170">
        <v>0</v>
      </c>
      <c r="Q170" t="s">
        <v>34</v>
      </c>
      <c r="R170">
        <v>45</v>
      </c>
      <c r="S170" t="s">
        <v>28</v>
      </c>
    </row>
    <row r="171" spans="1:19" x14ac:dyDescent="0.3">
      <c r="A171" t="s">
        <v>511</v>
      </c>
      <c r="B171" s="2">
        <v>45292</v>
      </c>
      <c r="C171" t="s">
        <v>43</v>
      </c>
      <c r="D171" t="s">
        <v>44</v>
      </c>
      <c r="E171" t="s">
        <v>512</v>
      </c>
      <c r="F171" t="s">
        <v>513</v>
      </c>
      <c r="G171" t="s">
        <v>514</v>
      </c>
      <c r="H171" t="s">
        <v>64</v>
      </c>
      <c r="I171" t="s">
        <v>26</v>
      </c>
      <c r="J171">
        <v>2</v>
      </c>
      <c r="K171">
        <v>173</v>
      </c>
      <c r="L171">
        <v>346</v>
      </c>
      <c r="M171">
        <v>4.4000000000000004</v>
      </c>
      <c r="N171">
        <v>33</v>
      </c>
      <c r="O171">
        <v>699</v>
      </c>
      <c r="P171">
        <v>0</v>
      </c>
      <c r="Q171" t="s">
        <v>49</v>
      </c>
      <c r="R171">
        <v>19</v>
      </c>
      <c r="S171" t="s">
        <v>28</v>
      </c>
    </row>
    <row r="172" spans="1:19" x14ac:dyDescent="0.3">
      <c r="A172" t="s">
        <v>515</v>
      </c>
      <c r="B172" s="2">
        <v>45296</v>
      </c>
      <c r="C172" t="s">
        <v>43</v>
      </c>
      <c r="D172" t="s">
        <v>21</v>
      </c>
      <c r="E172" t="s">
        <v>516</v>
      </c>
      <c r="F172" t="s">
        <v>517</v>
      </c>
      <c r="G172" t="s">
        <v>63</v>
      </c>
      <c r="H172" t="s">
        <v>64</v>
      </c>
      <c r="I172" t="s">
        <v>26</v>
      </c>
      <c r="J172">
        <v>3</v>
      </c>
      <c r="K172">
        <v>131</v>
      </c>
      <c r="L172">
        <v>393</v>
      </c>
      <c r="M172">
        <v>4.0999999999999996</v>
      </c>
      <c r="N172">
        <v>35</v>
      </c>
      <c r="P172">
        <v>0</v>
      </c>
      <c r="Q172" t="s">
        <v>34</v>
      </c>
      <c r="R172">
        <v>23</v>
      </c>
      <c r="S172" t="s">
        <v>41</v>
      </c>
    </row>
    <row r="173" spans="1:19" x14ac:dyDescent="0.3">
      <c r="A173" t="s">
        <v>518</v>
      </c>
      <c r="B173" s="2">
        <v>45509</v>
      </c>
      <c r="C173" t="s">
        <v>82</v>
      </c>
      <c r="D173" t="s">
        <v>44</v>
      </c>
      <c r="E173" t="s">
        <v>519</v>
      </c>
      <c r="F173" t="s">
        <v>87</v>
      </c>
      <c r="G173" t="s">
        <v>520</v>
      </c>
      <c r="H173" t="s">
        <v>64</v>
      </c>
      <c r="I173" t="s">
        <v>26</v>
      </c>
      <c r="J173">
        <v>3</v>
      </c>
      <c r="K173">
        <v>328</v>
      </c>
      <c r="L173">
        <v>984</v>
      </c>
      <c r="M173">
        <v>4.3</v>
      </c>
      <c r="N173">
        <v>31</v>
      </c>
      <c r="O173">
        <v>599</v>
      </c>
      <c r="P173">
        <v>0</v>
      </c>
      <c r="Q173" t="s">
        <v>34</v>
      </c>
      <c r="R173">
        <v>40</v>
      </c>
      <c r="S173" t="s">
        <v>41</v>
      </c>
    </row>
    <row r="174" spans="1:19" x14ac:dyDescent="0.3">
      <c r="A174" t="s">
        <v>521</v>
      </c>
      <c r="B174" s="2">
        <v>45433</v>
      </c>
      <c r="C174" t="s">
        <v>71</v>
      </c>
      <c r="D174" t="s">
        <v>36</v>
      </c>
      <c r="E174" t="s">
        <v>522</v>
      </c>
      <c r="F174" t="s">
        <v>115</v>
      </c>
      <c r="G174" t="s">
        <v>94</v>
      </c>
      <c r="H174" t="s">
        <v>80</v>
      </c>
      <c r="I174" t="s">
        <v>26</v>
      </c>
      <c r="J174">
        <v>1</v>
      </c>
      <c r="K174">
        <v>581</v>
      </c>
      <c r="L174">
        <v>581</v>
      </c>
      <c r="O174">
        <v>299</v>
      </c>
      <c r="P174">
        <v>0</v>
      </c>
      <c r="Q174" t="s">
        <v>49</v>
      </c>
      <c r="R174">
        <v>22</v>
      </c>
      <c r="S174" t="s">
        <v>28</v>
      </c>
    </row>
    <row r="175" spans="1:19" x14ac:dyDescent="0.3">
      <c r="A175" t="s">
        <v>523</v>
      </c>
      <c r="B175" s="2">
        <v>45394</v>
      </c>
      <c r="C175" t="s">
        <v>20</v>
      </c>
      <c r="D175" t="s">
        <v>21</v>
      </c>
      <c r="E175" t="s">
        <v>524</v>
      </c>
      <c r="F175" t="s">
        <v>23</v>
      </c>
      <c r="G175" t="s">
        <v>279</v>
      </c>
      <c r="H175" t="s">
        <v>40</v>
      </c>
      <c r="I175" t="s">
        <v>26</v>
      </c>
      <c r="J175">
        <v>2</v>
      </c>
      <c r="K175">
        <v>133</v>
      </c>
      <c r="L175">
        <v>266</v>
      </c>
      <c r="M175">
        <v>4.4000000000000004</v>
      </c>
      <c r="O175">
        <v>899</v>
      </c>
      <c r="P175">
        <v>0</v>
      </c>
      <c r="Q175" t="s">
        <v>75</v>
      </c>
      <c r="R175">
        <v>36</v>
      </c>
      <c r="S175" t="s">
        <v>28</v>
      </c>
    </row>
    <row r="176" spans="1:19" x14ac:dyDescent="0.3">
      <c r="A176" t="s">
        <v>525</v>
      </c>
      <c r="B176" s="2">
        <v>45318</v>
      </c>
      <c r="C176" t="s">
        <v>43</v>
      </c>
      <c r="D176" t="s">
        <v>100</v>
      </c>
      <c r="E176" t="s">
        <v>526</v>
      </c>
      <c r="F176" t="s">
        <v>115</v>
      </c>
      <c r="G176" t="s">
        <v>527</v>
      </c>
      <c r="H176" t="s">
        <v>40</v>
      </c>
      <c r="I176" t="s">
        <v>26</v>
      </c>
      <c r="J176">
        <v>3</v>
      </c>
      <c r="K176">
        <v>240</v>
      </c>
      <c r="L176">
        <v>720</v>
      </c>
      <c r="M176">
        <v>4.0999999999999996</v>
      </c>
      <c r="N176">
        <v>34</v>
      </c>
      <c r="O176">
        <v>399</v>
      </c>
      <c r="P176">
        <v>0</v>
      </c>
      <c r="Q176" t="s">
        <v>34</v>
      </c>
      <c r="R176">
        <v>37</v>
      </c>
      <c r="S176" t="s">
        <v>28</v>
      </c>
    </row>
    <row r="177" spans="1:19" x14ac:dyDescent="0.3">
      <c r="A177" t="s">
        <v>528</v>
      </c>
      <c r="B177" s="2">
        <v>45428</v>
      </c>
      <c r="C177" t="s">
        <v>71</v>
      </c>
      <c r="D177" t="s">
        <v>92</v>
      </c>
      <c r="E177" t="s">
        <v>529</v>
      </c>
      <c r="F177" t="s">
        <v>87</v>
      </c>
      <c r="G177" t="s">
        <v>84</v>
      </c>
      <c r="H177" t="s">
        <v>64</v>
      </c>
      <c r="I177" t="s">
        <v>26</v>
      </c>
      <c r="J177">
        <v>2</v>
      </c>
      <c r="K177">
        <v>537</v>
      </c>
      <c r="L177">
        <v>1074</v>
      </c>
      <c r="M177">
        <v>4.0999999999999996</v>
      </c>
      <c r="N177">
        <v>35</v>
      </c>
      <c r="O177">
        <v>399</v>
      </c>
      <c r="P177">
        <v>0</v>
      </c>
      <c r="Q177" t="s">
        <v>34</v>
      </c>
      <c r="R177">
        <v>21</v>
      </c>
      <c r="S177" t="s">
        <v>28</v>
      </c>
    </row>
    <row r="178" spans="1:19" x14ac:dyDescent="0.3">
      <c r="A178" t="s">
        <v>530</v>
      </c>
      <c r="B178" s="2">
        <v>45498</v>
      </c>
      <c r="C178" t="s">
        <v>59</v>
      </c>
      <c r="D178" t="s">
        <v>92</v>
      </c>
      <c r="E178" t="s">
        <v>531</v>
      </c>
      <c r="F178" t="s">
        <v>115</v>
      </c>
      <c r="G178" t="s">
        <v>84</v>
      </c>
      <c r="H178" t="s">
        <v>64</v>
      </c>
      <c r="I178" t="s">
        <v>26</v>
      </c>
      <c r="J178">
        <v>4</v>
      </c>
      <c r="K178">
        <v>556</v>
      </c>
      <c r="L178">
        <v>2224</v>
      </c>
      <c r="M178">
        <v>4.4000000000000004</v>
      </c>
      <c r="N178">
        <v>34</v>
      </c>
      <c r="P178">
        <v>0</v>
      </c>
      <c r="Q178" t="s">
        <v>27</v>
      </c>
      <c r="R178">
        <v>39</v>
      </c>
      <c r="S178" t="s">
        <v>41</v>
      </c>
    </row>
    <row r="179" spans="1:19" x14ac:dyDescent="0.3">
      <c r="A179" t="s">
        <v>532</v>
      </c>
      <c r="B179" s="2">
        <v>45306</v>
      </c>
      <c r="C179" t="s">
        <v>43</v>
      </c>
      <c r="D179" t="s">
        <v>44</v>
      </c>
      <c r="E179" t="s">
        <v>533</v>
      </c>
      <c r="F179" t="s">
        <v>23</v>
      </c>
      <c r="G179" t="s">
        <v>534</v>
      </c>
      <c r="H179" t="s">
        <v>25</v>
      </c>
      <c r="I179" t="s">
        <v>26</v>
      </c>
      <c r="J179">
        <v>3</v>
      </c>
      <c r="K179">
        <v>496</v>
      </c>
      <c r="L179">
        <v>1488</v>
      </c>
      <c r="M179">
        <v>4.3</v>
      </c>
      <c r="N179">
        <v>39</v>
      </c>
      <c r="O179">
        <v>120</v>
      </c>
      <c r="P179">
        <v>60</v>
      </c>
      <c r="Q179" t="s">
        <v>75</v>
      </c>
      <c r="R179">
        <v>43</v>
      </c>
      <c r="S179" t="s">
        <v>41</v>
      </c>
    </row>
    <row r="180" spans="1:19" x14ac:dyDescent="0.3">
      <c r="A180" t="s">
        <v>535</v>
      </c>
      <c r="B180" s="2">
        <v>45381</v>
      </c>
      <c r="C180" t="s">
        <v>55</v>
      </c>
      <c r="D180" t="s">
        <v>100</v>
      </c>
      <c r="E180" t="s">
        <v>536</v>
      </c>
      <c r="F180" t="s">
        <v>513</v>
      </c>
      <c r="G180" t="s">
        <v>109</v>
      </c>
      <c r="H180" t="s">
        <v>64</v>
      </c>
      <c r="I180" t="s">
        <v>26</v>
      </c>
      <c r="J180">
        <v>3</v>
      </c>
      <c r="K180">
        <v>139</v>
      </c>
      <c r="L180">
        <v>417</v>
      </c>
      <c r="M180">
        <v>4.7</v>
      </c>
      <c r="N180">
        <v>33</v>
      </c>
      <c r="O180">
        <v>179</v>
      </c>
      <c r="P180">
        <v>25</v>
      </c>
      <c r="Q180" t="s">
        <v>34</v>
      </c>
      <c r="R180">
        <v>34</v>
      </c>
      <c r="S180" t="s">
        <v>28</v>
      </c>
    </row>
    <row r="181" spans="1:19" x14ac:dyDescent="0.3">
      <c r="A181" t="s">
        <v>537</v>
      </c>
      <c r="B181" s="2">
        <v>45333</v>
      </c>
      <c r="C181" t="s">
        <v>113</v>
      </c>
      <c r="D181" t="s">
        <v>60</v>
      </c>
      <c r="E181" t="s">
        <v>538</v>
      </c>
      <c r="F181" t="s">
        <v>23</v>
      </c>
      <c r="G181" t="s">
        <v>539</v>
      </c>
      <c r="H181" t="s">
        <v>64</v>
      </c>
      <c r="I181" t="s">
        <v>26</v>
      </c>
      <c r="J181">
        <v>2</v>
      </c>
      <c r="K181">
        <v>194</v>
      </c>
      <c r="L181">
        <v>388</v>
      </c>
      <c r="M181">
        <v>4.5999999999999996</v>
      </c>
      <c r="N181">
        <v>27</v>
      </c>
      <c r="O181">
        <v>100</v>
      </c>
      <c r="P181">
        <v>50</v>
      </c>
      <c r="Q181" t="s">
        <v>27</v>
      </c>
      <c r="R181">
        <v>28</v>
      </c>
      <c r="S181" t="s">
        <v>28</v>
      </c>
    </row>
    <row r="182" spans="1:19" x14ac:dyDescent="0.3">
      <c r="A182" t="s">
        <v>540</v>
      </c>
      <c r="B182" s="2">
        <v>45415</v>
      </c>
      <c r="C182" t="s">
        <v>71</v>
      </c>
      <c r="D182" t="s">
        <v>21</v>
      </c>
      <c r="E182" t="s">
        <v>541</v>
      </c>
      <c r="F182" t="s">
        <v>23</v>
      </c>
      <c r="G182" t="s">
        <v>542</v>
      </c>
      <c r="H182" t="s">
        <v>64</v>
      </c>
      <c r="I182" t="s">
        <v>26</v>
      </c>
      <c r="J182">
        <v>3</v>
      </c>
      <c r="K182">
        <v>519</v>
      </c>
      <c r="L182">
        <v>1557</v>
      </c>
      <c r="M182">
        <v>4.3</v>
      </c>
      <c r="N182">
        <v>15</v>
      </c>
      <c r="O182">
        <v>449</v>
      </c>
      <c r="P182">
        <v>0</v>
      </c>
      <c r="Q182" t="s">
        <v>75</v>
      </c>
      <c r="R182">
        <v>21</v>
      </c>
      <c r="S182" t="s">
        <v>28</v>
      </c>
    </row>
    <row r="183" spans="1:19" x14ac:dyDescent="0.3">
      <c r="A183" t="s">
        <v>543</v>
      </c>
      <c r="B183" s="2">
        <v>45496</v>
      </c>
      <c r="C183" t="s">
        <v>59</v>
      </c>
      <c r="D183" t="s">
        <v>36</v>
      </c>
      <c r="E183" t="s">
        <v>544</v>
      </c>
      <c r="F183" t="s">
        <v>46</v>
      </c>
      <c r="G183" t="s">
        <v>545</v>
      </c>
      <c r="H183" t="s">
        <v>53</v>
      </c>
      <c r="I183" t="s">
        <v>26</v>
      </c>
      <c r="J183">
        <v>2</v>
      </c>
      <c r="K183">
        <v>362</v>
      </c>
      <c r="L183">
        <v>724</v>
      </c>
      <c r="M183">
        <v>4.5999999999999996</v>
      </c>
      <c r="N183">
        <v>15</v>
      </c>
      <c r="P183">
        <v>0</v>
      </c>
      <c r="Q183" t="s">
        <v>49</v>
      </c>
      <c r="R183">
        <v>43</v>
      </c>
      <c r="S183" t="s">
        <v>28</v>
      </c>
    </row>
    <row r="184" spans="1:19" x14ac:dyDescent="0.3">
      <c r="A184" t="s">
        <v>546</v>
      </c>
      <c r="B184" s="2">
        <v>45470</v>
      </c>
      <c r="C184" t="s">
        <v>30</v>
      </c>
      <c r="D184" t="s">
        <v>92</v>
      </c>
      <c r="E184" t="s">
        <v>547</v>
      </c>
      <c r="F184" t="s">
        <v>23</v>
      </c>
      <c r="G184" t="s">
        <v>548</v>
      </c>
      <c r="H184" t="s">
        <v>48</v>
      </c>
      <c r="I184" t="s">
        <v>33</v>
      </c>
      <c r="J184">
        <v>3</v>
      </c>
      <c r="K184">
        <v>342</v>
      </c>
      <c r="L184">
        <v>1026</v>
      </c>
      <c r="M184">
        <v>4.0999999999999996</v>
      </c>
      <c r="N184">
        <v>23</v>
      </c>
      <c r="O184">
        <v>75</v>
      </c>
      <c r="P184">
        <v>30</v>
      </c>
      <c r="Q184" t="s">
        <v>49</v>
      </c>
      <c r="R184">
        <v>30</v>
      </c>
      <c r="S184" t="s">
        <v>28</v>
      </c>
    </row>
    <row r="185" spans="1:19" x14ac:dyDescent="0.3">
      <c r="A185" t="s">
        <v>549</v>
      </c>
      <c r="B185" s="2">
        <v>45354</v>
      </c>
      <c r="C185" t="s">
        <v>55</v>
      </c>
      <c r="D185" t="s">
        <v>60</v>
      </c>
      <c r="E185" t="s">
        <v>550</v>
      </c>
      <c r="F185" t="s">
        <v>23</v>
      </c>
      <c r="G185" t="s">
        <v>551</v>
      </c>
      <c r="H185" t="s">
        <v>48</v>
      </c>
      <c r="I185" t="s">
        <v>33</v>
      </c>
      <c r="J185">
        <v>1</v>
      </c>
      <c r="K185">
        <v>189</v>
      </c>
      <c r="L185">
        <v>189</v>
      </c>
      <c r="M185">
        <v>4</v>
      </c>
      <c r="N185">
        <v>25</v>
      </c>
      <c r="O185">
        <v>110</v>
      </c>
      <c r="P185">
        <v>60</v>
      </c>
      <c r="Q185" t="s">
        <v>27</v>
      </c>
      <c r="R185">
        <v>37</v>
      </c>
      <c r="S185" t="s">
        <v>28</v>
      </c>
    </row>
    <row r="186" spans="1:19" x14ac:dyDescent="0.3">
      <c r="A186" t="s">
        <v>552</v>
      </c>
      <c r="B186" s="2">
        <v>45387</v>
      </c>
      <c r="C186" t="s">
        <v>20</v>
      </c>
      <c r="D186" t="s">
        <v>21</v>
      </c>
      <c r="E186" t="s">
        <v>553</v>
      </c>
      <c r="F186" t="s">
        <v>23</v>
      </c>
      <c r="G186" t="s">
        <v>554</v>
      </c>
      <c r="H186" t="s">
        <v>64</v>
      </c>
      <c r="I186" t="s">
        <v>26</v>
      </c>
      <c r="J186">
        <v>2</v>
      </c>
      <c r="K186">
        <v>431</v>
      </c>
      <c r="L186">
        <v>862</v>
      </c>
      <c r="M186">
        <v>4.0999999999999996</v>
      </c>
      <c r="N186">
        <v>20</v>
      </c>
      <c r="O186">
        <v>110</v>
      </c>
      <c r="P186">
        <v>60</v>
      </c>
      <c r="Q186" t="s">
        <v>49</v>
      </c>
      <c r="R186">
        <v>43</v>
      </c>
      <c r="S186" t="s">
        <v>41</v>
      </c>
    </row>
    <row r="187" spans="1:19" x14ac:dyDescent="0.3">
      <c r="A187" t="s">
        <v>555</v>
      </c>
      <c r="B187" s="2">
        <v>45522</v>
      </c>
      <c r="C187" t="s">
        <v>82</v>
      </c>
      <c r="D187" t="s">
        <v>60</v>
      </c>
      <c r="E187" t="s">
        <v>556</v>
      </c>
      <c r="F187" t="s">
        <v>23</v>
      </c>
      <c r="G187" t="s">
        <v>557</v>
      </c>
      <c r="H187" t="s">
        <v>25</v>
      </c>
      <c r="I187" t="s">
        <v>26</v>
      </c>
      <c r="J187">
        <v>3</v>
      </c>
      <c r="K187">
        <v>330</v>
      </c>
      <c r="L187">
        <v>990</v>
      </c>
      <c r="M187">
        <v>4.3</v>
      </c>
      <c r="N187">
        <v>28</v>
      </c>
      <c r="O187">
        <v>159</v>
      </c>
      <c r="P187">
        <v>0</v>
      </c>
      <c r="Q187" t="s">
        <v>34</v>
      </c>
      <c r="R187">
        <v>49</v>
      </c>
      <c r="S187" t="s">
        <v>41</v>
      </c>
    </row>
    <row r="188" spans="1:19" x14ac:dyDescent="0.3">
      <c r="A188" t="s">
        <v>558</v>
      </c>
      <c r="B188" s="2">
        <v>45343</v>
      </c>
      <c r="C188" t="s">
        <v>113</v>
      </c>
      <c r="D188" t="s">
        <v>72</v>
      </c>
      <c r="E188" t="s">
        <v>559</v>
      </c>
      <c r="F188" t="s">
        <v>23</v>
      </c>
      <c r="G188" t="s">
        <v>560</v>
      </c>
      <c r="H188" t="s">
        <v>40</v>
      </c>
      <c r="I188" t="s">
        <v>26</v>
      </c>
      <c r="J188">
        <v>4</v>
      </c>
      <c r="K188">
        <v>220</v>
      </c>
      <c r="L188">
        <v>880</v>
      </c>
      <c r="M188">
        <v>3.9</v>
      </c>
      <c r="N188">
        <v>30</v>
      </c>
      <c r="P188">
        <v>0</v>
      </c>
      <c r="Q188" t="s">
        <v>75</v>
      </c>
      <c r="R188">
        <v>34</v>
      </c>
      <c r="S188" t="s">
        <v>41</v>
      </c>
    </row>
    <row r="189" spans="1:19" x14ac:dyDescent="0.3">
      <c r="A189" t="s">
        <v>561</v>
      </c>
      <c r="B189" s="2">
        <v>45387</v>
      </c>
      <c r="C189" t="s">
        <v>20</v>
      </c>
      <c r="D189" t="s">
        <v>21</v>
      </c>
      <c r="E189" t="s">
        <v>562</v>
      </c>
      <c r="F189" t="s">
        <v>23</v>
      </c>
      <c r="G189" t="s">
        <v>84</v>
      </c>
      <c r="H189" t="s">
        <v>64</v>
      </c>
      <c r="I189" t="s">
        <v>26</v>
      </c>
      <c r="J189">
        <v>3</v>
      </c>
      <c r="K189">
        <v>305</v>
      </c>
      <c r="L189">
        <v>915</v>
      </c>
      <c r="M189">
        <v>4.7</v>
      </c>
      <c r="N189">
        <v>14</v>
      </c>
      <c r="P189">
        <v>0</v>
      </c>
      <c r="Q189" t="s">
        <v>34</v>
      </c>
      <c r="R189">
        <v>26</v>
      </c>
      <c r="S189" t="s">
        <v>28</v>
      </c>
    </row>
    <row r="190" spans="1:19" x14ac:dyDescent="0.3">
      <c r="A190" t="s">
        <v>563</v>
      </c>
      <c r="B190" s="2">
        <v>45423</v>
      </c>
      <c r="C190" t="s">
        <v>71</v>
      </c>
      <c r="D190" t="s">
        <v>100</v>
      </c>
      <c r="E190" t="s">
        <v>564</v>
      </c>
      <c r="F190" t="s">
        <v>565</v>
      </c>
      <c r="G190" t="s">
        <v>566</v>
      </c>
      <c r="H190" t="s">
        <v>64</v>
      </c>
      <c r="I190" t="s">
        <v>26</v>
      </c>
      <c r="J190">
        <v>4</v>
      </c>
      <c r="K190">
        <v>251</v>
      </c>
      <c r="L190">
        <v>1004</v>
      </c>
      <c r="M190">
        <v>4.3</v>
      </c>
      <c r="N190">
        <v>37</v>
      </c>
      <c r="O190">
        <v>159</v>
      </c>
      <c r="P190">
        <v>0</v>
      </c>
      <c r="Q190" t="s">
        <v>34</v>
      </c>
      <c r="R190">
        <v>21</v>
      </c>
      <c r="S190" t="s">
        <v>28</v>
      </c>
    </row>
    <row r="191" spans="1:19" x14ac:dyDescent="0.3">
      <c r="A191" t="s">
        <v>567</v>
      </c>
      <c r="B191" s="2">
        <v>45513</v>
      </c>
      <c r="C191" t="s">
        <v>82</v>
      </c>
      <c r="D191" t="s">
        <v>21</v>
      </c>
      <c r="E191" t="s">
        <v>568</v>
      </c>
      <c r="F191" t="s">
        <v>450</v>
      </c>
      <c r="G191" t="s">
        <v>569</v>
      </c>
      <c r="H191" t="s">
        <v>25</v>
      </c>
      <c r="I191" t="s">
        <v>26</v>
      </c>
      <c r="J191">
        <v>4</v>
      </c>
      <c r="K191">
        <v>230</v>
      </c>
      <c r="L191">
        <v>920</v>
      </c>
      <c r="M191">
        <v>4.2</v>
      </c>
      <c r="N191">
        <v>49</v>
      </c>
      <c r="O191">
        <v>129</v>
      </c>
      <c r="P191">
        <v>0</v>
      </c>
      <c r="Q191" t="s">
        <v>49</v>
      </c>
      <c r="R191">
        <v>40</v>
      </c>
      <c r="S191" t="s">
        <v>28</v>
      </c>
    </row>
    <row r="192" spans="1:19" x14ac:dyDescent="0.3">
      <c r="A192" t="s">
        <v>570</v>
      </c>
      <c r="B192" s="2">
        <v>45520</v>
      </c>
      <c r="C192" t="s">
        <v>82</v>
      </c>
      <c r="D192" t="s">
        <v>21</v>
      </c>
      <c r="E192" t="s">
        <v>571</v>
      </c>
      <c r="F192" t="s">
        <v>87</v>
      </c>
      <c r="G192" t="s">
        <v>572</v>
      </c>
      <c r="H192" t="s">
        <v>64</v>
      </c>
      <c r="I192" t="s">
        <v>26</v>
      </c>
      <c r="J192">
        <v>1</v>
      </c>
      <c r="K192">
        <v>500</v>
      </c>
      <c r="L192">
        <v>500</v>
      </c>
      <c r="M192">
        <v>4.2</v>
      </c>
      <c r="N192">
        <v>29</v>
      </c>
      <c r="O192">
        <v>120</v>
      </c>
      <c r="P192">
        <v>20</v>
      </c>
      <c r="Q192" t="s">
        <v>34</v>
      </c>
      <c r="R192">
        <v>45</v>
      </c>
      <c r="S192" t="s">
        <v>41</v>
      </c>
    </row>
    <row r="193" spans="1:19" x14ac:dyDescent="0.3">
      <c r="A193" t="s">
        <v>573</v>
      </c>
      <c r="B193" s="2">
        <v>45442</v>
      </c>
      <c r="C193" t="s">
        <v>71</v>
      </c>
      <c r="D193" t="s">
        <v>92</v>
      </c>
      <c r="E193" t="s">
        <v>574</v>
      </c>
      <c r="F193" t="s">
        <v>46</v>
      </c>
      <c r="G193" t="s">
        <v>575</v>
      </c>
      <c r="H193" t="s">
        <v>53</v>
      </c>
      <c r="I193" t="s">
        <v>26</v>
      </c>
      <c r="J193">
        <v>2</v>
      </c>
      <c r="K193">
        <v>251</v>
      </c>
      <c r="L193">
        <v>502</v>
      </c>
      <c r="M193">
        <v>4.5</v>
      </c>
      <c r="N193">
        <v>38</v>
      </c>
      <c r="O193">
        <v>100</v>
      </c>
      <c r="P193">
        <v>50</v>
      </c>
      <c r="Q193" t="s">
        <v>49</v>
      </c>
      <c r="R193">
        <v>31</v>
      </c>
      <c r="S193" t="s">
        <v>28</v>
      </c>
    </row>
    <row r="194" spans="1:19" x14ac:dyDescent="0.3">
      <c r="A194" t="s">
        <v>576</v>
      </c>
      <c r="B194" s="2">
        <v>45522</v>
      </c>
      <c r="C194" t="s">
        <v>82</v>
      </c>
      <c r="D194" t="s">
        <v>60</v>
      </c>
      <c r="E194" t="s">
        <v>577</v>
      </c>
      <c r="F194" t="s">
        <v>578</v>
      </c>
      <c r="G194" t="s">
        <v>579</v>
      </c>
      <c r="H194" t="s">
        <v>64</v>
      </c>
      <c r="I194" t="s">
        <v>26</v>
      </c>
      <c r="J194">
        <v>3</v>
      </c>
      <c r="K194">
        <v>139</v>
      </c>
      <c r="L194">
        <v>417</v>
      </c>
      <c r="M194">
        <v>4.0999999999999996</v>
      </c>
      <c r="N194">
        <v>49</v>
      </c>
      <c r="O194">
        <v>129</v>
      </c>
      <c r="P194">
        <v>0</v>
      </c>
      <c r="Q194" t="s">
        <v>75</v>
      </c>
      <c r="R194">
        <v>36</v>
      </c>
      <c r="S194" t="s">
        <v>28</v>
      </c>
    </row>
    <row r="195" spans="1:19" x14ac:dyDescent="0.3">
      <c r="A195" t="s">
        <v>580</v>
      </c>
      <c r="B195" s="2">
        <v>45528</v>
      </c>
      <c r="C195" t="s">
        <v>82</v>
      </c>
      <c r="D195" t="s">
        <v>100</v>
      </c>
      <c r="E195" t="s">
        <v>581</v>
      </c>
      <c r="F195" t="s">
        <v>578</v>
      </c>
      <c r="G195" t="s">
        <v>582</v>
      </c>
      <c r="H195" t="s">
        <v>48</v>
      </c>
      <c r="I195" t="s">
        <v>33</v>
      </c>
      <c r="J195">
        <v>1</v>
      </c>
      <c r="K195">
        <v>513</v>
      </c>
      <c r="L195">
        <v>513</v>
      </c>
      <c r="M195">
        <v>4.0999999999999996</v>
      </c>
      <c r="N195">
        <v>40</v>
      </c>
      <c r="O195">
        <v>749</v>
      </c>
      <c r="P195">
        <v>0</v>
      </c>
      <c r="Q195" t="s">
        <v>75</v>
      </c>
      <c r="R195">
        <v>43</v>
      </c>
      <c r="S195" t="s">
        <v>41</v>
      </c>
    </row>
    <row r="196" spans="1:19" x14ac:dyDescent="0.3">
      <c r="A196" t="s">
        <v>583</v>
      </c>
      <c r="B196" s="2">
        <v>45434</v>
      </c>
      <c r="C196" t="s">
        <v>71</v>
      </c>
      <c r="D196" t="s">
        <v>72</v>
      </c>
      <c r="E196" t="s">
        <v>584</v>
      </c>
      <c r="F196" t="s">
        <v>46</v>
      </c>
      <c r="G196" t="s">
        <v>585</v>
      </c>
      <c r="H196" t="s">
        <v>80</v>
      </c>
      <c r="I196" t="s">
        <v>26</v>
      </c>
      <c r="J196">
        <v>3</v>
      </c>
      <c r="K196">
        <v>143</v>
      </c>
      <c r="L196">
        <v>429</v>
      </c>
      <c r="M196">
        <v>4.0999999999999996</v>
      </c>
      <c r="N196">
        <v>47</v>
      </c>
      <c r="O196">
        <v>100</v>
      </c>
      <c r="P196">
        <v>50</v>
      </c>
      <c r="Q196" t="s">
        <v>34</v>
      </c>
      <c r="R196">
        <v>45</v>
      </c>
      <c r="S196" t="s">
        <v>28</v>
      </c>
    </row>
    <row r="197" spans="1:19" x14ac:dyDescent="0.3">
      <c r="A197" t="s">
        <v>586</v>
      </c>
      <c r="B197" s="2">
        <v>45462</v>
      </c>
      <c r="C197" t="s">
        <v>30</v>
      </c>
      <c r="D197" t="s">
        <v>72</v>
      </c>
      <c r="E197" t="s">
        <v>587</v>
      </c>
      <c r="F197" t="s">
        <v>62</v>
      </c>
      <c r="G197" t="s">
        <v>588</v>
      </c>
      <c r="H197" t="s">
        <v>64</v>
      </c>
      <c r="I197" t="s">
        <v>26</v>
      </c>
      <c r="J197">
        <v>4</v>
      </c>
      <c r="K197">
        <v>346</v>
      </c>
      <c r="L197">
        <v>1384</v>
      </c>
      <c r="M197">
        <v>4.2</v>
      </c>
      <c r="N197">
        <v>37</v>
      </c>
      <c r="P197">
        <v>0</v>
      </c>
      <c r="Q197" t="s">
        <v>27</v>
      </c>
      <c r="R197">
        <v>20</v>
      </c>
      <c r="S197" t="s">
        <v>41</v>
      </c>
    </row>
    <row r="198" spans="1:19" x14ac:dyDescent="0.3">
      <c r="A198" t="s">
        <v>589</v>
      </c>
      <c r="B198" s="2">
        <v>45320</v>
      </c>
      <c r="C198" t="s">
        <v>43</v>
      </c>
      <c r="D198" t="s">
        <v>44</v>
      </c>
      <c r="E198" t="s">
        <v>590</v>
      </c>
      <c r="F198" t="s">
        <v>23</v>
      </c>
      <c r="G198" t="s">
        <v>591</v>
      </c>
      <c r="H198" t="s">
        <v>64</v>
      </c>
      <c r="I198" t="s">
        <v>26</v>
      </c>
      <c r="J198">
        <v>2</v>
      </c>
      <c r="K198">
        <v>273</v>
      </c>
      <c r="L198">
        <v>546</v>
      </c>
      <c r="M198">
        <v>4.3</v>
      </c>
      <c r="N198">
        <v>43</v>
      </c>
      <c r="P198">
        <v>0</v>
      </c>
      <c r="Q198" t="s">
        <v>49</v>
      </c>
      <c r="R198">
        <v>31</v>
      </c>
      <c r="S198" t="s">
        <v>41</v>
      </c>
    </row>
    <row r="199" spans="1:19" x14ac:dyDescent="0.3">
      <c r="A199" t="s">
        <v>592</v>
      </c>
      <c r="B199" s="2">
        <v>45327</v>
      </c>
      <c r="C199" t="s">
        <v>113</v>
      </c>
      <c r="D199" t="s">
        <v>44</v>
      </c>
      <c r="E199" t="s">
        <v>593</v>
      </c>
      <c r="F199" t="s">
        <v>78</v>
      </c>
      <c r="G199" t="s">
        <v>594</v>
      </c>
      <c r="H199" t="s">
        <v>80</v>
      </c>
      <c r="I199" t="s">
        <v>26</v>
      </c>
      <c r="J199">
        <v>3</v>
      </c>
      <c r="K199">
        <v>412</v>
      </c>
      <c r="L199">
        <v>1236</v>
      </c>
      <c r="M199">
        <v>4.4000000000000004</v>
      </c>
      <c r="N199">
        <v>54</v>
      </c>
      <c r="O199">
        <v>599</v>
      </c>
      <c r="P199">
        <v>0</v>
      </c>
      <c r="Q199" t="s">
        <v>49</v>
      </c>
      <c r="R199">
        <v>25</v>
      </c>
      <c r="S199" t="s">
        <v>28</v>
      </c>
    </row>
    <row r="200" spans="1:19" x14ac:dyDescent="0.3">
      <c r="A200" t="s">
        <v>595</v>
      </c>
      <c r="B200" s="2">
        <v>45304</v>
      </c>
      <c r="C200" t="s">
        <v>43</v>
      </c>
      <c r="D200" t="s">
        <v>100</v>
      </c>
      <c r="E200" t="s">
        <v>596</v>
      </c>
      <c r="F200" t="s">
        <v>115</v>
      </c>
      <c r="G200" t="s">
        <v>64</v>
      </c>
      <c r="H200" t="s">
        <v>64</v>
      </c>
      <c r="I200" t="s">
        <v>26</v>
      </c>
      <c r="J200">
        <v>3</v>
      </c>
      <c r="K200">
        <v>349</v>
      </c>
      <c r="L200">
        <v>1047</v>
      </c>
      <c r="M200">
        <v>2.2000000000000002</v>
      </c>
      <c r="N200">
        <v>39</v>
      </c>
      <c r="O200">
        <v>449</v>
      </c>
      <c r="P200">
        <v>0</v>
      </c>
      <c r="Q200" t="s">
        <v>34</v>
      </c>
      <c r="R200">
        <v>41</v>
      </c>
      <c r="S200" t="s">
        <v>41</v>
      </c>
    </row>
    <row r="201" spans="1:19" x14ac:dyDescent="0.3">
      <c r="A201" t="s">
        <v>597</v>
      </c>
      <c r="B201" s="2">
        <v>45451</v>
      </c>
      <c r="C201" t="s">
        <v>30</v>
      </c>
      <c r="D201" t="s">
        <v>100</v>
      </c>
      <c r="E201" t="s">
        <v>598</v>
      </c>
      <c r="F201" t="s">
        <v>23</v>
      </c>
      <c r="G201" t="s">
        <v>599</v>
      </c>
      <c r="H201" t="s">
        <v>64</v>
      </c>
      <c r="I201" t="s">
        <v>26</v>
      </c>
      <c r="J201">
        <v>4</v>
      </c>
      <c r="K201">
        <v>588</v>
      </c>
      <c r="L201">
        <v>2352</v>
      </c>
      <c r="M201">
        <v>4.0999999999999996</v>
      </c>
      <c r="N201">
        <v>38</v>
      </c>
      <c r="O201">
        <v>999</v>
      </c>
      <c r="P201">
        <v>0</v>
      </c>
      <c r="Q201" t="s">
        <v>49</v>
      </c>
      <c r="R201">
        <v>44</v>
      </c>
      <c r="S201" t="s">
        <v>28</v>
      </c>
    </row>
    <row r="202" spans="1:19" x14ac:dyDescent="0.3">
      <c r="A202" t="s">
        <v>600</v>
      </c>
      <c r="B202" s="2">
        <v>45362</v>
      </c>
      <c r="C202" t="s">
        <v>55</v>
      </c>
      <c r="D202" t="s">
        <v>44</v>
      </c>
      <c r="E202" t="s">
        <v>601</v>
      </c>
      <c r="F202" t="s">
        <v>87</v>
      </c>
      <c r="G202" t="s">
        <v>602</v>
      </c>
      <c r="H202" t="s">
        <v>40</v>
      </c>
      <c r="I202" t="s">
        <v>26</v>
      </c>
      <c r="J202">
        <v>3</v>
      </c>
      <c r="K202">
        <v>429</v>
      </c>
      <c r="L202">
        <v>1287</v>
      </c>
      <c r="M202">
        <v>4.0999999999999996</v>
      </c>
      <c r="N202">
        <v>39</v>
      </c>
      <c r="O202">
        <v>799</v>
      </c>
      <c r="P202">
        <v>0</v>
      </c>
      <c r="Q202" t="s">
        <v>49</v>
      </c>
      <c r="R202">
        <v>45</v>
      </c>
      <c r="S202" t="s">
        <v>41</v>
      </c>
    </row>
    <row r="203" spans="1:19" x14ac:dyDescent="0.3">
      <c r="A203" t="s">
        <v>603</v>
      </c>
      <c r="B203" s="2">
        <v>45478</v>
      </c>
      <c r="C203" t="s">
        <v>59</v>
      </c>
      <c r="D203" t="s">
        <v>21</v>
      </c>
      <c r="E203" t="s">
        <v>604</v>
      </c>
      <c r="F203" t="s">
        <v>23</v>
      </c>
      <c r="G203" t="s">
        <v>605</v>
      </c>
      <c r="H203" t="s">
        <v>48</v>
      </c>
      <c r="I203" t="s">
        <v>33</v>
      </c>
      <c r="J203">
        <v>3</v>
      </c>
      <c r="K203">
        <v>478</v>
      </c>
      <c r="L203">
        <v>1434</v>
      </c>
      <c r="M203">
        <v>4</v>
      </c>
      <c r="N203">
        <v>45</v>
      </c>
      <c r="O203">
        <v>80</v>
      </c>
      <c r="P203">
        <v>40</v>
      </c>
      <c r="Q203" t="s">
        <v>27</v>
      </c>
      <c r="R203">
        <v>18</v>
      </c>
      <c r="S203" t="s">
        <v>28</v>
      </c>
    </row>
    <row r="204" spans="1:19" x14ac:dyDescent="0.3">
      <c r="A204" t="s">
        <v>606</v>
      </c>
      <c r="B204" s="2">
        <v>45377</v>
      </c>
      <c r="C204" t="s">
        <v>55</v>
      </c>
      <c r="D204" t="s">
        <v>36</v>
      </c>
      <c r="E204" t="s">
        <v>607</v>
      </c>
      <c r="F204" t="s">
        <v>46</v>
      </c>
      <c r="G204" t="s">
        <v>608</v>
      </c>
      <c r="H204" t="s">
        <v>53</v>
      </c>
      <c r="I204" t="s">
        <v>26</v>
      </c>
      <c r="J204">
        <v>4</v>
      </c>
      <c r="K204">
        <v>524</v>
      </c>
      <c r="L204">
        <v>2096</v>
      </c>
      <c r="M204">
        <v>4.2</v>
      </c>
      <c r="N204">
        <v>50</v>
      </c>
      <c r="O204">
        <v>249</v>
      </c>
      <c r="P204">
        <v>0</v>
      </c>
      <c r="Q204" t="s">
        <v>27</v>
      </c>
      <c r="R204">
        <v>27</v>
      </c>
      <c r="S204" t="s">
        <v>41</v>
      </c>
    </row>
    <row r="205" spans="1:19" x14ac:dyDescent="0.3">
      <c r="A205" t="s">
        <v>609</v>
      </c>
      <c r="B205" s="2">
        <v>45319</v>
      </c>
      <c r="C205" t="s">
        <v>43</v>
      </c>
      <c r="D205" t="s">
        <v>60</v>
      </c>
      <c r="E205" t="s">
        <v>610</v>
      </c>
      <c r="F205" t="s">
        <v>87</v>
      </c>
      <c r="G205" t="s">
        <v>53</v>
      </c>
      <c r="H205" t="s">
        <v>53</v>
      </c>
      <c r="I205" t="s">
        <v>26</v>
      </c>
      <c r="J205">
        <v>1</v>
      </c>
      <c r="K205">
        <v>321</v>
      </c>
      <c r="L205">
        <v>321</v>
      </c>
      <c r="M205">
        <v>4</v>
      </c>
      <c r="N205">
        <v>40</v>
      </c>
      <c r="O205">
        <v>100</v>
      </c>
      <c r="P205">
        <v>20</v>
      </c>
      <c r="Q205" t="s">
        <v>34</v>
      </c>
      <c r="R205">
        <v>35</v>
      </c>
      <c r="S205" t="s">
        <v>28</v>
      </c>
    </row>
    <row r="206" spans="1:19" x14ac:dyDescent="0.3">
      <c r="A206" t="s">
        <v>611</v>
      </c>
      <c r="B206" s="2">
        <v>45357</v>
      </c>
      <c r="C206" t="s">
        <v>55</v>
      </c>
      <c r="D206" t="s">
        <v>72</v>
      </c>
      <c r="E206" t="s">
        <v>612</v>
      </c>
      <c r="F206" t="s">
        <v>78</v>
      </c>
      <c r="G206" t="s">
        <v>613</v>
      </c>
      <c r="H206" t="s">
        <v>64</v>
      </c>
      <c r="I206" t="s">
        <v>26</v>
      </c>
      <c r="J206">
        <v>4</v>
      </c>
      <c r="K206">
        <v>157</v>
      </c>
      <c r="L206">
        <v>628</v>
      </c>
      <c r="M206">
        <v>4.5</v>
      </c>
      <c r="N206">
        <v>38</v>
      </c>
      <c r="O206">
        <v>449</v>
      </c>
      <c r="P206">
        <v>0</v>
      </c>
      <c r="Q206" t="s">
        <v>27</v>
      </c>
      <c r="R206">
        <v>33</v>
      </c>
      <c r="S206" t="s">
        <v>41</v>
      </c>
    </row>
    <row r="207" spans="1:19" x14ac:dyDescent="0.3">
      <c r="A207" t="s">
        <v>614</v>
      </c>
      <c r="B207" s="2">
        <v>45461</v>
      </c>
      <c r="C207" t="s">
        <v>30</v>
      </c>
      <c r="D207" t="s">
        <v>36</v>
      </c>
      <c r="E207" t="s">
        <v>615</v>
      </c>
      <c r="F207" t="s">
        <v>565</v>
      </c>
      <c r="G207" t="s">
        <v>616</v>
      </c>
      <c r="H207" t="s">
        <v>40</v>
      </c>
      <c r="I207" t="s">
        <v>33</v>
      </c>
      <c r="J207">
        <v>1</v>
      </c>
      <c r="K207">
        <v>549</v>
      </c>
      <c r="L207">
        <v>549</v>
      </c>
      <c r="M207">
        <v>4.2</v>
      </c>
      <c r="N207">
        <v>39</v>
      </c>
      <c r="O207">
        <v>179</v>
      </c>
      <c r="P207">
        <v>0</v>
      </c>
      <c r="Q207" t="s">
        <v>34</v>
      </c>
      <c r="R207">
        <v>25</v>
      </c>
      <c r="S207" t="s">
        <v>41</v>
      </c>
    </row>
    <row r="208" spans="1:19" x14ac:dyDescent="0.3">
      <c r="A208" t="s">
        <v>617</v>
      </c>
      <c r="B208" s="2">
        <v>45336</v>
      </c>
      <c r="C208" t="s">
        <v>113</v>
      </c>
      <c r="D208" t="s">
        <v>72</v>
      </c>
      <c r="E208" t="s">
        <v>618</v>
      </c>
      <c r="F208" t="s">
        <v>87</v>
      </c>
      <c r="G208" t="s">
        <v>48</v>
      </c>
      <c r="H208" t="s">
        <v>48</v>
      </c>
      <c r="I208" t="s">
        <v>33</v>
      </c>
      <c r="J208">
        <v>2</v>
      </c>
      <c r="K208">
        <v>379</v>
      </c>
      <c r="L208">
        <v>758</v>
      </c>
      <c r="M208">
        <v>3.9</v>
      </c>
      <c r="N208">
        <v>37</v>
      </c>
      <c r="O208">
        <v>599</v>
      </c>
      <c r="P208">
        <v>0</v>
      </c>
      <c r="Q208" t="s">
        <v>75</v>
      </c>
      <c r="R208">
        <v>18</v>
      </c>
      <c r="S208" t="s">
        <v>41</v>
      </c>
    </row>
    <row r="209" spans="1:19" x14ac:dyDescent="0.3">
      <c r="A209" t="s">
        <v>619</v>
      </c>
      <c r="B209" s="2">
        <v>45353</v>
      </c>
      <c r="C209" t="s">
        <v>55</v>
      </c>
      <c r="D209" t="s">
        <v>100</v>
      </c>
      <c r="E209" t="s">
        <v>620</v>
      </c>
      <c r="F209" t="s">
        <v>87</v>
      </c>
      <c r="G209" t="s">
        <v>621</v>
      </c>
      <c r="H209" t="s">
        <v>40</v>
      </c>
      <c r="I209" t="s">
        <v>26</v>
      </c>
      <c r="J209">
        <v>1</v>
      </c>
      <c r="K209">
        <v>307</v>
      </c>
      <c r="L209">
        <v>307</v>
      </c>
      <c r="M209">
        <v>4.2</v>
      </c>
      <c r="N209">
        <v>39</v>
      </c>
      <c r="O209">
        <v>699</v>
      </c>
      <c r="P209">
        <v>0</v>
      </c>
      <c r="Q209" t="s">
        <v>34</v>
      </c>
      <c r="R209">
        <v>48</v>
      </c>
      <c r="S209" t="s">
        <v>28</v>
      </c>
    </row>
    <row r="210" spans="1:19" x14ac:dyDescent="0.3">
      <c r="A210" t="s">
        <v>622</v>
      </c>
      <c r="B210" s="2">
        <v>45476</v>
      </c>
      <c r="C210" t="s">
        <v>59</v>
      </c>
      <c r="D210" t="s">
        <v>72</v>
      </c>
      <c r="E210" t="s">
        <v>623</v>
      </c>
      <c r="F210" t="s">
        <v>62</v>
      </c>
      <c r="G210" t="s">
        <v>624</v>
      </c>
      <c r="H210" t="s">
        <v>64</v>
      </c>
      <c r="I210" t="s">
        <v>26</v>
      </c>
      <c r="J210">
        <v>1</v>
      </c>
      <c r="K210">
        <v>176</v>
      </c>
      <c r="L210">
        <v>176</v>
      </c>
      <c r="M210">
        <v>3.7</v>
      </c>
      <c r="N210">
        <v>39</v>
      </c>
      <c r="O210">
        <v>449</v>
      </c>
      <c r="P210">
        <v>0</v>
      </c>
      <c r="Q210" t="s">
        <v>75</v>
      </c>
      <c r="R210">
        <v>29</v>
      </c>
      <c r="S210" t="s">
        <v>28</v>
      </c>
    </row>
    <row r="211" spans="1:19" x14ac:dyDescent="0.3">
      <c r="A211" t="s">
        <v>625</v>
      </c>
      <c r="B211" s="2">
        <v>45425</v>
      </c>
      <c r="C211" t="s">
        <v>71</v>
      </c>
      <c r="D211" t="s">
        <v>44</v>
      </c>
      <c r="E211" t="s">
        <v>626</v>
      </c>
      <c r="F211" t="s">
        <v>115</v>
      </c>
      <c r="G211" t="s">
        <v>154</v>
      </c>
      <c r="H211" t="s">
        <v>80</v>
      </c>
      <c r="I211" t="s">
        <v>26</v>
      </c>
      <c r="J211">
        <v>2</v>
      </c>
      <c r="K211">
        <v>548</v>
      </c>
      <c r="L211">
        <v>1096</v>
      </c>
      <c r="M211">
        <v>3.8</v>
      </c>
      <c r="N211">
        <v>38</v>
      </c>
      <c r="P211">
        <v>0</v>
      </c>
      <c r="Q211" t="s">
        <v>34</v>
      </c>
      <c r="R211">
        <v>25</v>
      </c>
      <c r="S211" t="s">
        <v>41</v>
      </c>
    </row>
    <row r="212" spans="1:19" x14ac:dyDescent="0.3">
      <c r="A212" t="s">
        <v>627</v>
      </c>
      <c r="B212" s="2">
        <v>45319</v>
      </c>
      <c r="C212" t="s">
        <v>43</v>
      </c>
      <c r="D212" t="s">
        <v>60</v>
      </c>
      <c r="E212" t="s">
        <v>628</v>
      </c>
      <c r="F212" t="s">
        <v>62</v>
      </c>
      <c r="G212" t="s">
        <v>629</v>
      </c>
      <c r="H212" t="s">
        <v>53</v>
      </c>
      <c r="I212" t="s">
        <v>26</v>
      </c>
      <c r="J212">
        <v>1</v>
      </c>
      <c r="K212">
        <v>139</v>
      </c>
      <c r="L212">
        <v>139</v>
      </c>
      <c r="M212">
        <v>4.4000000000000004</v>
      </c>
      <c r="N212">
        <v>37</v>
      </c>
      <c r="P212">
        <v>0</v>
      </c>
      <c r="Q212" t="s">
        <v>49</v>
      </c>
      <c r="R212">
        <v>41</v>
      </c>
      <c r="S212" t="s">
        <v>28</v>
      </c>
    </row>
    <row r="213" spans="1:19" x14ac:dyDescent="0.3">
      <c r="A213" t="s">
        <v>630</v>
      </c>
      <c r="B213" s="2">
        <v>45319</v>
      </c>
      <c r="C213" t="s">
        <v>43</v>
      </c>
      <c r="D213" t="s">
        <v>60</v>
      </c>
      <c r="E213" t="s">
        <v>631</v>
      </c>
      <c r="F213" t="s">
        <v>78</v>
      </c>
      <c r="G213" t="s">
        <v>632</v>
      </c>
      <c r="H213" t="s">
        <v>64</v>
      </c>
      <c r="I213" t="s">
        <v>26</v>
      </c>
      <c r="J213">
        <v>4</v>
      </c>
      <c r="K213">
        <v>392</v>
      </c>
      <c r="L213">
        <v>1568</v>
      </c>
      <c r="M213">
        <v>4.4000000000000004</v>
      </c>
      <c r="N213">
        <v>42</v>
      </c>
      <c r="O213">
        <v>800</v>
      </c>
      <c r="P213">
        <v>15</v>
      </c>
      <c r="Q213" t="s">
        <v>27</v>
      </c>
      <c r="R213">
        <v>33</v>
      </c>
      <c r="S213" t="s">
        <v>41</v>
      </c>
    </row>
    <row r="214" spans="1:19" x14ac:dyDescent="0.3">
      <c r="A214" t="s">
        <v>633</v>
      </c>
      <c r="B214" s="2">
        <v>45399</v>
      </c>
      <c r="C214" t="s">
        <v>20</v>
      </c>
      <c r="D214" t="s">
        <v>72</v>
      </c>
      <c r="E214" t="s">
        <v>634</v>
      </c>
      <c r="F214" t="s">
        <v>46</v>
      </c>
      <c r="G214" t="s">
        <v>635</v>
      </c>
      <c r="H214" t="s">
        <v>64</v>
      </c>
      <c r="I214" t="s">
        <v>26</v>
      </c>
      <c r="J214">
        <v>1</v>
      </c>
      <c r="K214">
        <v>238</v>
      </c>
      <c r="L214">
        <v>238</v>
      </c>
      <c r="M214">
        <v>4.3</v>
      </c>
      <c r="N214">
        <v>38</v>
      </c>
      <c r="O214">
        <v>100</v>
      </c>
      <c r="P214">
        <v>50</v>
      </c>
      <c r="Q214" t="s">
        <v>75</v>
      </c>
      <c r="R214">
        <v>35</v>
      </c>
      <c r="S214" t="s">
        <v>28</v>
      </c>
    </row>
    <row r="215" spans="1:19" x14ac:dyDescent="0.3">
      <c r="A215" t="s">
        <v>636</v>
      </c>
      <c r="B215" s="2">
        <v>45335</v>
      </c>
      <c r="C215" t="s">
        <v>113</v>
      </c>
      <c r="D215" t="s">
        <v>36</v>
      </c>
      <c r="E215" t="s">
        <v>637</v>
      </c>
      <c r="F215" t="s">
        <v>23</v>
      </c>
      <c r="G215" t="s">
        <v>638</v>
      </c>
      <c r="H215" t="s">
        <v>80</v>
      </c>
      <c r="I215" t="s">
        <v>26</v>
      </c>
      <c r="J215">
        <v>2</v>
      </c>
      <c r="K215">
        <v>190</v>
      </c>
      <c r="L215">
        <v>380</v>
      </c>
      <c r="M215">
        <v>4</v>
      </c>
      <c r="N215">
        <v>49</v>
      </c>
      <c r="O215">
        <v>100</v>
      </c>
      <c r="P215">
        <v>50</v>
      </c>
      <c r="Q215" t="s">
        <v>34</v>
      </c>
      <c r="R215">
        <v>21</v>
      </c>
      <c r="S215" t="s">
        <v>41</v>
      </c>
    </row>
    <row r="216" spans="1:19" x14ac:dyDescent="0.3">
      <c r="A216" t="s">
        <v>639</v>
      </c>
      <c r="B216" s="2">
        <v>45375</v>
      </c>
      <c r="C216" t="s">
        <v>55</v>
      </c>
      <c r="D216" t="s">
        <v>60</v>
      </c>
      <c r="E216" t="s">
        <v>640</v>
      </c>
      <c r="F216" t="s">
        <v>517</v>
      </c>
      <c r="G216" t="s">
        <v>641</v>
      </c>
      <c r="H216" t="s">
        <v>64</v>
      </c>
      <c r="I216" t="s">
        <v>26</v>
      </c>
      <c r="J216">
        <v>4</v>
      </c>
      <c r="K216">
        <v>123</v>
      </c>
      <c r="L216">
        <v>492</v>
      </c>
      <c r="M216">
        <v>4.0999999999999996</v>
      </c>
      <c r="N216">
        <v>45</v>
      </c>
      <c r="O216">
        <v>599</v>
      </c>
      <c r="P216">
        <v>0</v>
      </c>
      <c r="Q216" t="s">
        <v>27</v>
      </c>
      <c r="R216">
        <v>23</v>
      </c>
      <c r="S216" t="s">
        <v>28</v>
      </c>
    </row>
    <row r="217" spans="1:19" x14ac:dyDescent="0.3">
      <c r="A217" t="s">
        <v>642</v>
      </c>
      <c r="B217" s="2">
        <v>45321</v>
      </c>
      <c r="C217" t="s">
        <v>43</v>
      </c>
      <c r="D217" t="s">
        <v>36</v>
      </c>
      <c r="E217" t="s">
        <v>643</v>
      </c>
      <c r="F217" t="s">
        <v>87</v>
      </c>
      <c r="G217" t="s">
        <v>311</v>
      </c>
      <c r="H217" t="s">
        <v>64</v>
      </c>
      <c r="I217" t="s">
        <v>26</v>
      </c>
      <c r="J217">
        <v>2</v>
      </c>
      <c r="K217">
        <v>340</v>
      </c>
      <c r="L217">
        <v>680</v>
      </c>
      <c r="M217">
        <v>4.9000000000000004</v>
      </c>
      <c r="N217">
        <v>47</v>
      </c>
      <c r="P217">
        <v>0</v>
      </c>
      <c r="Q217" t="s">
        <v>34</v>
      </c>
      <c r="R217">
        <v>29</v>
      </c>
      <c r="S217" t="s">
        <v>41</v>
      </c>
    </row>
    <row r="218" spans="1:19" x14ac:dyDescent="0.3">
      <c r="A218" t="s">
        <v>644</v>
      </c>
      <c r="B218" s="2">
        <v>45481</v>
      </c>
      <c r="C218" t="s">
        <v>59</v>
      </c>
      <c r="D218" t="s">
        <v>44</v>
      </c>
      <c r="E218" t="s">
        <v>645</v>
      </c>
      <c r="F218" t="s">
        <v>646</v>
      </c>
      <c r="G218" t="s">
        <v>647</v>
      </c>
      <c r="H218" t="s">
        <v>48</v>
      </c>
      <c r="I218" t="s">
        <v>33</v>
      </c>
      <c r="J218">
        <v>2</v>
      </c>
      <c r="K218">
        <v>133</v>
      </c>
      <c r="L218">
        <v>266</v>
      </c>
      <c r="M218">
        <v>4.3</v>
      </c>
      <c r="N218">
        <v>48</v>
      </c>
      <c r="O218">
        <v>80</v>
      </c>
      <c r="P218">
        <v>40</v>
      </c>
      <c r="Q218" t="s">
        <v>27</v>
      </c>
      <c r="R218">
        <v>44</v>
      </c>
      <c r="S218" t="s">
        <v>41</v>
      </c>
    </row>
    <row r="219" spans="1:19" x14ac:dyDescent="0.3">
      <c r="A219" t="s">
        <v>648</v>
      </c>
      <c r="B219" s="2">
        <v>45366</v>
      </c>
      <c r="C219" t="s">
        <v>55</v>
      </c>
      <c r="D219" t="s">
        <v>21</v>
      </c>
      <c r="E219" t="s">
        <v>649</v>
      </c>
      <c r="F219" t="s">
        <v>650</v>
      </c>
      <c r="G219" t="s">
        <v>641</v>
      </c>
      <c r="H219" t="s">
        <v>64</v>
      </c>
      <c r="I219" t="s">
        <v>26</v>
      </c>
      <c r="J219">
        <v>3</v>
      </c>
      <c r="K219">
        <v>122</v>
      </c>
      <c r="L219">
        <v>366</v>
      </c>
      <c r="M219">
        <v>4.0999999999999996</v>
      </c>
      <c r="N219">
        <v>43</v>
      </c>
      <c r="O219">
        <v>120</v>
      </c>
      <c r="P219">
        <v>60</v>
      </c>
      <c r="Q219" t="s">
        <v>27</v>
      </c>
      <c r="R219">
        <v>26</v>
      </c>
      <c r="S219" t="s">
        <v>41</v>
      </c>
    </row>
    <row r="220" spans="1:19" x14ac:dyDescent="0.3">
      <c r="A220" t="s">
        <v>651</v>
      </c>
      <c r="B220" s="2">
        <v>45419</v>
      </c>
      <c r="C220" t="s">
        <v>71</v>
      </c>
      <c r="D220" t="s">
        <v>36</v>
      </c>
      <c r="E220" t="s">
        <v>652</v>
      </c>
      <c r="F220" t="s">
        <v>23</v>
      </c>
      <c r="G220" t="s">
        <v>653</v>
      </c>
      <c r="H220" t="s">
        <v>80</v>
      </c>
      <c r="I220" t="s">
        <v>26</v>
      </c>
      <c r="J220">
        <v>3</v>
      </c>
      <c r="K220">
        <v>335</v>
      </c>
      <c r="L220">
        <v>1005</v>
      </c>
      <c r="M220">
        <v>4.0999999999999996</v>
      </c>
      <c r="N220">
        <v>37</v>
      </c>
      <c r="O220">
        <v>249</v>
      </c>
      <c r="P220">
        <v>0</v>
      </c>
      <c r="Q220" t="s">
        <v>34</v>
      </c>
      <c r="R220">
        <v>32</v>
      </c>
      <c r="S220" t="s">
        <v>41</v>
      </c>
    </row>
    <row r="221" spans="1:19" x14ac:dyDescent="0.3">
      <c r="A221" t="s">
        <v>654</v>
      </c>
      <c r="B221" s="2">
        <v>45383</v>
      </c>
      <c r="C221" t="s">
        <v>20</v>
      </c>
      <c r="D221" t="s">
        <v>44</v>
      </c>
      <c r="E221" t="s">
        <v>655</v>
      </c>
      <c r="F221" t="s">
        <v>62</v>
      </c>
      <c r="G221" t="s">
        <v>221</v>
      </c>
      <c r="H221" t="s">
        <v>80</v>
      </c>
      <c r="I221" t="s">
        <v>26</v>
      </c>
      <c r="J221">
        <v>2</v>
      </c>
      <c r="K221">
        <v>348</v>
      </c>
      <c r="L221">
        <v>696</v>
      </c>
      <c r="M221">
        <v>3.9</v>
      </c>
      <c r="N221">
        <v>43</v>
      </c>
      <c r="O221">
        <v>449</v>
      </c>
      <c r="P221">
        <v>0</v>
      </c>
      <c r="Q221" t="s">
        <v>75</v>
      </c>
      <c r="R221">
        <v>33</v>
      </c>
      <c r="S221" t="s">
        <v>28</v>
      </c>
    </row>
    <row r="222" spans="1:19" x14ac:dyDescent="0.3">
      <c r="A222" t="s">
        <v>656</v>
      </c>
      <c r="B222" s="2">
        <v>45508</v>
      </c>
      <c r="C222" t="s">
        <v>82</v>
      </c>
      <c r="D222" t="s">
        <v>60</v>
      </c>
      <c r="E222" t="s">
        <v>657</v>
      </c>
      <c r="F222" t="s">
        <v>23</v>
      </c>
      <c r="G222" t="s">
        <v>658</v>
      </c>
      <c r="H222" t="s">
        <v>40</v>
      </c>
      <c r="I222" t="s">
        <v>26</v>
      </c>
      <c r="J222">
        <v>2</v>
      </c>
      <c r="K222">
        <v>455</v>
      </c>
      <c r="L222">
        <v>910</v>
      </c>
      <c r="M222">
        <v>3.9</v>
      </c>
      <c r="N222">
        <v>38</v>
      </c>
      <c r="O222">
        <v>299</v>
      </c>
      <c r="P222">
        <v>0</v>
      </c>
      <c r="Q222" t="s">
        <v>75</v>
      </c>
      <c r="R222">
        <v>41</v>
      </c>
      <c r="S222" t="s">
        <v>41</v>
      </c>
    </row>
    <row r="223" spans="1:19" x14ac:dyDescent="0.3">
      <c r="A223" t="s">
        <v>659</v>
      </c>
      <c r="B223" s="2">
        <v>45522</v>
      </c>
      <c r="C223" t="s">
        <v>82</v>
      </c>
      <c r="D223" t="s">
        <v>60</v>
      </c>
      <c r="E223" t="s">
        <v>660</v>
      </c>
      <c r="F223" t="s">
        <v>23</v>
      </c>
      <c r="G223" t="s">
        <v>661</v>
      </c>
      <c r="H223" t="s">
        <v>64</v>
      </c>
      <c r="I223" t="s">
        <v>26</v>
      </c>
      <c r="J223">
        <v>2</v>
      </c>
      <c r="K223">
        <v>305</v>
      </c>
      <c r="L223">
        <v>610</v>
      </c>
      <c r="M223">
        <v>4.4000000000000004</v>
      </c>
      <c r="N223">
        <v>37</v>
      </c>
      <c r="O223">
        <v>80</v>
      </c>
      <c r="P223">
        <v>40</v>
      </c>
      <c r="Q223" t="s">
        <v>49</v>
      </c>
      <c r="R223">
        <v>29</v>
      </c>
      <c r="S223" t="s">
        <v>28</v>
      </c>
    </row>
    <row r="224" spans="1:19" x14ac:dyDescent="0.3">
      <c r="A224" t="s">
        <v>662</v>
      </c>
      <c r="B224" s="2">
        <v>45481</v>
      </c>
      <c r="C224" t="s">
        <v>59</v>
      </c>
      <c r="D224" t="s">
        <v>44</v>
      </c>
      <c r="E224" t="s">
        <v>663</v>
      </c>
      <c r="F224" t="s">
        <v>23</v>
      </c>
      <c r="G224" t="s">
        <v>664</v>
      </c>
      <c r="H224" t="s">
        <v>80</v>
      </c>
      <c r="I224" t="s">
        <v>26</v>
      </c>
      <c r="J224">
        <v>3</v>
      </c>
      <c r="K224">
        <v>174</v>
      </c>
      <c r="L224">
        <v>522</v>
      </c>
      <c r="M224">
        <v>4.2</v>
      </c>
      <c r="N224">
        <v>37</v>
      </c>
      <c r="O224">
        <v>50</v>
      </c>
      <c r="P224">
        <v>20</v>
      </c>
      <c r="Q224" t="s">
        <v>27</v>
      </c>
      <c r="R224">
        <v>48</v>
      </c>
      <c r="S224" t="s">
        <v>28</v>
      </c>
    </row>
    <row r="225" spans="1:19" x14ac:dyDescent="0.3">
      <c r="A225" t="s">
        <v>665</v>
      </c>
      <c r="B225" s="2">
        <v>45516</v>
      </c>
      <c r="C225" t="s">
        <v>82</v>
      </c>
      <c r="D225" t="s">
        <v>44</v>
      </c>
      <c r="E225" t="s">
        <v>666</v>
      </c>
      <c r="F225" t="s">
        <v>667</v>
      </c>
      <c r="G225" t="s">
        <v>668</v>
      </c>
      <c r="H225" t="s">
        <v>80</v>
      </c>
      <c r="I225" t="s">
        <v>26</v>
      </c>
      <c r="J225">
        <v>3</v>
      </c>
      <c r="K225">
        <v>507</v>
      </c>
      <c r="L225">
        <v>1521</v>
      </c>
      <c r="M225">
        <v>4.3</v>
      </c>
      <c r="N225">
        <v>38</v>
      </c>
      <c r="O225">
        <v>600</v>
      </c>
      <c r="P225">
        <v>10</v>
      </c>
      <c r="Q225" t="s">
        <v>49</v>
      </c>
      <c r="R225">
        <v>41</v>
      </c>
      <c r="S225" t="s">
        <v>41</v>
      </c>
    </row>
    <row r="226" spans="1:19" x14ac:dyDescent="0.3">
      <c r="A226" t="s">
        <v>669</v>
      </c>
      <c r="B226" s="2">
        <v>45420</v>
      </c>
      <c r="C226" t="s">
        <v>71</v>
      </c>
      <c r="D226" t="s">
        <v>72</v>
      </c>
      <c r="E226" t="s">
        <v>670</v>
      </c>
      <c r="F226" t="s">
        <v>23</v>
      </c>
      <c r="G226" t="s">
        <v>241</v>
      </c>
      <c r="H226" t="s">
        <v>80</v>
      </c>
      <c r="I226" t="s">
        <v>26</v>
      </c>
      <c r="J226">
        <v>1</v>
      </c>
      <c r="K226">
        <v>495</v>
      </c>
      <c r="L226">
        <v>495</v>
      </c>
      <c r="M226">
        <v>4.3</v>
      </c>
      <c r="N226">
        <v>43</v>
      </c>
      <c r="O226">
        <v>50</v>
      </c>
      <c r="P226">
        <v>20</v>
      </c>
      <c r="Q226" t="s">
        <v>49</v>
      </c>
      <c r="R226">
        <v>40</v>
      </c>
      <c r="S226" t="s">
        <v>28</v>
      </c>
    </row>
    <row r="227" spans="1:19" x14ac:dyDescent="0.3">
      <c r="A227" t="s">
        <v>671</v>
      </c>
      <c r="B227" s="2">
        <v>45412</v>
      </c>
      <c r="C227" t="s">
        <v>20</v>
      </c>
      <c r="D227" t="s">
        <v>36</v>
      </c>
      <c r="E227" t="s">
        <v>672</v>
      </c>
      <c r="F227" t="s">
        <v>78</v>
      </c>
      <c r="G227" t="s">
        <v>673</v>
      </c>
      <c r="H227" t="s">
        <v>80</v>
      </c>
      <c r="I227" t="s">
        <v>26</v>
      </c>
      <c r="J227">
        <v>1</v>
      </c>
      <c r="K227">
        <v>373</v>
      </c>
      <c r="L227">
        <v>373</v>
      </c>
      <c r="M227">
        <v>4.4000000000000004</v>
      </c>
      <c r="N227">
        <v>42</v>
      </c>
      <c r="O227">
        <v>1000</v>
      </c>
      <c r="P227">
        <v>15</v>
      </c>
      <c r="Q227" t="s">
        <v>34</v>
      </c>
      <c r="R227">
        <v>31</v>
      </c>
      <c r="S227" t="s">
        <v>28</v>
      </c>
    </row>
    <row r="228" spans="1:19" x14ac:dyDescent="0.3">
      <c r="A228" t="s">
        <v>674</v>
      </c>
      <c r="B228" s="2">
        <v>45318</v>
      </c>
      <c r="C228" t="s">
        <v>43</v>
      </c>
      <c r="D228" t="s">
        <v>100</v>
      </c>
      <c r="E228" t="s">
        <v>675</v>
      </c>
      <c r="F228" t="s">
        <v>78</v>
      </c>
      <c r="G228" t="s">
        <v>210</v>
      </c>
      <c r="H228" t="s">
        <v>80</v>
      </c>
      <c r="I228" t="s">
        <v>26</v>
      </c>
      <c r="J228">
        <v>2</v>
      </c>
      <c r="K228">
        <v>143</v>
      </c>
      <c r="L228">
        <v>286</v>
      </c>
      <c r="M228">
        <v>4.5999999999999996</v>
      </c>
      <c r="N228">
        <v>46</v>
      </c>
      <c r="O228">
        <v>999</v>
      </c>
      <c r="P228">
        <v>0</v>
      </c>
      <c r="Q228" t="s">
        <v>34</v>
      </c>
      <c r="R228">
        <v>30</v>
      </c>
      <c r="S228" t="s">
        <v>28</v>
      </c>
    </row>
    <row r="229" spans="1:19" x14ac:dyDescent="0.3">
      <c r="A229" t="s">
        <v>676</v>
      </c>
      <c r="B229" s="2">
        <v>45481</v>
      </c>
      <c r="C229" t="s">
        <v>59</v>
      </c>
      <c r="D229" t="s">
        <v>44</v>
      </c>
      <c r="E229" t="s">
        <v>677</v>
      </c>
      <c r="F229" t="s">
        <v>115</v>
      </c>
      <c r="G229" t="s">
        <v>678</v>
      </c>
      <c r="H229" t="s">
        <v>64</v>
      </c>
      <c r="I229" t="s">
        <v>26</v>
      </c>
      <c r="J229">
        <v>4</v>
      </c>
      <c r="K229">
        <v>281</v>
      </c>
      <c r="L229">
        <v>1124</v>
      </c>
      <c r="M229">
        <v>4.5</v>
      </c>
      <c r="N229">
        <v>40</v>
      </c>
      <c r="P229">
        <v>0</v>
      </c>
      <c r="Q229" t="s">
        <v>34</v>
      </c>
      <c r="R229">
        <v>42</v>
      </c>
      <c r="S229" t="s">
        <v>41</v>
      </c>
    </row>
    <row r="230" spans="1:19" x14ac:dyDescent="0.3">
      <c r="A230" t="s">
        <v>679</v>
      </c>
      <c r="B230" s="2">
        <v>45412</v>
      </c>
      <c r="C230" t="s">
        <v>20</v>
      </c>
      <c r="D230" t="s">
        <v>36</v>
      </c>
      <c r="E230" t="s">
        <v>680</v>
      </c>
      <c r="F230" t="s">
        <v>62</v>
      </c>
      <c r="G230" t="s">
        <v>681</v>
      </c>
      <c r="H230" t="s">
        <v>80</v>
      </c>
      <c r="I230" t="s">
        <v>26</v>
      </c>
      <c r="J230">
        <v>4</v>
      </c>
      <c r="K230">
        <v>277</v>
      </c>
      <c r="L230">
        <v>1108</v>
      </c>
      <c r="M230">
        <v>4.5</v>
      </c>
      <c r="N230">
        <v>38</v>
      </c>
      <c r="P230">
        <v>0</v>
      </c>
      <c r="Q230" t="s">
        <v>27</v>
      </c>
      <c r="R230">
        <v>48</v>
      </c>
      <c r="S230" t="s">
        <v>28</v>
      </c>
    </row>
    <row r="231" spans="1:19" x14ac:dyDescent="0.3">
      <c r="A231" t="s">
        <v>682</v>
      </c>
      <c r="B231" s="2">
        <v>45407</v>
      </c>
      <c r="C231" t="s">
        <v>20</v>
      </c>
      <c r="D231" t="s">
        <v>92</v>
      </c>
      <c r="E231" t="s">
        <v>683</v>
      </c>
      <c r="F231" t="s">
        <v>684</v>
      </c>
      <c r="G231" t="s">
        <v>685</v>
      </c>
      <c r="H231" t="s">
        <v>53</v>
      </c>
      <c r="I231" t="s">
        <v>26</v>
      </c>
      <c r="J231">
        <v>3</v>
      </c>
      <c r="K231">
        <v>201</v>
      </c>
      <c r="L231">
        <v>603</v>
      </c>
      <c r="M231">
        <v>4.4000000000000004</v>
      </c>
      <c r="N231">
        <v>39</v>
      </c>
      <c r="O231">
        <v>600</v>
      </c>
      <c r="P231">
        <v>10</v>
      </c>
      <c r="Q231" t="s">
        <v>34</v>
      </c>
      <c r="R231">
        <v>19</v>
      </c>
      <c r="S231" t="s">
        <v>28</v>
      </c>
    </row>
    <row r="232" spans="1:19" x14ac:dyDescent="0.3">
      <c r="A232" t="s">
        <v>686</v>
      </c>
      <c r="B232" s="2">
        <v>45496</v>
      </c>
      <c r="C232" t="s">
        <v>59</v>
      </c>
      <c r="D232" t="s">
        <v>36</v>
      </c>
      <c r="E232" t="s">
        <v>687</v>
      </c>
      <c r="F232" t="s">
        <v>62</v>
      </c>
      <c r="G232" t="s">
        <v>688</v>
      </c>
      <c r="H232" t="s">
        <v>80</v>
      </c>
      <c r="I232" t="s">
        <v>26</v>
      </c>
      <c r="J232">
        <v>3</v>
      </c>
      <c r="K232">
        <v>522</v>
      </c>
      <c r="L232">
        <v>1566</v>
      </c>
      <c r="M232">
        <v>4.4000000000000004</v>
      </c>
      <c r="N232">
        <v>39</v>
      </c>
      <c r="P232">
        <v>0</v>
      </c>
      <c r="Q232" t="s">
        <v>34</v>
      </c>
      <c r="R232">
        <v>20</v>
      </c>
      <c r="S232" t="s">
        <v>41</v>
      </c>
    </row>
    <row r="233" spans="1:19" x14ac:dyDescent="0.3">
      <c r="A233" t="s">
        <v>689</v>
      </c>
      <c r="B233" s="2">
        <v>45524</v>
      </c>
      <c r="C233" t="s">
        <v>82</v>
      </c>
      <c r="D233" t="s">
        <v>36</v>
      </c>
      <c r="E233" t="s">
        <v>690</v>
      </c>
      <c r="F233" t="s">
        <v>87</v>
      </c>
      <c r="G233" t="s">
        <v>691</v>
      </c>
      <c r="H233" t="s">
        <v>53</v>
      </c>
      <c r="I233" t="s">
        <v>26</v>
      </c>
      <c r="J233">
        <v>3</v>
      </c>
      <c r="K233">
        <v>278</v>
      </c>
      <c r="L233">
        <v>834</v>
      </c>
      <c r="M233">
        <v>4.2</v>
      </c>
      <c r="N233">
        <v>42</v>
      </c>
      <c r="O233">
        <v>999</v>
      </c>
      <c r="P233">
        <v>0</v>
      </c>
      <c r="Q233" t="s">
        <v>27</v>
      </c>
      <c r="R233">
        <v>43</v>
      </c>
      <c r="S233" t="s">
        <v>41</v>
      </c>
    </row>
    <row r="234" spans="1:19" x14ac:dyDescent="0.3">
      <c r="A234" t="s">
        <v>692</v>
      </c>
      <c r="B234" s="2">
        <v>45294</v>
      </c>
      <c r="C234" t="s">
        <v>43</v>
      </c>
      <c r="D234" t="s">
        <v>72</v>
      </c>
      <c r="E234" t="s">
        <v>693</v>
      </c>
      <c r="F234" t="s">
        <v>192</v>
      </c>
      <c r="G234" t="s">
        <v>694</v>
      </c>
      <c r="H234" t="s">
        <v>48</v>
      </c>
      <c r="I234" t="s">
        <v>33</v>
      </c>
      <c r="J234">
        <v>2</v>
      </c>
      <c r="K234">
        <v>307</v>
      </c>
      <c r="L234">
        <v>614</v>
      </c>
      <c r="M234">
        <v>4.2</v>
      </c>
      <c r="N234">
        <v>54</v>
      </c>
      <c r="P234">
        <v>0</v>
      </c>
      <c r="Q234" t="s">
        <v>27</v>
      </c>
      <c r="R234">
        <v>41</v>
      </c>
      <c r="S234" t="s">
        <v>28</v>
      </c>
    </row>
    <row r="235" spans="1:19" x14ac:dyDescent="0.3">
      <c r="A235" t="s">
        <v>695</v>
      </c>
      <c r="B235" s="2">
        <v>45394</v>
      </c>
      <c r="C235" t="s">
        <v>20</v>
      </c>
      <c r="D235" t="s">
        <v>21</v>
      </c>
      <c r="E235" t="s">
        <v>696</v>
      </c>
      <c r="F235" t="s">
        <v>78</v>
      </c>
      <c r="G235" t="s">
        <v>697</v>
      </c>
      <c r="H235" t="s">
        <v>80</v>
      </c>
      <c r="I235" t="s">
        <v>26</v>
      </c>
      <c r="J235">
        <v>4</v>
      </c>
      <c r="K235">
        <v>179</v>
      </c>
      <c r="L235">
        <v>716</v>
      </c>
      <c r="M235">
        <v>4.4000000000000004</v>
      </c>
      <c r="N235">
        <v>56</v>
      </c>
      <c r="P235">
        <v>0</v>
      </c>
      <c r="Q235" t="s">
        <v>75</v>
      </c>
      <c r="R235">
        <v>47</v>
      </c>
      <c r="S235" t="s">
        <v>41</v>
      </c>
    </row>
    <row r="236" spans="1:19" x14ac:dyDescent="0.3">
      <c r="A236" t="s">
        <v>698</v>
      </c>
      <c r="B236" s="2">
        <v>45489</v>
      </c>
      <c r="C236" t="s">
        <v>59</v>
      </c>
      <c r="D236" t="s">
        <v>36</v>
      </c>
      <c r="E236" t="s">
        <v>699</v>
      </c>
      <c r="F236" t="s">
        <v>62</v>
      </c>
      <c r="G236" t="s">
        <v>201</v>
      </c>
      <c r="H236" t="s">
        <v>80</v>
      </c>
      <c r="I236" t="s">
        <v>26</v>
      </c>
      <c r="J236">
        <v>1</v>
      </c>
      <c r="K236">
        <v>522</v>
      </c>
      <c r="L236">
        <v>522</v>
      </c>
      <c r="M236">
        <v>4.2</v>
      </c>
      <c r="N236">
        <v>43</v>
      </c>
      <c r="P236">
        <v>0</v>
      </c>
      <c r="Q236" t="s">
        <v>34</v>
      </c>
      <c r="R236">
        <v>39</v>
      </c>
      <c r="S236" t="s">
        <v>28</v>
      </c>
    </row>
    <row r="237" spans="1:19" x14ac:dyDescent="0.3">
      <c r="A237" t="s">
        <v>700</v>
      </c>
      <c r="B237" s="2">
        <v>45491</v>
      </c>
      <c r="C237" t="s">
        <v>59</v>
      </c>
      <c r="D237" t="s">
        <v>92</v>
      </c>
      <c r="E237" t="s">
        <v>701</v>
      </c>
      <c r="F237" t="s">
        <v>157</v>
      </c>
      <c r="G237" t="s">
        <v>702</v>
      </c>
      <c r="H237" t="s">
        <v>80</v>
      </c>
      <c r="I237" t="s">
        <v>26</v>
      </c>
      <c r="J237">
        <v>2</v>
      </c>
      <c r="K237">
        <v>424</v>
      </c>
      <c r="L237">
        <v>848</v>
      </c>
      <c r="M237">
        <v>4.3</v>
      </c>
      <c r="N237">
        <v>46</v>
      </c>
      <c r="P237">
        <v>0</v>
      </c>
      <c r="Q237" t="s">
        <v>34</v>
      </c>
      <c r="R237">
        <v>27</v>
      </c>
      <c r="S237" t="s">
        <v>28</v>
      </c>
    </row>
    <row r="238" spans="1:19" x14ac:dyDescent="0.3">
      <c r="A238" t="s">
        <v>703</v>
      </c>
      <c r="B238" s="2">
        <v>45446</v>
      </c>
      <c r="C238" t="s">
        <v>30</v>
      </c>
      <c r="D238" t="s">
        <v>44</v>
      </c>
      <c r="E238" t="s">
        <v>704</v>
      </c>
      <c r="F238" t="s">
        <v>115</v>
      </c>
      <c r="G238" t="s">
        <v>373</v>
      </c>
      <c r="H238" t="s">
        <v>80</v>
      </c>
      <c r="I238" t="s">
        <v>26</v>
      </c>
      <c r="J238">
        <v>1</v>
      </c>
      <c r="K238">
        <v>438</v>
      </c>
      <c r="L238">
        <v>438</v>
      </c>
      <c r="M238">
        <v>4.3</v>
      </c>
      <c r="N238">
        <v>50</v>
      </c>
      <c r="P238">
        <v>0</v>
      </c>
      <c r="Q238" t="s">
        <v>34</v>
      </c>
      <c r="R238">
        <v>26</v>
      </c>
      <c r="S238" t="s">
        <v>28</v>
      </c>
    </row>
    <row r="239" spans="1:19" x14ac:dyDescent="0.3">
      <c r="A239" t="s">
        <v>705</v>
      </c>
      <c r="B239" s="2">
        <v>45428</v>
      </c>
      <c r="C239" t="s">
        <v>71</v>
      </c>
      <c r="D239" t="s">
        <v>92</v>
      </c>
      <c r="E239" t="s">
        <v>706</v>
      </c>
      <c r="F239" t="s">
        <v>62</v>
      </c>
      <c r="G239" t="s">
        <v>707</v>
      </c>
      <c r="H239" t="s">
        <v>48</v>
      </c>
      <c r="I239" t="s">
        <v>33</v>
      </c>
      <c r="J239">
        <v>1</v>
      </c>
      <c r="K239">
        <v>485</v>
      </c>
      <c r="L239">
        <v>485</v>
      </c>
      <c r="M239">
        <v>4.3</v>
      </c>
      <c r="N239">
        <v>44</v>
      </c>
      <c r="O239">
        <v>449</v>
      </c>
      <c r="P239">
        <v>0</v>
      </c>
      <c r="Q239" t="s">
        <v>75</v>
      </c>
      <c r="R239">
        <v>43</v>
      </c>
      <c r="S239" t="s">
        <v>41</v>
      </c>
    </row>
    <row r="240" spans="1:19" x14ac:dyDescent="0.3">
      <c r="A240" t="s">
        <v>708</v>
      </c>
      <c r="B240" s="2">
        <v>45353</v>
      </c>
      <c r="C240" t="s">
        <v>55</v>
      </c>
      <c r="D240" t="s">
        <v>100</v>
      </c>
      <c r="E240" t="s">
        <v>709</v>
      </c>
      <c r="F240" t="s">
        <v>78</v>
      </c>
      <c r="G240" t="s">
        <v>710</v>
      </c>
      <c r="H240" t="s">
        <v>53</v>
      </c>
      <c r="I240" t="s">
        <v>26</v>
      </c>
      <c r="J240">
        <v>2</v>
      </c>
      <c r="K240">
        <v>330</v>
      </c>
      <c r="L240">
        <v>660</v>
      </c>
      <c r="M240">
        <v>4.4000000000000004</v>
      </c>
      <c r="N240">
        <v>55</v>
      </c>
      <c r="O240">
        <v>399</v>
      </c>
      <c r="P240">
        <v>0</v>
      </c>
      <c r="Q240" t="s">
        <v>34</v>
      </c>
      <c r="R240">
        <v>37</v>
      </c>
      <c r="S240" t="s">
        <v>28</v>
      </c>
    </row>
    <row r="241" spans="1:19" x14ac:dyDescent="0.3">
      <c r="A241" t="s">
        <v>711</v>
      </c>
      <c r="B241" s="2">
        <v>45456</v>
      </c>
      <c r="C241" t="s">
        <v>30</v>
      </c>
      <c r="D241" t="s">
        <v>92</v>
      </c>
      <c r="E241" t="s">
        <v>712</v>
      </c>
      <c r="F241" t="s">
        <v>713</v>
      </c>
      <c r="G241" t="s">
        <v>64</v>
      </c>
      <c r="H241" t="s">
        <v>64</v>
      </c>
      <c r="I241" t="s">
        <v>26</v>
      </c>
      <c r="J241">
        <v>1</v>
      </c>
      <c r="K241">
        <v>525</v>
      </c>
      <c r="L241">
        <v>525</v>
      </c>
      <c r="M241">
        <v>4.5999999999999996</v>
      </c>
      <c r="N241">
        <v>46</v>
      </c>
      <c r="O241">
        <v>999</v>
      </c>
      <c r="P241">
        <v>0</v>
      </c>
      <c r="Q241" t="s">
        <v>75</v>
      </c>
      <c r="R241">
        <v>49</v>
      </c>
      <c r="S241" t="s">
        <v>41</v>
      </c>
    </row>
    <row r="242" spans="1:19" x14ac:dyDescent="0.3">
      <c r="A242" t="s">
        <v>714</v>
      </c>
      <c r="B242" s="2">
        <v>45516</v>
      </c>
      <c r="C242" t="s">
        <v>82</v>
      </c>
      <c r="D242" t="s">
        <v>44</v>
      </c>
      <c r="E242" t="s">
        <v>715</v>
      </c>
      <c r="F242" t="s">
        <v>716</v>
      </c>
      <c r="G242" t="s">
        <v>717</v>
      </c>
      <c r="H242" t="s">
        <v>80</v>
      </c>
      <c r="I242" t="s">
        <v>26</v>
      </c>
      <c r="J242">
        <v>4</v>
      </c>
      <c r="K242">
        <v>271</v>
      </c>
      <c r="L242">
        <v>1084</v>
      </c>
      <c r="M242">
        <v>4.0999999999999996</v>
      </c>
      <c r="N242">
        <v>51</v>
      </c>
      <c r="O242">
        <v>449</v>
      </c>
      <c r="P242">
        <v>0</v>
      </c>
      <c r="Q242" t="s">
        <v>49</v>
      </c>
      <c r="R242">
        <v>25</v>
      </c>
      <c r="S242" t="s">
        <v>41</v>
      </c>
    </row>
    <row r="243" spans="1:19" x14ac:dyDescent="0.3">
      <c r="A243" t="s">
        <v>718</v>
      </c>
      <c r="B243" s="2">
        <v>45342</v>
      </c>
      <c r="C243" t="s">
        <v>113</v>
      </c>
      <c r="D243" t="s">
        <v>36</v>
      </c>
      <c r="E243" t="s">
        <v>719</v>
      </c>
      <c r="F243" t="s">
        <v>720</v>
      </c>
      <c r="G243" t="s">
        <v>721</v>
      </c>
      <c r="H243" t="s">
        <v>80</v>
      </c>
      <c r="I243" t="s">
        <v>26</v>
      </c>
      <c r="J243">
        <v>1</v>
      </c>
      <c r="K243">
        <v>228</v>
      </c>
      <c r="L243">
        <v>228</v>
      </c>
      <c r="M243">
        <v>4.0999999999999996</v>
      </c>
      <c r="N243">
        <v>44</v>
      </c>
      <c r="O243">
        <v>800</v>
      </c>
      <c r="P243">
        <v>15</v>
      </c>
      <c r="Q243" t="s">
        <v>75</v>
      </c>
      <c r="R243">
        <v>27</v>
      </c>
      <c r="S243" t="s">
        <v>28</v>
      </c>
    </row>
    <row r="244" spans="1:19" x14ac:dyDescent="0.3">
      <c r="A244" t="s">
        <v>722</v>
      </c>
      <c r="B244" s="2">
        <v>45525</v>
      </c>
      <c r="C244" t="s">
        <v>82</v>
      </c>
      <c r="D244" t="s">
        <v>72</v>
      </c>
      <c r="E244" t="s">
        <v>723</v>
      </c>
      <c r="F244" t="s">
        <v>78</v>
      </c>
      <c r="G244" t="s">
        <v>724</v>
      </c>
      <c r="H244" t="s">
        <v>64</v>
      </c>
      <c r="I244" t="s">
        <v>26</v>
      </c>
      <c r="J244">
        <v>4</v>
      </c>
      <c r="K244">
        <v>195</v>
      </c>
      <c r="L244">
        <v>780</v>
      </c>
      <c r="M244">
        <v>4.3</v>
      </c>
      <c r="N244">
        <v>52</v>
      </c>
      <c r="O244">
        <v>449</v>
      </c>
      <c r="P244">
        <v>0</v>
      </c>
      <c r="Q244" t="s">
        <v>49</v>
      </c>
      <c r="R244">
        <v>36</v>
      </c>
      <c r="S244" t="s">
        <v>41</v>
      </c>
    </row>
    <row r="245" spans="1:19" x14ac:dyDescent="0.3">
      <c r="A245" t="s">
        <v>725</v>
      </c>
      <c r="B245" s="2">
        <v>45463</v>
      </c>
      <c r="C245" t="s">
        <v>30</v>
      </c>
      <c r="D245" t="s">
        <v>92</v>
      </c>
      <c r="E245" t="s">
        <v>726</v>
      </c>
      <c r="F245" t="s">
        <v>62</v>
      </c>
      <c r="G245" t="s">
        <v>727</v>
      </c>
      <c r="H245" t="s">
        <v>48</v>
      </c>
      <c r="I245" t="s">
        <v>33</v>
      </c>
      <c r="J245">
        <v>4</v>
      </c>
      <c r="K245">
        <v>149</v>
      </c>
      <c r="L245">
        <v>596</v>
      </c>
      <c r="M245">
        <v>4.4000000000000004</v>
      </c>
      <c r="N245">
        <v>40</v>
      </c>
      <c r="P245">
        <v>0</v>
      </c>
      <c r="Q245" t="s">
        <v>34</v>
      </c>
      <c r="R245">
        <v>20</v>
      </c>
      <c r="S245" t="s">
        <v>41</v>
      </c>
    </row>
    <row r="246" spans="1:19" x14ac:dyDescent="0.3">
      <c r="A246" t="s">
        <v>728</v>
      </c>
      <c r="B246" s="2">
        <v>45443</v>
      </c>
      <c r="C246" t="s">
        <v>71</v>
      </c>
      <c r="D246" t="s">
        <v>21</v>
      </c>
      <c r="E246" t="s">
        <v>729</v>
      </c>
      <c r="F246" t="s">
        <v>450</v>
      </c>
      <c r="G246" t="s">
        <v>730</v>
      </c>
      <c r="H246" t="s">
        <v>80</v>
      </c>
      <c r="I246" t="s">
        <v>26</v>
      </c>
      <c r="J246">
        <v>4</v>
      </c>
      <c r="K246">
        <v>433</v>
      </c>
      <c r="L246">
        <v>1732</v>
      </c>
      <c r="M246">
        <v>4.0999999999999996</v>
      </c>
      <c r="N246">
        <v>48</v>
      </c>
      <c r="P246">
        <v>0</v>
      </c>
      <c r="Q246" t="s">
        <v>49</v>
      </c>
      <c r="R246">
        <v>41</v>
      </c>
      <c r="S246" t="s">
        <v>41</v>
      </c>
    </row>
    <row r="247" spans="1:19" x14ac:dyDescent="0.3">
      <c r="A247" t="s">
        <v>731</v>
      </c>
      <c r="B247" s="2">
        <v>45498</v>
      </c>
      <c r="C247" t="s">
        <v>59</v>
      </c>
      <c r="D247" t="s">
        <v>92</v>
      </c>
      <c r="E247" t="s">
        <v>732</v>
      </c>
      <c r="F247" t="s">
        <v>78</v>
      </c>
      <c r="G247" t="s">
        <v>733</v>
      </c>
      <c r="H247" t="s">
        <v>80</v>
      </c>
      <c r="I247" t="s">
        <v>26</v>
      </c>
      <c r="J247">
        <v>3</v>
      </c>
      <c r="K247">
        <v>236</v>
      </c>
      <c r="L247">
        <v>708</v>
      </c>
      <c r="M247">
        <v>4.3</v>
      </c>
      <c r="N247">
        <v>47</v>
      </c>
      <c r="O247">
        <v>449</v>
      </c>
      <c r="P247">
        <v>0</v>
      </c>
      <c r="Q247" t="s">
        <v>75</v>
      </c>
      <c r="R247">
        <v>22</v>
      </c>
      <c r="S247" t="s">
        <v>41</v>
      </c>
    </row>
    <row r="248" spans="1:19" x14ac:dyDescent="0.3">
      <c r="A248" t="s">
        <v>734</v>
      </c>
      <c r="B248" s="2">
        <v>45350</v>
      </c>
      <c r="C248" t="s">
        <v>113</v>
      </c>
      <c r="D248" t="s">
        <v>72</v>
      </c>
      <c r="E248" t="s">
        <v>735</v>
      </c>
      <c r="F248" t="s">
        <v>736</v>
      </c>
      <c r="G248" t="s">
        <v>80</v>
      </c>
      <c r="H248" t="s">
        <v>80</v>
      </c>
      <c r="I248" t="s">
        <v>26</v>
      </c>
      <c r="J248">
        <v>1</v>
      </c>
      <c r="K248">
        <v>534</v>
      </c>
      <c r="L248">
        <v>534</v>
      </c>
      <c r="M248">
        <v>4.3</v>
      </c>
      <c r="N248">
        <v>51</v>
      </c>
      <c r="P248">
        <v>0</v>
      </c>
      <c r="Q248" t="s">
        <v>27</v>
      </c>
      <c r="R248">
        <v>20</v>
      </c>
      <c r="S248" t="s">
        <v>41</v>
      </c>
    </row>
    <row r="249" spans="1:19" x14ac:dyDescent="0.3">
      <c r="A249" t="s">
        <v>737</v>
      </c>
      <c r="B249" s="2">
        <v>45409</v>
      </c>
      <c r="C249" t="s">
        <v>20</v>
      </c>
      <c r="D249" t="s">
        <v>100</v>
      </c>
      <c r="E249" t="s">
        <v>738</v>
      </c>
      <c r="F249" t="s">
        <v>78</v>
      </c>
      <c r="G249" t="s">
        <v>80</v>
      </c>
      <c r="H249" t="s">
        <v>80</v>
      </c>
      <c r="I249" t="s">
        <v>26</v>
      </c>
      <c r="J249">
        <v>2</v>
      </c>
      <c r="K249">
        <v>475</v>
      </c>
      <c r="L249">
        <v>950</v>
      </c>
      <c r="M249">
        <v>4.5</v>
      </c>
      <c r="N249">
        <v>52</v>
      </c>
      <c r="O249">
        <v>449</v>
      </c>
      <c r="P249">
        <v>0</v>
      </c>
      <c r="Q249" t="s">
        <v>49</v>
      </c>
      <c r="R249">
        <v>43</v>
      </c>
      <c r="S249" t="s">
        <v>28</v>
      </c>
    </row>
    <row r="250" spans="1:19" x14ac:dyDescent="0.3">
      <c r="A250" t="s">
        <v>739</v>
      </c>
      <c r="B250" s="2">
        <v>45451</v>
      </c>
      <c r="C250" t="s">
        <v>30</v>
      </c>
      <c r="D250" t="s">
        <v>100</v>
      </c>
      <c r="E250" t="s">
        <v>740</v>
      </c>
      <c r="F250" t="s">
        <v>450</v>
      </c>
      <c r="G250" t="s">
        <v>741</v>
      </c>
      <c r="H250" t="s">
        <v>64</v>
      </c>
      <c r="I250" t="s">
        <v>26</v>
      </c>
      <c r="J250">
        <v>2</v>
      </c>
      <c r="K250">
        <v>311</v>
      </c>
      <c r="L250">
        <v>622</v>
      </c>
      <c r="M250">
        <v>4.5</v>
      </c>
      <c r="N250">
        <v>49</v>
      </c>
      <c r="P250">
        <v>0</v>
      </c>
      <c r="Q250" t="s">
        <v>49</v>
      </c>
      <c r="R250">
        <v>44</v>
      </c>
      <c r="S250" t="s">
        <v>41</v>
      </c>
    </row>
    <row r="251" spans="1:19" x14ac:dyDescent="0.3">
      <c r="A251" t="s">
        <v>742</v>
      </c>
      <c r="B251" s="2">
        <v>45387</v>
      </c>
      <c r="C251" t="s">
        <v>20</v>
      </c>
      <c r="D251" t="s">
        <v>21</v>
      </c>
      <c r="E251" t="s">
        <v>743</v>
      </c>
      <c r="F251" t="s">
        <v>578</v>
      </c>
      <c r="G251" t="s">
        <v>373</v>
      </c>
      <c r="H251" t="s">
        <v>80</v>
      </c>
      <c r="I251" t="s">
        <v>26</v>
      </c>
      <c r="J251">
        <v>1</v>
      </c>
      <c r="K251">
        <v>138</v>
      </c>
      <c r="L251">
        <v>138</v>
      </c>
      <c r="M251">
        <v>4.3</v>
      </c>
      <c r="N251">
        <v>50</v>
      </c>
      <c r="O251">
        <v>449</v>
      </c>
      <c r="P251">
        <v>0</v>
      </c>
      <c r="Q251" t="s">
        <v>34</v>
      </c>
      <c r="R251">
        <v>33</v>
      </c>
      <c r="S251" t="s">
        <v>28</v>
      </c>
    </row>
    <row r="252" spans="1:19" x14ac:dyDescent="0.3">
      <c r="A252" t="s">
        <v>744</v>
      </c>
      <c r="B252" s="2">
        <v>45507</v>
      </c>
      <c r="C252" t="s">
        <v>82</v>
      </c>
      <c r="D252" t="s">
        <v>100</v>
      </c>
      <c r="E252" t="s">
        <v>745</v>
      </c>
      <c r="F252" t="s">
        <v>746</v>
      </c>
      <c r="G252" t="s">
        <v>64</v>
      </c>
      <c r="H252" t="s">
        <v>64</v>
      </c>
      <c r="I252" t="s">
        <v>26</v>
      </c>
      <c r="J252">
        <v>3</v>
      </c>
      <c r="K252">
        <v>551</v>
      </c>
      <c r="L252">
        <v>1653</v>
      </c>
      <c r="M252">
        <v>4.5</v>
      </c>
      <c r="N252">
        <v>40</v>
      </c>
      <c r="P252">
        <v>0</v>
      </c>
      <c r="Q252" t="s">
        <v>75</v>
      </c>
      <c r="R252">
        <v>34</v>
      </c>
      <c r="S252" t="s">
        <v>28</v>
      </c>
    </row>
    <row r="253" spans="1:19" x14ac:dyDescent="0.3">
      <c r="A253" t="s">
        <v>747</v>
      </c>
      <c r="B253" s="2">
        <v>45524</v>
      </c>
      <c r="C253" t="s">
        <v>82</v>
      </c>
      <c r="D253" t="s">
        <v>36</v>
      </c>
      <c r="E253" t="s">
        <v>748</v>
      </c>
      <c r="F253" t="s">
        <v>578</v>
      </c>
      <c r="G253" t="s">
        <v>749</v>
      </c>
      <c r="H253" t="s">
        <v>48</v>
      </c>
      <c r="I253" t="s">
        <v>33</v>
      </c>
      <c r="J253">
        <v>3</v>
      </c>
      <c r="K253">
        <v>292</v>
      </c>
      <c r="L253">
        <v>876</v>
      </c>
      <c r="M253">
        <v>4.3</v>
      </c>
      <c r="N253">
        <v>44</v>
      </c>
      <c r="O253">
        <v>799</v>
      </c>
      <c r="P253">
        <v>0</v>
      </c>
      <c r="Q253" t="s">
        <v>49</v>
      </c>
      <c r="R253">
        <v>32</v>
      </c>
      <c r="S253" t="s">
        <v>28</v>
      </c>
    </row>
    <row r="254" spans="1:19" x14ac:dyDescent="0.3">
      <c r="A254" t="s">
        <v>750</v>
      </c>
      <c r="B254" s="2">
        <v>45471</v>
      </c>
      <c r="C254" t="s">
        <v>30</v>
      </c>
      <c r="D254" t="s">
        <v>21</v>
      </c>
      <c r="E254" t="s">
        <v>751</v>
      </c>
      <c r="F254" t="s">
        <v>513</v>
      </c>
      <c r="G254" t="s">
        <v>752</v>
      </c>
      <c r="H254" t="s">
        <v>64</v>
      </c>
      <c r="I254" t="s">
        <v>26</v>
      </c>
      <c r="J254">
        <v>4</v>
      </c>
      <c r="K254">
        <v>347</v>
      </c>
      <c r="L254">
        <v>1388</v>
      </c>
      <c r="M254">
        <v>4.2</v>
      </c>
      <c r="N254">
        <v>37</v>
      </c>
      <c r="O254">
        <v>399</v>
      </c>
      <c r="P254">
        <v>0</v>
      </c>
      <c r="Q254" t="s">
        <v>49</v>
      </c>
      <c r="R254">
        <v>20</v>
      </c>
      <c r="S254" t="s">
        <v>28</v>
      </c>
    </row>
    <row r="255" spans="1:19" x14ac:dyDescent="0.3">
      <c r="A255" t="s">
        <v>753</v>
      </c>
      <c r="B255" s="2">
        <v>45404</v>
      </c>
      <c r="C255" t="s">
        <v>20</v>
      </c>
      <c r="D255" t="s">
        <v>44</v>
      </c>
      <c r="E255" t="s">
        <v>754</v>
      </c>
      <c r="F255" t="s">
        <v>192</v>
      </c>
      <c r="G255" t="s">
        <v>755</v>
      </c>
      <c r="H255" t="s">
        <v>48</v>
      </c>
      <c r="I255" t="s">
        <v>33</v>
      </c>
      <c r="J255">
        <v>1</v>
      </c>
      <c r="K255">
        <v>469</v>
      </c>
      <c r="L255">
        <v>469</v>
      </c>
      <c r="M255">
        <v>4.0999999999999996</v>
      </c>
      <c r="N255">
        <v>54</v>
      </c>
      <c r="O255">
        <v>449</v>
      </c>
      <c r="P255">
        <v>0</v>
      </c>
      <c r="Q255" t="s">
        <v>49</v>
      </c>
      <c r="R255">
        <v>29</v>
      </c>
      <c r="S255" t="s">
        <v>28</v>
      </c>
    </row>
    <row r="256" spans="1:19" x14ac:dyDescent="0.3">
      <c r="A256" t="s">
        <v>756</v>
      </c>
      <c r="B256" s="2">
        <v>45353</v>
      </c>
      <c r="C256" t="s">
        <v>55</v>
      </c>
      <c r="D256" t="s">
        <v>100</v>
      </c>
      <c r="E256" t="s">
        <v>757</v>
      </c>
      <c r="F256" t="s">
        <v>78</v>
      </c>
      <c r="G256" t="s">
        <v>758</v>
      </c>
      <c r="H256" t="s">
        <v>64</v>
      </c>
      <c r="I256" t="s">
        <v>26</v>
      </c>
      <c r="J256">
        <v>1</v>
      </c>
      <c r="K256">
        <v>302</v>
      </c>
      <c r="L256">
        <v>302</v>
      </c>
      <c r="M256">
        <v>4.3</v>
      </c>
      <c r="N256">
        <v>52</v>
      </c>
      <c r="O256">
        <v>125</v>
      </c>
      <c r="P256">
        <v>25</v>
      </c>
      <c r="Q256" t="s">
        <v>49</v>
      </c>
      <c r="R256">
        <v>26</v>
      </c>
      <c r="S256" t="s">
        <v>28</v>
      </c>
    </row>
    <row r="257" spans="1:19" x14ac:dyDescent="0.3">
      <c r="A257" t="s">
        <v>759</v>
      </c>
      <c r="B257" s="2">
        <v>45477</v>
      </c>
      <c r="C257" t="s">
        <v>59</v>
      </c>
      <c r="D257" t="s">
        <v>92</v>
      </c>
      <c r="E257" t="s">
        <v>760</v>
      </c>
      <c r="F257" t="s">
        <v>78</v>
      </c>
      <c r="G257" t="s">
        <v>761</v>
      </c>
      <c r="H257" t="s">
        <v>48</v>
      </c>
      <c r="I257" t="s">
        <v>33</v>
      </c>
      <c r="J257">
        <v>2</v>
      </c>
      <c r="K257">
        <v>232</v>
      </c>
      <c r="L257">
        <v>464</v>
      </c>
      <c r="M257">
        <v>4.0999999999999996</v>
      </c>
      <c r="N257">
        <v>70</v>
      </c>
      <c r="O257">
        <v>1999</v>
      </c>
      <c r="P257">
        <v>0</v>
      </c>
      <c r="Q257" t="s">
        <v>27</v>
      </c>
      <c r="R257">
        <v>38</v>
      </c>
      <c r="S257" t="s">
        <v>41</v>
      </c>
    </row>
    <row r="258" spans="1:19" x14ac:dyDescent="0.3">
      <c r="A258" t="s">
        <v>762</v>
      </c>
      <c r="B258" s="2">
        <v>45343</v>
      </c>
      <c r="C258" t="s">
        <v>113</v>
      </c>
      <c r="D258" t="s">
        <v>72</v>
      </c>
      <c r="E258" t="s">
        <v>763</v>
      </c>
      <c r="F258" t="s">
        <v>713</v>
      </c>
      <c r="G258" t="s">
        <v>764</v>
      </c>
      <c r="H258" t="s">
        <v>48</v>
      </c>
      <c r="I258" t="s">
        <v>33</v>
      </c>
      <c r="J258">
        <v>1</v>
      </c>
      <c r="K258">
        <v>302</v>
      </c>
      <c r="L258">
        <v>302</v>
      </c>
      <c r="M258">
        <v>4.3</v>
      </c>
      <c r="N258">
        <v>39</v>
      </c>
      <c r="P258">
        <v>0</v>
      </c>
      <c r="Q258" t="s">
        <v>75</v>
      </c>
      <c r="R258">
        <v>29</v>
      </c>
      <c r="S258" t="s">
        <v>41</v>
      </c>
    </row>
    <row r="259" spans="1:19" x14ac:dyDescent="0.3">
      <c r="A259" t="s">
        <v>765</v>
      </c>
      <c r="B259" s="2">
        <v>45303</v>
      </c>
      <c r="C259" t="s">
        <v>43</v>
      </c>
      <c r="D259" t="s">
        <v>21</v>
      </c>
      <c r="E259" t="s">
        <v>766</v>
      </c>
      <c r="F259" t="s">
        <v>115</v>
      </c>
      <c r="G259" t="s">
        <v>154</v>
      </c>
      <c r="H259" t="s">
        <v>80</v>
      </c>
      <c r="I259" t="s">
        <v>26</v>
      </c>
      <c r="J259">
        <v>3</v>
      </c>
      <c r="K259">
        <v>265</v>
      </c>
      <c r="L259">
        <v>795</v>
      </c>
      <c r="M259">
        <v>4.2</v>
      </c>
      <c r="N259">
        <v>39</v>
      </c>
      <c r="P259">
        <v>0</v>
      </c>
      <c r="Q259" t="s">
        <v>34</v>
      </c>
      <c r="R259">
        <v>43</v>
      </c>
      <c r="S259" t="s">
        <v>41</v>
      </c>
    </row>
    <row r="260" spans="1:19" x14ac:dyDescent="0.3">
      <c r="A260" t="s">
        <v>767</v>
      </c>
      <c r="B260" s="2">
        <v>45330</v>
      </c>
      <c r="C260" t="s">
        <v>113</v>
      </c>
      <c r="D260" t="s">
        <v>92</v>
      </c>
      <c r="E260" t="s">
        <v>768</v>
      </c>
      <c r="F260" t="s">
        <v>517</v>
      </c>
      <c r="G260" t="s">
        <v>769</v>
      </c>
      <c r="H260" t="s">
        <v>80</v>
      </c>
      <c r="I260" t="s">
        <v>26</v>
      </c>
      <c r="J260">
        <v>1</v>
      </c>
      <c r="K260">
        <v>438</v>
      </c>
      <c r="L260">
        <v>438</v>
      </c>
      <c r="M260">
        <v>4.0999999999999996</v>
      </c>
      <c r="N260">
        <v>39</v>
      </c>
      <c r="O260">
        <v>599</v>
      </c>
      <c r="P260">
        <v>0</v>
      </c>
      <c r="Q260" t="s">
        <v>34</v>
      </c>
      <c r="R260">
        <v>32</v>
      </c>
      <c r="S260" t="s">
        <v>28</v>
      </c>
    </row>
    <row r="261" spans="1:19" x14ac:dyDescent="0.3">
      <c r="A261" t="s">
        <v>770</v>
      </c>
      <c r="B261" s="2">
        <v>45421</v>
      </c>
      <c r="C261" t="s">
        <v>71</v>
      </c>
      <c r="D261" t="s">
        <v>92</v>
      </c>
      <c r="E261" t="s">
        <v>771</v>
      </c>
      <c r="F261" t="s">
        <v>450</v>
      </c>
      <c r="G261" t="s">
        <v>109</v>
      </c>
      <c r="H261" t="s">
        <v>64</v>
      </c>
      <c r="I261" t="s">
        <v>26</v>
      </c>
      <c r="J261">
        <v>2</v>
      </c>
      <c r="K261">
        <v>235</v>
      </c>
      <c r="L261">
        <v>470</v>
      </c>
      <c r="M261">
        <v>4.2</v>
      </c>
      <c r="N261">
        <v>40</v>
      </c>
      <c r="O261">
        <v>399</v>
      </c>
      <c r="P261">
        <v>0</v>
      </c>
      <c r="Q261" t="s">
        <v>27</v>
      </c>
      <c r="R261">
        <v>19</v>
      </c>
      <c r="S261" t="s">
        <v>41</v>
      </c>
    </row>
    <row r="262" spans="1:19" x14ac:dyDescent="0.3">
      <c r="A262" t="s">
        <v>772</v>
      </c>
      <c r="B262" s="2">
        <v>45422</v>
      </c>
      <c r="C262" t="s">
        <v>71</v>
      </c>
      <c r="D262" t="s">
        <v>21</v>
      </c>
      <c r="E262" t="s">
        <v>773</v>
      </c>
      <c r="F262" t="s">
        <v>774</v>
      </c>
      <c r="G262" t="s">
        <v>775</v>
      </c>
      <c r="H262" t="s">
        <v>64</v>
      </c>
      <c r="I262" t="s">
        <v>26</v>
      </c>
      <c r="J262">
        <v>4</v>
      </c>
      <c r="K262">
        <v>232</v>
      </c>
      <c r="L262">
        <v>928</v>
      </c>
      <c r="M262">
        <v>4.3</v>
      </c>
      <c r="N262">
        <v>39</v>
      </c>
      <c r="O262">
        <v>899</v>
      </c>
      <c r="P262">
        <v>0</v>
      </c>
      <c r="Q262" t="s">
        <v>75</v>
      </c>
      <c r="R262">
        <v>40</v>
      </c>
      <c r="S262" t="s">
        <v>41</v>
      </c>
    </row>
    <row r="263" spans="1:19" x14ac:dyDescent="0.3">
      <c r="A263" t="s">
        <v>776</v>
      </c>
      <c r="B263" s="2">
        <v>45404</v>
      </c>
      <c r="C263" t="s">
        <v>20</v>
      </c>
      <c r="D263" t="s">
        <v>44</v>
      </c>
      <c r="E263" t="s">
        <v>777</v>
      </c>
      <c r="F263" t="s">
        <v>565</v>
      </c>
      <c r="G263" t="s">
        <v>778</v>
      </c>
      <c r="H263" t="s">
        <v>80</v>
      </c>
      <c r="I263" t="s">
        <v>26</v>
      </c>
      <c r="J263">
        <v>2</v>
      </c>
      <c r="K263">
        <v>370</v>
      </c>
      <c r="L263">
        <v>740</v>
      </c>
      <c r="M263">
        <v>4.4000000000000004</v>
      </c>
      <c r="N263">
        <v>38</v>
      </c>
      <c r="O263">
        <v>199</v>
      </c>
      <c r="P263">
        <v>0</v>
      </c>
      <c r="Q263" t="s">
        <v>49</v>
      </c>
      <c r="R263">
        <v>48</v>
      </c>
      <c r="S263" t="s">
        <v>41</v>
      </c>
    </row>
    <row r="264" spans="1:19" x14ac:dyDescent="0.3">
      <c r="A264" t="s">
        <v>779</v>
      </c>
      <c r="B264" s="2">
        <v>45392</v>
      </c>
      <c r="C264" t="s">
        <v>20</v>
      </c>
      <c r="D264" t="s">
        <v>72</v>
      </c>
      <c r="E264" t="s">
        <v>780</v>
      </c>
      <c r="F264" t="s">
        <v>192</v>
      </c>
      <c r="G264" t="s">
        <v>781</v>
      </c>
      <c r="H264" t="s">
        <v>64</v>
      </c>
      <c r="I264" t="s">
        <v>26</v>
      </c>
      <c r="J264">
        <v>2</v>
      </c>
      <c r="K264">
        <v>595</v>
      </c>
      <c r="L264">
        <v>1190</v>
      </c>
      <c r="P264">
        <v>0</v>
      </c>
      <c r="Q264" t="s">
        <v>27</v>
      </c>
      <c r="R264">
        <v>35</v>
      </c>
      <c r="S264" t="s">
        <v>28</v>
      </c>
    </row>
    <row r="265" spans="1:19" x14ac:dyDescent="0.3">
      <c r="A265" t="s">
        <v>782</v>
      </c>
      <c r="B265" s="2">
        <v>45404</v>
      </c>
      <c r="C265" t="s">
        <v>20</v>
      </c>
      <c r="D265" t="s">
        <v>44</v>
      </c>
      <c r="E265" t="s">
        <v>783</v>
      </c>
      <c r="F265" t="s">
        <v>713</v>
      </c>
      <c r="G265" t="s">
        <v>784</v>
      </c>
      <c r="H265" t="s">
        <v>80</v>
      </c>
      <c r="I265" t="s">
        <v>26</v>
      </c>
      <c r="J265">
        <v>4</v>
      </c>
      <c r="K265">
        <v>370</v>
      </c>
      <c r="L265">
        <v>1480</v>
      </c>
      <c r="M265">
        <v>4.2</v>
      </c>
      <c r="N265">
        <v>53</v>
      </c>
      <c r="O265">
        <v>125</v>
      </c>
      <c r="P265">
        <v>25</v>
      </c>
      <c r="Q265" t="s">
        <v>75</v>
      </c>
      <c r="R265">
        <v>37</v>
      </c>
      <c r="S265" t="s">
        <v>41</v>
      </c>
    </row>
    <row r="266" spans="1:19" x14ac:dyDescent="0.3">
      <c r="A266" t="s">
        <v>785</v>
      </c>
      <c r="B266" s="2">
        <v>45475</v>
      </c>
      <c r="C266" t="s">
        <v>59</v>
      </c>
      <c r="D266" t="s">
        <v>36</v>
      </c>
      <c r="E266" t="s">
        <v>786</v>
      </c>
      <c r="F266" t="s">
        <v>78</v>
      </c>
      <c r="G266" t="s">
        <v>787</v>
      </c>
      <c r="H266" t="s">
        <v>80</v>
      </c>
      <c r="I266" t="s">
        <v>26</v>
      </c>
      <c r="J266">
        <v>2</v>
      </c>
      <c r="K266">
        <v>422</v>
      </c>
      <c r="L266">
        <v>844</v>
      </c>
      <c r="M266">
        <v>4.0999999999999996</v>
      </c>
      <c r="N266">
        <v>44</v>
      </c>
      <c r="O266">
        <v>599</v>
      </c>
      <c r="P266">
        <v>0</v>
      </c>
      <c r="Q266" t="s">
        <v>49</v>
      </c>
      <c r="R266">
        <v>29</v>
      </c>
      <c r="S266" t="s">
        <v>28</v>
      </c>
    </row>
    <row r="267" spans="1:19" x14ac:dyDescent="0.3">
      <c r="A267" t="s">
        <v>788</v>
      </c>
      <c r="B267" s="2">
        <v>45372</v>
      </c>
      <c r="C267" t="s">
        <v>55</v>
      </c>
      <c r="D267" t="s">
        <v>92</v>
      </c>
      <c r="E267" t="s">
        <v>789</v>
      </c>
      <c r="F267" t="s">
        <v>192</v>
      </c>
      <c r="G267" t="s">
        <v>790</v>
      </c>
      <c r="H267" t="s">
        <v>53</v>
      </c>
      <c r="I267" t="s">
        <v>26</v>
      </c>
      <c r="J267">
        <v>2</v>
      </c>
      <c r="K267">
        <v>578</v>
      </c>
      <c r="L267">
        <v>1156</v>
      </c>
      <c r="M267">
        <v>4.0999999999999996</v>
      </c>
      <c r="N267">
        <v>50</v>
      </c>
      <c r="P267">
        <v>0</v>
      </c>
      <c r="Q267" t="s">
        <v>27</v>
      </c>
      <c r="R267">
        <v>40</v>
      </c>
      <c r="S267" t="s">
        <v>41</v>
      </c>
    </row>
    <row r="268" spans="1:19" x14ac:dyDescent="0.3">
      <c r="A268" t="s">
        <v>791</v>
      </c>
      <c r="B268" s="2">
        <v>45478</v>
      </c>
      <c r="C268" t="s">
        <v>59</v>
      </c>
      <c r="D268" t="s">
        <v>21</v>
      </c>
      <c r="E268" t="s">
        <v>792</v>
      </c>
      <c r="F268" t="s">
        <v>115</v>
      </c>
      <c r="G268" t="s">
        <v>793</v>
      </c>
      <c r="H268" t="s">
        <v>48</v>
      </c>
      <c r="I268" t="s">
        <v>33</v>
      </c>
      <c r="J268">
        <v>1</v>
      </c>
      <c r="K268">
        <v>432</v>
      </c>
      <c r="L268">
        <v>432</v>
      </c>
      <c r="M268">
        <v>4.5</v>
      </c>
      <c r="N268">
        <v>47</v>
      </c>
      <c r="P268">
        <v>0</v>
      </c>
      <c r="Q268" t="s">
        <v>75</v>
      </c>
      <c r="R268">
        <v>21</v>
      </c>
      <c r="S268" t="s">
        <v>28</v>
      </c>
    </row>
    <row r="269" spans="1:19" x14ac:dyDescent="0.3">
      <c r="A269" t="s">
        <v>794</v>
      </c>
      <c r="B269" s="2">
        <v>45404</v>
      </c>
      <c r="C269" t="s">
        <v>20</v>
      </c>
      <c r="D269" t="s">
        <v>44</v>
      </c>
      <c r="E269" t="s">
        <v>795</v>
      </c>
      <c r="F269" t="s">
        <v>46</v>
      </c>
      <c r="G269" t="s">
        <v>796</v>
      </c>
      <c r="H269" t="s">
        <v>48</v>
      </c>
      <c r="I269" t="s">
        <v>33</v>
      </c>
      <c r="J269">
        <v>1</v>
      </c>
      <c r="K269">
        <v>237</v>
      </c>
      <c r="L269">
        <v>237</v>
      </c>
      <c r="M269">
        <v>4.2</v>
      </c>
      <c r="N269">
        <v>55</v>
      </c>
      <c r="P269">
        <v>0</v>
      </c>
      <c r="Q269" t="s">
        <v>34</v>
      </c>
      <c r="R269">
        <v>40</v>
      </c>
      <c r="S269" t="s">
        <v>28</v>
      </c>
    </row>
    <row r="270" spans="1:19" x14ac:dyDescent="0.3">
      <c r="A270" t="s">
        <v>797</v>
      </c>
      <c r="B270" s="2">
        <v>45293</v>
      </c>
      <c r="C270" t="s">
        <v>43</v>
      </c>
      <c r="D270" t="s">
        <v>36</v>
      </c>
      <c r="E270" t="s">
        <v>798</v>
      </c>
      <c r="F270" t="s">
        <v>450</v>
      </c>
      <c r="G270" t="s">
        <v>227</v>
      </c>
      <c r="H270" t="s">
        <v>80</v>
      </c>
      <c r="I270" t="s">
        <v>26</v>
      </c>
      <c r="J270">
        <v>4</v>
      </c>
      <c r="K270">
        <v>420</v>
      </c>
      <c r="L270">
        <v>1680</v>
      </c>
      <c r="M270">
        <v>4.5999999999999996</v>
      </c>
      <c r="N270">
        <v>55</v>
      </c>
      <c r="P270">
        <v>0</v>
      </c>
      <c r="Q270" t="s">
        <v>34</v>
      </c>
      <c r="R270">
        <v>33</v>
      </c>
      <c r="S270" t="s">
        <v>28</v>
      </c>
    </row>
    <row r="271" spans="1:19" x14ac:dyDescent="0.3">
      <c r="A271" t="s">
        <v>799</v>
      </c>
      <c r="B271" s="2">
        <v>45421</v>
      </c>
      <c r="C271" t="s">
        <v>71</v>
      </c>
      <c r="D271" t="s">
        <v>92</v>
      </c>
      <c r="E271" t="s">
        <v>800</v>
      </c>
      <c r="F271" t="s">
        <v>450</v>
      </c>
      <c r="G271" t="s">
        <v>373</v>
      </c>
      <c r="H271" t="s">
        <v>80</v>
      </c>
      <c r="I271" t="s">
        <v>26</v>
      </c>
      <c r="J271">
        <v>1</v>
      </c>
      <c r="K271">
        <v>280</v>
      </c>
      <c r="L271">
        <v>280</v>
      </c>
      <c r="M271">
        <v>3.5</v>
      </c>
      <c r="N271">
        <v>44</v>
      </c>
      <c r="P271">
        <v>0</v>
      </c>
      <c r="Q271" t="s">
        <v>75</v>
      </c>
      <c r="R271">
        <v>40</v>
      </c>
      <c r="S271" t="s">
        <v>41</v>
      </c>
    </row>
    <row r="272" spans="1:19" x14ac:dyDescent="0.3">
      <c r="A272" t="s">
        <v>801</v>
      </c>
      <c r="B272" s="2">
        <v>45511</v>
      </c>
      <c r="C272" t="s">
        <v>82</v>
      </c>
      <c r="D272" t="s">
        <v>72</v>
      </c>
      <c r="E272" t="s">
        <v>802</v>
      </c>
      <c r="F272" t="s">
        <v>192</v>
      </c>
      <c r="G272" t="s">
        <v>803</v>
      </c>
      <c r="H272" t="s">
        <v>64</v>
      </c>
      <c r="I272" t="s">
        <v>26</v>
      </c>
      <c r="J272">
        <v>1</v>
      </c>
      <c r="K272">
        <v>520</v>
      </c>
      <c r="L272">
        <v>520</v>
      </c>
      <c r="M272">
        <v>4</v>
      </c>
      <c r="N272">
        <v>44</v>
      </c>
      <c r="O272">
        <v>749</v>
      </c>
      <c r="P272">
        <v>0</v>
      </c>
      <c r="Q272" t="s">
        <v>34</v>
      </c>
      <c r="R272">
        <v>33</v>
      </c>
      <c r="S272" t="s">
        <v>41</v>
      </c>
    </row>
    <row r="273" spans="1:19" x14ac:dyDescent="0.3">
      <c r="A273" t="s">
        <v>804</v>
      </c>
      <c r="B273" s="2">
        <v>45345</v>
      </c>
      <c r="C273" t="s">
        <v>113</v>
      </c>
      <c r="D273" t="s">
        <v>21</v>
      </c>
      <c r="E273" t="s">
        <v>805</v>
      </c>
      <c r="F273" t="s">
        <v>115</v>
      </c>
      <c r="G273" t="s">
        <v>806</v>
      </c>
      <c r="H273" t="s">
        <v>64</v>
      </c>
      <c r="I273" t="s">
        <v>26</v>
      </c>
      <c r="J273">
        <v>2</v>
      </c>
      <c r="K273">
        <v>317</v>
      </c>
      <c r="L273">
        <v>634</v>
      </c>
      <c r="M273">
        <v>4.2</v>
      </c>
      <c r="N273">
        <v>51</v>
      </c>
      <c r="O273">
        <v>449</v>
      </c>
      <c r="P273">
        <v>0</v>
      </c>
      <c r="Q273" t="s">
        <v>75</v>
      </c>
      <c r="R273">
        <v>18</v>
      </c>
      <c r="S273" t="s">
        <v>28</v>
      </c>
    </row>
    <row r="274" spans="1:19" x14ac:dyDescent="0.3">
      <c r="A274" t="s">
        <v>807</v>
      </c>
      <c r="B274" s="2">
        <v>45378</v>
      </c>
      <c r="C274" t="s">
        <v>55</v>
      </c>
      <c r="D274" t="s">
        <v>72</v>
      </c>
      <c r="E274" t="s">
        <v>808</v>
      </c>
      <c r="F274" t="s">
        <v>78</v>
      </c>
      <c r="G274" t="s">
        <v>161</v>
      </c>
      <c r="H274" t="s">
        <v>80</v>
      </c>
      <c r="I274" t="s">
        <v>26</v>
      </c>
      <c r="J274">
        <v>3</v>
      </c>
      <c r="K274">
        <v>379</v>
      </c>
      <c r="L274">
        <v>1137</v>
      </c>
      <c r="M274">
        <v>4.5</v>
      </c>
      <c r="N274">
        <v>64</v>
      </c>
      <c r="O274">
        <v>800</v>
      </c>
      <c r="P274">
        <v>10</v>
      </c>
      <c r="Q274" t="s">
        <v>49</v>
      </c>
      <c r="R274">
        <v>39</v>
      </c>
      <c r="S274" t="s">
        <v>41</v>
      </c>
    </row>
    <row r="275" spans="1:19" x14ac:dyDescent="0.3">
      <c r="A275" t="s">
        <v>809</v>
      </c>
      <c r="B275" s="2">
        <v>45520</v>
      </c>
      <c r="C275" t="s">
        <v>82</v>
      </c>
      <c r="D275" t="s">
        <v>21</v>
      </c>
      <c r="E275" t="s">
        <v>810</v>
      </c>
      <c r="F275" t="s">
        <v>578</v>
      </c>
      <c r="G275" t="s">
        <v>811</v>
      </c>
      <c r="H275" t="s">
        <v>40</v>
      </c>
      <c r="I275" t="s">
        <v>33</v>
      </c>
      <c r="J275">
        <v>1</v>
      </c>
      <c r="K275">
        <v>267</v>
      </c>
      <c r="L275">
        <v>267</v>
      </c>
      <c r="M275">
        <v>4.3</v>
      </c>
      <c r="N275">
        <v>58</v>
      </c>
      <c r="O275">
        <v>120</v>
      </c>
      <c r="P275">
        <v>60</v>
      </c>
      <c r="Q275" t="s">
        <v>75</v>
      </c>
      <c r="R275">
        <v>42</v>
      </c>
      <c r="S275" t="s">
        <v>28</v>
      </c>
    </row>
    <row r="276" spans="1:19" x14ac:dyDescent="0.3">
      <c r="A276" t="s">
        <v>812</v>
      </c>
      <c r="B276" s="2">
        <v>45515</v>
      </c>
      <c r="C276" t="s">
        <v>82</v>
      </c>
      <c r="D276" t="s">
        <v>60</v>
      </c>
      <c r="E276" t="s">
        <v>813</v>
      </c>
      <c r="F276" t="s">
        <v>78</v>
      </c>
      <c r="G276" t="s">
        <v>814</v>
      </c>
      <c r="H276" t="s">
        <v>80</v>
      </c>
      <c r="I276" t="s">
        <v>26</v>
      </c>
      <c r="J276">
        <v>3</v>
      </c>
      <c r="K276">
        <v>359</v>
      </c>
      <c r="L276">
        <v>1077</v>
      </c>
      <c r="M276">
        <v>4.3</v>
      </c>
      <c r="N276">
        <v>42</v>
      </c>
      <c r="O276">
        <v>399</v>
      </c>
      <c r="P276">
        <v>0</v>
      </c>
      <c r="Q276" t="s">
        <v>49</v>
      </c>
      <c r="R276">
        <v>19</v>
      </c>
      <c r="S276" t="s">
        <v>28</v>
      </c>
    </row>
    <row r="277" spans="1:19" x14ac:dyDescent="0.3">
      <c r="A277" t="s">
        <v>815</v>
      </c>
      <c r="B277" s="2">
        <v>45516</v>
      </c>
      <c r="C277" t="s">
        <v>82</v>
      </c>
      <c r="D277" t="s">
        <v>44</v>
      </c>
      <c r="E277" t="s">
        <v>816</v>
      </c>
      <c r="F277" t="s">
        <v>817</v>
      </c>
      <c r="G277" t="s">
        <v>818</v>
      </c>
      <c r="H277" t="s">
        <v>80</v>
      </c>
      <c r="I277" t="s">
        <v>26</v>
      </c>
      <c r="J277">
        <v>1</v>
      </c>
      <c r="K277">
        <v>166</v>
      </c>
      <c r="L277">
        <v>166</v>
      </c>
      <c r="M277">
        <v>4.3</v>
      </c>
      <c r="N277">
        <v>44</v>
      </c>
      <c r="O277">
        <v>80</v>
      </c>
      <c r="P277">
        <v>40</v>
      </c>
      <c r="Q277" t="s">
        <v>27</v>
      </c>
      <c r="R277">
        <v>47</v>
      </c>
      <c r="S277" t="s">
        <v>41</v>
      </c>
    </row>
    <row r="278" spans="1:19" x14ac:dyDescent="0.3">
      <c r="A278" t="s">
        <v>819</v>
      </c>
      <c r="B278" s="2">
        <v>45420</v>
      </c>
      <c r="C278" t="s">
        <v>71</v>
      </c>
      <c r="D278" t="s">
        <v>72</v>
      </c>
      <c r="E278" t="s">
        <v>820</v>
      </c>
      <c r="F278" t="s">
        <v>817</v>
      </c>
      <c r="G278" t="s">
        <v>821</v>
      </c>
      <c r="H278" t="s">
        <v>80</v>
      </c>
      <c r="I278" t="s">
        <v>26</v>
      </c>
      <c r="J278">
        <v>1</v>
      </c>
      <c r="K278">
        <v>594</v>
      </c>
      <c r="L278">
        <v>594</v>
      </c>
      <c r="M278">
        <v>4.4000000000000004</v>
      </c>
      <c r="N278">
        <v>44</v>
      </c>
      <c r="O278">
        <v>80</v>
      </c>
      <c r="P278">
        <v>40</v>
      </c>
      <c r="Q278" t="s">
        <v>75</v>
      </c>
      <c r="R278">
        <v>20</v>
      </c>
      <c r="S278" t="s">
        <v>41</v>
      </c>
    </row>
    <row r="279" spans="1:19" x14ac:dyDescent="0.3">
      <c r="A279" t="s">
        <v>822</v>
      </c>
      <c r="B279" s="2">
        <v>45438</v>
      </c>
      <c r="C279" t="s">
        <v>71</v>
      </c>
      <c r="D279" t="s">
        <v>60</v>
      </c>
      <c r="E279" t="s">
        <v>823</v>
      </c>
      <c r="F279" t="s">
        <v>824</v>
      </c>
      <c r="G279" t="s">
        <v>825</v>
      </c>
      <c r="H279" t="s">
        <v>80</v>
      </c>
      <c r="I279" t="s">
        <v>26</v>
      </c>
      <c r="J279">
        <v>4</v>
      </c>
      <c r="K279">
        <v>518</v>
      </c>
      <c r="L279">
        <v>2072</v>
      </c>
      <c r="M279">
        <v>4.2</v>
      </c>
      <c r="N279">
        <v>48</v>
      </c>
      <c r="O279">
        <v>399</v>
      </c>
      <c r="P279">
        <v>0</v>
      </c>
      <c r="Q279" t="s">
        <v>27</v>
      </c>
      <c r="R279">
        <v>43</v>
      </c>
      <c r="S279" t="s">
        <v>41</v>
      </c>
    </row>
    <row r="280" spans="1:19" x14ac:dyDescent="0.3">
      <c r="A280" t="s">
        <v>826</v>
      </c>
      <c r="B280" s="2">
        <v>45417</v>
      </c>
      <c r="C280" t="s">
        <v>71</v>
      </c>
      <c r="D280" t="s">
        <v>60</v>
      </c>
      <c r="E280" t="s">
        <v>827</v>
      </c>
      <c r="F280" t="s">
        <v>517</v>
      </c>
      <c r="G280" t="s">
        <v>828</v>
      </c>
      <c r="H280" t="s">
        <v>80</v>
      </c>
      <c r="I280" t="s">
        <v>26</v>
      </c>
      <c r="J280">
        <v>4</v>
      </c>
      <c r="K280">
        <v>317</v>
      </c>
      <c r="L280">
        <v>1268</v>
      </c>
      <c r="M280">
        <v>3.3</v>
      </c>
      <c r="N280">
        <v>39</v>
      </c>
      <c r="P280">
        <v>0</v>
      </c>
      <c r="Q280" t="s">
        <v>34</v>
      </c>
      <c r="R280">
        <v>38</v>
      </c>
      <c r="S280" t="s">
        <v>28</v>
      </c>
    </row>
    <row r="281" spans="1:19" x14ac:dyDescent="0.3">
      <c r="A281" t="s">
        <v>829</v>
      </c>
      <c r="B281" s="2">
        <v>45421</v>
      </c>
      <c r="C281" t="s">
        <v>71</v>
      </c>
      <c r="D281" t="s">
        <v>92</v>
      </c>
      <c r="E281" t="s">
        <v>830</v>
      </c>
      <c r="F281" t="s">
        <v>87</v>
      </c>
      <c r="G281" t="s">
        <v>831</v>
      </c>
      <c r="H281" t="s">
        <v>48</v>
      </c>
      <c r="I281" t="s">
        <v>33</v>
      </c>
      <c r="J281">
        <v>4</v>
      </c>
      <c r="K281">
        <v>166</v>
      </c>
      <c r="L281">
        <v>664</v>
      </c>
      <c r="M281">
        <v>4.3</v>
      </c>
      <c r="N281">
        <v>45</v>
      </c>
      <c r="O281">
        <v>999</v>
      </c>
      <c r="P281">
        <v>0</v>
      </c>
      <c r="Q281" t="s">
        <v>49</v>
      </c>
      <c r="R281">
        <v>42</v>
      </c>
      <c r="S281" t="s">
        <v>28</v>
      </c>
    </row>
    <row r="282" spans="1:19" x14ac:dyDescent="0.3">
      <c r="A282" t="s">
        <v>832</v>
      </c>
      <c r="B282" s="2">
        <v>45344</v>
      </c>
      <c r="C282" t="s">
        <v>113</v>
      </c>
      <c r="D282" t="s">
        <v>92</v>
      </c>
      <c r="E282" t="s">
        <v>833</v>
      </c>
      <c r="F282" t="s">
        <v>192</v>
      </c>
      <c r="G282" t="s">
        <v>834</v>
      </c>
      <c r="H282" t="s">
        <v>25</v>
      </c>
      <c r="I282" t="s">
        <v>26</v>
      </c>
      <c r="J282">
        <v>3</v>
      </c>
      <c r="K282">
        <v>197</v>
      </c>
      <c r="L282">
        <v>591</v>
      </c>
      <c r="M282">
        <v>4</v>
      </c>
      <c r="N282">
        <v>47</v>
      </c>
      <c r="O282">
        <v>449</v>
      </c>
      <c r="P282">
        <v>0</v>
      </c>
      <c r="Q282" t="s">
        <v>75</v>
      </c>
      <c r="R282">
        <v>37</v>
      </c>
      <c r="S282" t="s">
        <v>41</v>
      </c>
    </row>
    <row r="283" spans="1:19" x14ac:dyDescent="0.3">
      <c r="A283" t="s">
        <v>835</v>
      </c>
      <c r="B283" s="2">
        <v>45463</v>
      </c>
      <c r="C283" t="s">
        <v>30</v>
      </c>
      <c r="D283" t="s">
        <v>92</v>
      </c>
      <c r="E283" t="s">
        <v>836</v>
      </c>
      <c r="F283" t="s">
        <v>824</v>
      </c>
      <c r="G283" t="s">
        <v>837</v>
      </c>
      <c r="H283" t="s">
        <v>48</v>
      </c>
      <c r="I283" t="s">
        <v>33</v>
      </c>
      <c r="J283">
        <v>2</v>
      </c>
      <c r="K283">
        <v>243</v>
      </c>
      <c r="L283">
        <v>486</v>
      </c>
      <c r="M283">
        <v>3.5</v>
      </c>
      <c r="N283">
        <v>65</v>
      </c>
      <c r="P283">
        <v>0</v>
      </c>
      <c r="Q283" t="s">
        <v>27</v>
      </c>
      <c r="R283">
        <v>34</v>
      </c>
      <c r="S283" t="s">
        <v>28</v>
      </c>
    </row>
    <row r="284" spans="1:19" x14ac:dyDescent="0.3">
      <c r="A284" t="s">
        <v>838</v>
      </c>
      <c r="B284" s="2">
        <v>45509</v>
      </c>
      <c r="C284" t="s">
        <v>82</v>
      </c>
      <c r="D284" t="s">
        <v>44</v>
      </c>
      <c r="E284" t="s">
        <v>839</v>
      </c>
      <c r="F284" t="s">
        <v>78</v>
      </c>
      <c r="G284" t="s">
        <v>840</v>
      </c>
      <c r="H284" t="s">
        <v>80</v>
      </c>
      <c r="I284" t="s">
        <v>26</v>
      </c>
      <c r="J284">
        <v>1</v>
      </c>
      <c r="K284">
        <v>194</v>
      </c>
      <c r="L284">
        <v>194</v>
      </c>
      <c r="M284">
        <v>4.3</v>
      </c>
      <c r="N284">
        <v>55</v>
      </c>
      <c r="P284">
        <v>0</v>
      </c>
      <c r="Q284" t="s">
        <v>49</v>
      </c>
      <c r="R284">
        <v>37</v>
      </c>
      <c r="S284" t="s">
        <v>41</v>
      </c>
    </row>
    <row r="285" spans="1:19" x14ac:dyDescent="0.3">
      <c r="A285" t="s">
        <v>841</v>
      </c>
      <c r="B285" s="2">
        <v>45451</v>
      </c>
      <c r="C285" t="s">
        <v>30</v>
      </c>
      <c r="D285" t="s">
        <v>100</v>
      </c>
      <c r="E285" t="s">
        <v>842</v>
      </c>
      <c r="F285" t="s">
        <v>578</v>
      </c>
      <c r="G285" t="s">
        <v>843</v>
      </c>
      <c r="H285" t="s">
        <v>80</v>
      </c>
      <c r="I285" t="s">
        <v>26</v>
      </c>
      <c r="J285">
        <v>1</v>
      </c>
      <c r="K285">
        <v>478</v>
      </c>
      <c r="L285">
        <v>478</v>
      </c>
      <c r="M285">
        <v>4</v>
      </c>
      <c r="N285">
        <v>42</v>
      </c>
      <c r="O285">
        <v>449</v>
      </c>
      <c r="P285">
        <v>0</v>
      </c>
      <c r="Q285" t="s">
        <v>49</v>
      </c>
      <c r="R285">
        <v>39</v>
      </c>
      <c r="S285" t="s">
        <v>28</v>
      </c>
    </row>
    <row r="286" spans="1:19" x14ac:dyDescent="0.3">
      <c r="A286" t="s">
        <v>844</v>
      </c>
      <c r="B286" s="2">
        <v>45489</v>
      </c>
      <c r="C286" t="s">
        <v>59</v>
      </c>
      <c r="D286" t="s">
        <v>36</v>
      </c>
      <c r="E286" t="s">
        <v>845</v>
      </c>
      <c r="F286" t="s">
        <v>78</v>
      </c>
      <c r="G286" t="s">
        <v>410</v>
      </c>
      <c r="H286" t="s">
        <v>64</v>
      </c>
      <c r="I286" t="s">
        <v>26</v>
      </c>
      <c r="J286">
        <v>1</v>
      </c>
      <c r="K286">
        <v>256</v>
      </c>
      <c r="L286">
        <v>256</v>
      </c>
      <c r="M286">
        <v>4.4000000000000004</v>
      </c>
      <c r="N286">
        <v>55</v>
      </c>
      <c r="O286">
        <v>599</v>
      </c>
      <c r="P286">
        <v>0</v>
      </c>
      <c r="Q286" t="s">
        <v>34</v>
      </c>
      <c r="R286">
        <v>38</v>
      </c>
      <c r="S286" t="s">
        <v>41</v>
      </c>
    </row>
    <row r="287" spans="1:19" x14ac:dyDescent="0.3">
      <c r="A287" t="s">
        <v>846</v>
      </c>
      <c r="B287" s="2">
        <v>45451</v>
      </c>
      <c r="C287" t="s">
        <v>30</v>
      </c>
      <c r="D287" t="s">
        <v>100</v>
      </c>
      <c r="E287" t="s">
        <v>847</v>
      </c>
      <c r="F287" t="s">
        <v>115</v>
      </c>
      <c r="G287" t="s">
        <v>848</v>
      </c>
      <c r="H287" t="s">
        <v>53</v>
      </c>
      <c r="I287" t="s">
        <v>26</v>
      </c>
      <c r="J287">
        <v>3</v>
      </c>
      <c r="K287">
        <v>209</v>
      </c>
      <c r="L287">
        <v>627</v>
      </c>
      <c r="M287">
        <v>3.8</v>
      </c>
      <c r="N287">
        <v>46</v>
      </c>
      <c r="P287">
        <v>0</v>
      </c>
      <c r="Q287" t="s">
        <v>34</v>
      </c>
      <c r="R287">
        <v>47</v>
      </c>
      <c r="S287" t="s">
        <v>41</v>
      </c>
    </row>
    <row r="288" spans="1:19" x14ac:dyDescent="0.3">
      <c r="A288" t="s">
        <v>849</v>
      </c>
      <c r="B288" s="2">
        <v>45359</v>
      </c>
      <c r="C288" t="s">
        <v>55</v>
      </c>
      <c r="D288" t="s">
        <v>21</v>
      </c>
      <c r="E288" t="s">
        <v>850</v>
      </c>
      <c r="F288" t="s">
        <v>78</v>
      </c>
      <c r="G288" t="s">
        <v>851</v>
      </c>
      <c r="H288" t="s">
        <v>48</v>
      </c>
      <c r="I288" t="s">
        <v>33</v>
      </c>
      <c r="J288">
        <v>4</v>
      </c>
      <c r="K288">
        <v>519</v>
      </c>
      <c r="L288">
        <v>2076</v>
      </c>
      <c r="M288">
        <v>4.4000000000000004</v>
      </c>
      <c r="N288">
        <v>54</v>
      </c>
      <c r="P288">
        <v>0</v>
      </c>
      <c r="Q288" t="s">
        <v>49</v>
      </c>
      <c r="R288">
        <v>46</v>
      </c>
      <c r="S288" t="s">
        <v>28</v>
      </c>
    </row>
    <row r="289" spans="1:19" x14ac:dyDescent="0.3">
      <c r="A289" t="s">
        <v>852</v>
      </c>
      <c r="B289" s="2">
        <v>45474</v>
      </c>
      <c r="C289" t="s">
        <v>59</v>
      </c>
      <c r="D289" t="s">
        <v>44</v>
      </c>
      <c r="E289" t="s">
        <v>853</v>
      </c>
      <c r="F289" t="s">
        <v>450</v>
      </c>
      <c r="G289" t="s">
        <v>227</v>
      </c>
      <c r="H289" t="s">
        <v>80</v>
      </c>
      <c r="I289" t="s">
        <v>26</v>
      </c>
      <c r="J289">
        <v>2</v>
      </c>
      <c r="K289">
        <v>444</v>
      </c>
      <c r="L289">
        <v>888</v>
      </c>
      <c r="O289">
        <v>999</v>
      </c>
      <c r="P289">
        <v>0</v>
      </c>
      <c r="Q289" t="s">
        <v>49</v>
      </c>
      <c r="R289">
        <v>18</v>
      </c>
      <c r="S289" t="s">
        <v>41</v>
      </c>
    </row>
    <row r="290" spans="1:19" x14ac:dyDescent="0.3">
      <c r="A290" t="s">
        <v>854</v>
      </c>
      <c r="B290" s="2">
        <v>45494</v>
      </c>
      <c r="C290" t="s">
        <v>59</v>
      </c>
      <c r="D290" t="s">
        <v>60</v>
      </c>
      <c r="E290" t="s">
        <v>855</v>
      </c>
      <c r="F290" t="s">
        <v>78</v>
      </c>
      <c r="G290" t="s">
        <v>856</v>
      </c>
      <c r="H290" t="s">
        <v>48</v>
      </c>
      <c r="I290" t="s">
        <v>33</v>
      </c>
      <c r="J290">
        <v>3</v>
      </c>
      <c r="K290">
        <v>180</v>
      </c>
      <c r="L290">
        <v>540</v>
      </c>
      <c r="M290">
        <v>4</v>
      </c>
      <c r="N290">
        <v>57</v>
      </c>
      <c r="P290">
        <v>0</v>
      </c>
      <c r="Q290" t="s">
        <v>75</v>
      </c>
      <c r="R290">
        <v>37</v>
      </c>
      <c r="S290" t="s">
        <v>41</v>
      </c>
    </row>
    <row r="291" spans="1:19" x14ac:dyDescent="0.3">
      <c r="A291" t="s">
        <v>857</v>
      </c>
      <c r="B291" s="2">
        <v>45475</v>
      </c>
      <c r="C291" t="s">
        <v>59</v>
      </c>
      <c r="D291" t="s">
        <v>36</v>
      </c>
      <c r="E291" t="s">
        <v>858</v>
      </c>
      <c r="F291" t="s">
        <v>23</v>
      </c>
      <c r="G291" t="s">
        <v>859</v>
      </c>
      <c r="H291" t="s">
        <v>48</v>
      </c>
      <c r="I291" t="s">
        <v>33</v>
      </c>
      <c r="J291">
        <v>4</v>
      </c>
      <c r="K291">
        <v>257</v>
      </c>
      <c r="L291">
        <v>1028</v>
      </c>
      <c r="M291">
        <v>4.0999999999999996</v>
      </c>
      <c r="N291">
        <v>42</v>
      </c>
      <c r="O291">
        <v>700</v>
      </c>
      <c r="P291">
        <v>15</v>
      </c>
      <c r="Q291" t="s">
        <v>49</v>
      </c>
      <c r="R291">
        <v>23</v>
      </c>
      <c r="S291" t="s">
        <v>28</v>
      </c>
    </row>
    <row r="292" spans="1:19" x14ac:dyDescent="0.3">
      <c r="A292" t="s">
        <v>860</v>
      </c>
      <c r="B292" s="2">
        <v>45414</v>
      </c>
      <c r="C292" t="s">
        <v>71</v>
      </c>
      <c r="D292" t="s">
        <v>92</v>
      </c>
      <c r="E292" t="s">
        <v>861</v>
      </c>
      <c r="F292" t="s">
        <v>87</v>
      </c>
      <c r="G292" t="s">
        <v>109</v>
      </c>
      <c r="H292" t="s">
        <v>64</v>
      </c>
      <c r="I292" t="s">
        <v>26</v>
      </c>
      <c r="J292">
        <v>3</v>
      </c>
      <c r="K292">
        <v>169</v>
      </c>
      <c r="L292">
        <v>507</v>
      </c>
      <c r="M292">
        <v>4.4000000000000004</v>
      </c>
      <c r="N292">
        <v>50</v>
      </c>
      <c r="O292">
        <v>75</v>
      </c>
      <c r="P292">
        <v>30</v>
      </c>
      <c r="Q292" t="s">
        <v>75</v>
      </c>
      <c r="R292">
        <v>46</v>
      </c>
      <c r="S292" t="s">
        <v>41</v>
      </c>
    </row>
    <row r="293" spans="1:19" x14ac:dyDescent="0.3">
      <c r="A293" t="s">
        <v>862</v>
      </c>
      <c r="B293" s="2">
        <v>45436</v>
      </c>
      <c r="C293" t="s">
        <v>71</v>
      </c>
      <c r="D293" t="s">
        <v>21</v>
      </c>
      <c r="E293" t="s">
        <v>863</v>
      </c>
      <c r="F293" t="s">
        <v>115</v>
      </c>
      <c r="G293" t="s">
        <v>864</v>
      </c>
      <c r="H293" t="s">
        <v>80</v>
      </c>
      <c r="I293" t="s">
        <v>26</v>
      </c>
      <c r="J293">
        <v>2</v>
      </c>
      <c r="K293">
        <v>378</v>
      </c>
      <c r="L293">
        <v>756</v>
      </c>
      <c r="M293">
        <v>4.2</v>
      </c>
      <c r="N293">
        <v>44</v>
      </c>
      <c r="P293">
        <v>0</v>
      </c>
      <c r="Q293" t="s">
        <v>49</v>
      </c>
      <c r="R293">
        <v>32</v>
      </c>
      <c r="S293" t="s">
        <v>28</v>
      </c>
    </row>
    <row r="294" spans="1:19" x14ac:dyDescent="0.3">
      <c r="A294" t="s">
        <v>865</v>
      </c>
      <c r="B294" s="2">
        <v>45329</v>
      </c>
      <c r="C294" t="s">
        <v>113</v>
      </c>
      <c r="D294" t="s">
        <v>72</v>
      </c>
      <c r="E294" t="s">
        <v>866</v>
      </c>
      <c r="F294" t="s">
        <v>78</v>
      </c>
      <c r="G294" t="s">
        <v>867</v>
      </c>
      <c r="H294" t="s">
        <v>80</v>
      </c>
      <c r="I294" t="s">
        <v>26</v>
      </c>
      <c r="J294">
        <v>4</v>
      </c>
      <c r="K294">
        <v>580</v>
      </c>
      <c r="L294">
        <v>2320</v>
      </c>
      <c r="M294">
        <v>4.4000000000000004</v>
      </c>
      <c r="N294">
        <v>49</v>
      </c>
      <c r="P294">
        <v>0</v>
      </c>
      <c r="Q294" t="s">
        <v>34</v>
      </c>
      <c r="R294">
        <v>43</v>
      </c>
      <c r="S294" t="s">
        <v>41</v>
      </c>
    </row>
    <row r="295" spans="1:19" x14ac:dyDescent="0.3">
      <c r="A295" t="s">
        <v>868</v>
      </c>
      <c r="B295" s="2">
        <v>45315</v>
      </c>
      <c r="C295" t="s">
        <v>43</v>
      </c>
      <c r="D295" t="s">
        <v>72</v>
      </c>
      <c r="E295" t="s">
        <v>869</v>
      </c>
      <c r="F295" t="s">
        <v>46</v>
      </c>
      <c r="G295" t="s">
        <v>154</v>
      </c>
      <c r="H295" t="s">
        <v>80</v>
      </c>
      <c r="I295" t="s">
        <v>26</v>
      </c>
      <c r="J295">
        <v>3</v>
      </c>
      <c r="K295">
        <v>226</v>
      </c>
      <c r="L295">
        <v>678</v>
      </c>
      <c r="O295">
        <v>150</v>
      </c>
      <c r="P295">
        <v>30</v>
      </c>
      <c r="Q295" t="s">
        <v>75</v>
      </c>
      <c r="R295">
        <v>43</v>
      </c>
      <c r="S295" t="s">
        <v>28</v>
      </c>
    </row>
    <row r="296" spans="1:19" x14ac:dyDescent="0.3">
      <c r="A296" t="s">
        <v>870</v>
      </c>
      <c r="B296" s="2">
        <v>45360</v>
      </c>
      <c r="C296" t="s">
        <v>55</v>
      </c>
      <c r="D296" t="s">
        <v>100</v>
      </c>
      <c r="E296" t="s">
        <v>871</v>
      </c>
      <c r="F296" t="s">
        <v>78</v>
      </c>
      <c r="G296" t="s">
        <v>227</v>
      </c>
      <c r="H296" t="s">
        <v>80</v>
      </c>
      <c r="I296" t="s">
        <v>26</v>
      </c>
      <c r="J296">
        <v>2</v>
      </c>
      <c r="K296">
        <v>232</v>
      </c>
      <c r="L296">
        <v>464</v>
      </c>
      <c r="M296">
        <v>4.2</v>
      </c>
      <c r="N296">
        <v>49</v>
      </c>
      <c r="O296">
        <v>449</v>
      </c>
      <c r="P296">
        <v>0</v>
      </c>
      <c r="Q296" t="s">
        <v>27</v>
      </c>
      <c r="R296">
        <v>31</v>
      </c>
      <c r="S296" t="s">
        <v>41</v>
      </c>
    </row>
    <row r="297" spans="1:19" x14ac:dyDescent="0.3">
      <c r="A297" t="s">
        <v>872</v>
      </c>
      <c r="B297" s="2">
        <v>45407</v>
      </c>
      <c r="C297" t="s">
        <v>20</v>
      </c>
      <c r="D297" t="s">
        <v>92</v>
      </c>
      <c r="E297" t="s">
        <v>873</v>
      </c>
      <c r="F297" t="s">
        <v>78</v>
      </c>
      <c r="G297" t="s">
        <v>520</v>
      </c>
      <c r="H297" t="s">
        <v>64</v>
      </c>
      <c r="I297" t="s">
        <v>26</v>
      </c>
      <c r="J297">
        <v>1</v>
      </c>
      <c r="K297">
        <v>469</v>
      </c>
      <c r="L297">
        <v>469</v>
      </c>
      <c r="M297">
        <v>4.4000000000000004</v>
      </c>
      <c r="N297">
        <v>38</v>
      </c>
      <c r="O297">
        <v>449</v>
      </c>
      <c r="P297">
        <v>0</v>
      </c>
      <c r="Q297" t="s">
        <v>34</v>
      </c>
      <c r="R297">
        <v>37</v>
      </c>
      <c r="S297" t="s">
        <v>41</v>
      </c>
    </row>
    <row r="298" spans="1:19" x14ac:dyDescent="0.3">
      <c r="A298" t="s">
        <v>874</v>
      </c>
      <c r="B298" s="2">
        <v>45389</v>
      </c>
      <c r="C298" t="s">
        <v>20</v>
      </c>
      <c r="D298" t="s">
        <v>60</v>
      </c>
      <c r="E298" t="s">
        <v>875</v>
      </c>
      <c r="F298" t="s">
        <v>62</v>
      </c>
      <c r="G298" t="s">
        <v>876</v>
      </c>
      <c r="H298" t="s">
        <v>80</v>
      </c>
      <c r="I298" t="s">
        <v>26</v>
      </c>
      <c r="J298">
        <v>2</v>
      </c>
      <c r="K298">
        <v>373</v>
      </c>
      <c r="L298">
        <v>746</v>
      </c>
      <c r="M298">
        <v>4.4000000000000004</v>
      </c>
      <c r="N298">
        <v>39</v>
      </c>
      <c r="O298">
        <v>599</v>
      </c>
      <c r="P298">
        <v>0</v>
      </c>
      <c r="Q298" t="s">
        <v>75</v>
      </c>
      <c r="R298">
        <v>32</v>
      </c>
      <c r="S298" t="s">
        <v>41</v>
      </c>
    </row>
    <row r="299" spans="1:19" x14ac:dyDescent="0.3">
      <c r="A299" t="s">
        <v>877</v>
      </c>
      <c r="B299" s="2">
        <v>45489</v>
      </c>
      <c r="C299" t="s">
        <v>59</v>
      </c>
      <c r="D299" t="s">
        <v>36</v>
      </c>
      <c r="E299" t="s">
        <v>878</v>
      </c>
      <c r="F299" t="s">
        <v>78</v>
      </c>
      <c r="G299" t="s">
        <v>879</v>
      </c>
      <c r="H299" t="s">
        <v>48</v>
      </c>
      <c r="I299" t="s">
        <v>33</v>
      </c>
      <c r="J299">
        <v>1</v>
      </c>
      <c r="K299">
        <v>237</v>
      </c>
      <c r="L299">
        <v>237</v>
      </c>
      <c r="M299">
        <v>4.4000000000000004</v>
      </c>
      <c r="N299">
        <v>40</v>
      </c>
      <c r="O299">
        <v>599</v>
      </c>
      <c r="P299">
        <v>0</v>
      </c>
      <c r="Q299" t="s">
        <v>75</v>
      </c>
      <c r="R299">
        <v>31</v>
      </c>
      <c r="S299" t="s">
        <v>41</v>
      </c>
    </row>
    <row r="300" spans="1:19" x14ac:dyDescent="0.3">
      <c r="A300" t="s">
        <v>880</v>
      </c>
      <c r="B300" s="2">
        <v>45505</v>
      </c>
      <c r="C300" t="s">
        <v>82</v>
      </c>
      <c r="D300" t="s">
        <v>92</v>
      </c>
      <c r="E300" t="s">
        <v>881</v>
      </c>
      <c r="F300" t="s">
        <v>192</v>
      </c>
      <c r="G300" t="s">
        <v>882</v>
      </c>
      <c r="H300" t="s">
        <v>53</v>
      </c>
      <c r="I300" t="s">
        <v>26</v>
      </c>
      <c r="J300">
        <v>3</v>
      </c>
      <c r="K300">
        <v>317</v>
      </c>
      <c r="L300">
        <v>951</v>
      </c>
      <c r="M300">
        <v>4.4000000000000004</v>
      </c>
      <c r="N300">
        <v>50</v>
      </c>
      <c r="O300">
        <v>800</v>
      </c>
      <c r="P300">
        <v>15</v>
      </c>
      <c r="Q300" t="s">
        <v>27</v>
      </c>
      <c r="R300">
        <v>42</v>
      </c>
      <c r="S300" t="s">
        <v>28</v>
      </c>
    </row>
    <row r="301" spans="1:19" x14ac:dyDescent="0.3">
      <c r="A301" t="s">
        <v>883</v>
      </c>
      <c r="B301" s="2">
        <v>45430</v>
      </c>
      <c r="C301" t="s">
        <v>71</v>
      </c>
      <c r="D301" t="s">
        <v>100</v>
      </c>
      <c r="E301" t="s">
        <v>884</v>
      </c>
      <c r="F301" t="s">
        <v>87</v>
      </c>
      <c r="G301" t="s">
        <v>64</v>
      </c>
      <c r="H301" t="s">
        <v>64</v>
      </c>
      <c r="I301" t="s">
        <v>26</v>
      </c>
      <c r="J301">
        <v>4</v>
      </c>
      <c r="K301">
        <v>456</v>
      </c>
      <c r="L301">
        <v>1824</v>
      </c>
      <c r="M301">
        <v>4.5999999999999996</v>
      </c>
      <c r="N301">
        <v>48</v>
      </c>
      <c r="O301">
        <v>1199</v>
      </c>
      <c r="P301">
        <v>0</v>
      </c>
      <c r="Q301" t="s">
        <v>75</v>
      </c>
      <c r="R301">
        <v>38</v>
      </c>
      <c r="S301" t="s">
        <v>28</v>
      </c>
    </row>
    <row r="302" spans="1:19" x14ac:dyDescent="0.3">
      <c r="A302" t="s">
        <v>885</v>
      </c>
      <c r="B302" s="2">
        <v>45531</v>
      </c>
      <c r="C302" t="s">
        <v>82</v>
      </c>
      <c r="D302" t="s">
        <v>36</v>
      </c>
      <c r="E302" t="s">
        <v>886</v>
      </c>
      <c r="F302" t="s">
        <v>517</v>
      </c>
      <c r="G302" t="s">
        <v>887</v>
      </c>
      <c r="H302" t="s">
        <v>48</v>
      </c>
      <c r="I302" t="s">
        <v>33</v>
      </c>
      <c r="J302">
        <v>4</v>
      </c>
      <c r="K302">
        <v>484</v>
      </c>
      <c r="L302">
        <v>1936</v>
      </c>
      <c r="M302">
        <v>3.8</v>
      </c>
      <c r="N302">
        <v>43</v>
      </c>
      <c r="O302">
        <v>449</v>
      </c>
      <c r="P302">
        <v>0</v>
      </c>
      <c r="Q302" t="s">
        <v>49</v>
      </c>
      <c r="R302">
        <v>41</v>
      </c>
      <c r="S302" t="s">
        <v>28</v>
      </c>
    </row>
    <row r="303" spans="1:19" x14ac:dyDescent="0.3">
      <c r="A303" t="s">
        <v>888</v>
      </c>
      <c r="B303" s="2">
        <v>45435</v>
      </c>
      <c r="C303" t="s">
        <v>71</v>
      </c>
      <c r="D303" t="s">
        <v>92</v>
      </c>
      <c r="E303" t="s">
        <v>889</v>
      </c>
      <c r="F303" t="s">
        <v>78</v>
      </c>
      <c r="G303" t="s">
        <v>890</v>
      </c>
      <c r="H303" t="s">
        <v>48</v>
      </c>
      <c r="I303" t="s">
        <v>33</v>
      </c>
      <c r="J303">
        <v>3</v>
      </c>
      <c r="K303">
        <v>170</v>
      </c>
      <c r="L303">
        <v>510</v>
      </c>
      <c r="M303">
        <v>4.2</v>
      </c>
      <c r="N303">
        <v>80</v>
      </c>
      <c r="O303">
        <v>1200</v>
      </c>
      <c r="P303">
        <v>15</v>
      </c>
      <c r="Q303" t="s">
        <v>27</v>
      </c>
      <c r="R303">
        <v>42</v>
      </c>
      <c r="S303" t="s">
        <v>28</v>
      </c>
    </row>
    <row r="304" spans="1:19" x14ac:dyDescent="0.3">
      <c r="A304" t="s">
        <v>891</v>
      </c>
      <c r="B304" s="2">
        <v>45388</v>
      </c>
      <c r="C304" t="s">
        <v>20</v>
      </c>
      <c r="D304" t="s">
        <v>100</v>
      </c>
      <c r="E304" t="s">
        <v>892</v>
      </c>
      <c r="F304" t="s">
        <v>450</v>
      </c>
      <c r="G304" t="s">
        <v>893</v>
      </c>
      <c r="H304" t="s">
        <v>80</v>
      </c>
      <c r="I304" t="s">
        <v>26</v>
      </c>
      <c r="J304">
        <v>4</v>
      </c>
      <c r="K304">
        <v>364</v>
      </c>
      <c r="L304">
        <v>1456</v>
      </c>
      <c r="M304">
        <v>4.5999999999999996</v>
      </c>
      <c r="N304">
        <v>47</v>
      </c>
      <c r="P304">
        <v>0</v>
      </c>
      <c r="Q304" t="s">
        <v>34</v>
      </c>
      <c r="R304">
        <v>43</v>
      </c>
      <c r="S304" t="s">
        <v>28</v>
      </c>
    </row>
    <row r="305" spans="1:19" x14ac:dyDescent="0.3">
      <c r="A305" t="s">
        <v>894</v>
      </c>
      <c r="B305" s="2">
        <v>45492</v>
      </c>
      <c r="C305" t="s">
        <v>59</v>
      </c>
      <c r="D305" t="s">
        <v>21</v>
      </c>
      <c r="E305" t="s">
        <v>895</v>
      </c>
      <c r="F305" t="s">
        <v>78</v>
      </c>
      <c r="G305" t="s">
        <v>896</v>
      </c>
      <c r="H305" t="s">
        <v>80</v>
      </c>
      <c r="I305" t="s">
        <v>26</v>
      </c>
      <c r="J305">
        <v>4</v>
      </c>
      <c r="K305">
        <v>522</v>
      </c>
      <c r="L305">
        <v>2088</v>
      </c>
      <c r="M305">
        <v>4.4000000000000004</v>
      </c>
      <c r="N305">
        <v>48</v>
      </c>
      <c r="O305">
        <v>749</v>
      </c>
      <c r="P305">
        <v>0</v>
      </c>
      <c r="Q305" t="s">
        <v>34</v>
      </c>
      <c r="R305">
        <v>22</v>
      </c>
      <c r="S305" t="s">
        <v>28</v>
      </c>
    </row>
    <row r="306" spans="1:19" x14ac:dyDescent="0.3">
      <c r="A306" t="s">
        <v>897</v>
      </c>
      <c r="B306" s="2">
        <v>45415</v>
      </c>
      <c r="C306" t="s">
        <v>71</v>
      </c>
      <c r="D306" t="s">
        <v>21</v>
      </c>
      <c r="E306" t="s">
        <v>898</v>
      </c>
      <c r="F306" t="s">
        <v>824</v>
      </c>
      <c r="G306" t="s">
        <v>899</v>
      </c>
      <c r="H306" t="s">
        <v>48</v>
      </c>
      <c r="I306" t="s">
        <v>33</v>
      </c>
      <c r="J306">
        <v>1</v>
      </c>
      <c r="K306">
        <v>545</v>
      </c>
      <c r="L306">
        <v>545</v>
      </c>
      <c r="M306">
        <v>4.2</v>
      </c>
      <c r="N306">
        <v>59</v>
      </c>
      <c r="P306">
        <v>0</v>
      </c>
      <c r="Q306" t="s">
        <v>49</v>
      </c>
      <c r="R306">
        <v>23</v>
      </c>
      <c r="S306" t="s">
        <v>28</v>
      </c>
    </row>
    <row r="307" spans="1:19" x14ac:dyDescent="0.3">
      <c r="A307" t="s">
        <v>900</v>
      </c>
      <c r="B307" s="2">
        <v>45478</v>
      </c>
      <c r="C307" t="s">
        <v>59</v>
      </c>
      <c r="D307" t="s">
        <v>21</v>
      </c>
      <c r="E307" t="s">
        <v>901</v>
      </c>
      <c r="F307" t="s">
        <v>78</v>
      </c>
      <c r="G307" t="s">
        <v>902</v>
      </c>
      <c r="H307" t="s">
        <v>80</v>
      </c>
      <c r="I307" t="s">
        <v>26</v>
      </c>
      <c r="J307">
        <v>3</v>
      </c>
      <c r="K307">
        <v>154</v>
      </c>
      <c r="L307">
        <v>462</v>
      </c>
      <c r="M307">
        <v>4.4000000000000004</v>
      </c>
      <c r="N307">
        <v>49</v>
      </c>
      <c r="P307">
        <v>0</v>
      </c>
      <c r="Q307" t="s">
        <v>34</v>
      </c>
      <c r="R307">
        <v>34</v>
      </c>
      <c r="S307" t="s">
        <v>41</v>
      </c>
    </row>
    <row r="308" spans="1:19" x14ac:dyDescent="0.3">
      <c r="A308" t="s">
        <v>903</v>
      </c>
      <c r="B308" s="2">
        <v>45361</v>
      </c>
      <c r="C308" t="s">
        <v>55</v>
      </c>
      <c r="D308" t="s">
        <v>60</v>
      </c>
      <c r="E308" t="s">
        <v>904</v>
      </c>
      <c r="F308" t="s">
        <v>102</v>
      </c>
      <c r="G308" t="s">
        <v>154</v>
      </c>
      <c r="H308" t="s">
        <v>80</v>
      </c>
      <c r="I308" t="s">
        <v>26</v>
      </c>
      <c r="J308">
        <v>2</v>
      </c>
      <c r="K308">
        <v>421</v>
      </c>
      <c r="L308">
        <v>842</v>
      </c>
      <c r="M308">
        <v>4.5</v>
      </c>
      <c r="N308">
        <v>41</v>
      </c>
      <c r="P308">
        <v>0</v>
      </c>
      <c r="Q308" t="s">
        <v>75</v>
      </c>
      <c r="R308">
        <v>28</v>
      </c>
      <c r="S308" t="s">
        <v>41</v>
      </c>
    </row>
    <row r="309" spans="1:19" x14ac:dyDescent="0.3">
      <c r="A309" t="s">
        <v>905</v>
      </c>
      <c r="B309" s="2">
        <v>45499</v>
      </c>
      <c r="C309" t="s">
        <v>59</v>
      </c>
      <c r="D309" t="s">
        <v>21</v>
      </c>
      <c r="E309" t="s">
        <v>906</v>
      </c>
      <c r="F309" t="s">
        <v>87</v>
      </c>
      <c r="G309" t="s">
        <v>154</v>
      </c>
      <c r="H309" t="s">
        <v>80</v>
      </c>
      <c r="I309" t="s">
        <v>26</v>
      </c>
      <c r="J309">
        <v>1</v>
      </c>
      <c r="K309">
        <v>529</v>
      </c>
      <c r="L309">
        <v>529</v>
      </c>
      <c r="M309">
        <v>4.4000000000000004</v>
      </c>
      <c r="N309">
        <v>40</v>
      </c>
      <c r="P309">
        <v>0</v>
      </c>
      <c r="Q309" t="s">
        <v>75</v>
      </c>
      <c r="R309">
        <v>33</v>
      </c>
      <c r="S309" t="s">
        <v>41</v>
      </c>
    </row>
    <row r="310" spans="1:19" x14ac:dyDescent="0.3">
      <c r="A310" t="s">
        <v>907</v>
      </c>
      <c r="B310" s="2">
        <v>45384</v>
      </c>
      <c r="C310" t="s">
        <v>20</v>
      </c>
      <c r="D310" t="s">
        <v>36</v>
      </c>
      <c r="E310" t="s">
        <v>908</v>
      </c>
      <c r="F310" t="s">
        <v>62</v>
      </c>
      <c r="G310" t="s">
        <v>909</v>
      </c>
      <c r="H310" t="s">
        <v>80</v>
      </c>
      <c r="I310" t="s">
        <v>26</v>
      </c>
      <c r="J310">
        <v>3</v>
      </c>
      <c r="K310">
        <v>188</v>
      </c>
      <c r="L310">
        <v>564</v>
      </c>
      <c r="M310">
        <v>4.2</v>
      </c>
      <c r="N310">
        <v>40</v>
      </c>
      <c r="O310">
        <v>499</v>
      </c>
      <c r="P310">
        <v>0</v>
      </c>
      <c r="Q310" t="s">
        <v>49</v>
      </c>
      <c r="R310">
        <v>29</v>
      </c>
      <c r="S310" t="s">
        <v>41</v>
      </c>
    </row>
    <row r="311" spans="1:19" x14ac:dyDescent="0.3">
      <c r="A311" t="s">
        <v>910</v>
      </c>
      <c r="B311" s="2">
        <v>45294</v>
      </c>
      <c r="C311" t="s">
        <v>43</v>
      </c>
      <c r="D311" t="s">
        <v>72</v>
      </c>
      <c r="E311" t="s">
        <v>911</v>
      </c>
      <c r="F311" t="s">
        <v>912</v>
      </c>
      <c r="G311" t="s">
        <v>913</v>
      </c>
      <c r="H311" t="s">
        <v>53</v>
      </c>
      <c r="I311" t="s">
        <v>26</v>
      </c>
      <c r="J311">
        <v>1</v>
      </c>
      <c r="K311">
        <v>468</v>
      </c>
      <c r="L311">
        <v>468</v>
      </c>
      <c r="M311">
        <v>3.9</v>
      </c>
      <c r="N311">
        <v>41</v>
      </c>
      <c r="O311">
        <v>700</v>
      </c>
      <c r="P311">
        <v>20</v>
      </c>
      <c r="Q311" t="s">
        <v>34</v>
      </c>
      <c r="R311">
        <v>32</v>
      </c>
      <c r="S311" t="s">
        <v>28</v>
      </c>
    </row>
    <row r="312" spans="1:19" x14ac:dyDescent="0.3">
      <c r="A312" t="s">
        <v>914</v>
      </c>
      <c r="B312" s="2">
        <v>45439</v>
      </c>
      <c r="C312" t="s">
        <v>71</v>
      </c>
      <c r="D312" t="s">
        <v>44</v>
      </c>
      <c r="E312" t="s">
        <v>915</v>
      </c>
      <c r="F312" t="s">
        <v>192</v>
      </c>
      <c r="G312" t="s">
        <v>916</v>
      </c>
      <c r="H312" t="s">
        <v>64</v>
      </c>
      <c r="I312" t="s">
        <v>26</v>
      </c>
      <c r="J312">
        <v>2</v>
      </c>
      <c r="K312">
        <v>439</v>
      </c>
      <c r="L312">
        <v>878</v>
      </c>
      <c r="M312">
        <v>4.7</v>
      </c>
      <c r="N312">
        <v>41</v>
      </c>
      <c r="O312">
        <v>1199</v>
      </c>
      <c r="P312">
        <v>0</v>
      </c>
      <c r="Q312" t="s">
        <v>34</v>
      </c>
      <c r="R312">
        <v>40</v>
      </c>
      <c r="S312" t="s">
        <v>28</v>
      </c>
    </row>
    <row r="313" spans="1:19" x14ac:dyDescent="0.3">
      <c r="A313" t="s">
        <v>917</v>
      </c>
      <c r="B313" s="2">
        <v>45478</v>
      </c>
      <c r="C313" t="s">
        <v>59</v>
      </c>
      <c r="D313" t="s">
        <v>21</v>
      </c>
      <c r="E313" t="s">
        <v>918</v>
      </c>
      <c r="F313" t="s">
        <v>192</v>
      </c>
      <c r="G313" t="s">
        <v>919</v>
      </c>
      <c r="H313" t="s">
        <v>80</v>
      </c>
      <c r="I313" t="s">
        <v>26</v>
      </c>
      <c r="J313">
        <v>2</v>
      </c>
      <c r="K313">
        <v>540</v>
      </c>
      <c r="L313">
        <v>1080</v>
      </c>
      <c r="M313">
        <v>4.2</v>
      </c>
      <c r="N313">
        <v>44</v>
      </c>
      <c r="O313">
        <v>1000</v>
      </c>
      <c r="P313">
        <v>10</v>
      </c>
      <c r="Q313" t="s">
        <v>49</v>
      </c>
      <c r="R313">
        <v>21</v>
      </c>
      <c r="S313" t="s">
        <v>28</v>
      </c>
    </row>
    <row r="314" spans="1:19" x14ac:dyDescent="0.3">
      <c r="A314" t="s">
        <v>920</v>
      </c>
      <c r="B314" s="2">
        <v>45455</v>
      </c>
      <c r="C314" t="s">
        <v>30</v>
      </c>
      <c r="D314" t="s">
        <v>72</v>
      </c>
      <c r="E314" t="s">
        <v>921</v>
      </c>
      <c r="F314" t="s">
        <v>78</v>
      </c>
      <c r="G314" t="s">
        <v>922</v>
      </c>
      <c r="H314" t="s">
        <v>80</v>
      </c>
      <c r="I314" t="s">
        <v>26</v>
      </c>
      <c r="J314">
        <v>3</v>
      </c>
      <c r="K314">
        <v>587</v>
      </c>
      <c r="L314">
        <v>1761</v>
      </c>
      <c r="M314">
        <v>4.5</v>
      </c>
      <c r="N314">
        <v>55</v>
      </c>
      <c r="O314">
        <v>399</v>
      </c>
      <c r="P314">
        <v>0</v>
      </c>
      <c r="Q314" t="s">
        <v>27</v>
      </c>
      <c r="R314">
        <v>44</v>
      </c>
      <c r="S314" t="s">
        <v>41</v>
      </c>
    </row>
    <row r="315" spans="1:19" x14ac:dyDescent="0.3">
      <c r="A315" t="s">
        <v>923</v>
      </c>
      <c r="B315" s="2">
        <v>45438</v>
      </c>
      <c r="C315" t="s">
        <v>71</v>
      </c>
      <c r="D315" t="s">
        <v>60</v>
      </c>
      <c r="E315" t="s">
        <v>924</v>
      </c>
      <c r="F315" t="s">
        <v>925</v>
      </c>
      <c r="G315" t="s">
        <v>373</v>
      </c>
      <c r="H315" t="s">
        <v>80</v>
      </c>
      <c r="I315" t="s">
        <v>26</v>
      </c>
      <c r="J315">
        <v>2</v>
      </c>
      <c r="K315">
        <v>168</v>
      </c>
      <c r="L315">
        <v>336</v>
      </c>
      <c r="M315">
        <v>4.3</v>
      </c>
      <c r="N315">
        <v>45</v>
      </c>
      <c r="O315">
        <v>499</v>
      </c>
      <c r="P315">
        <v>0</v>
      </c>
      <c r="Q315" t="s">
        <v>34</v>
      </c>
      <c r="R315">
        <v>35</v>
      </c>
      <c r="S315" t="s">
        <v>28</v>
      </c>
    </row>
    <row r="316" spans="1:19" x14ac:dyDescent="0.3">
      <c r="A316" t="s">
        <v>926</v>
      </c>
      <c r="B316" s="2">
        <v>45381</v>
      </c>
      <c r="C316" t="s">
        <v>55</v>
      </c>
      <c r="D316" t="s">
        <v>100</v>
      </c>
      <c r="E316" t="s">
        <v>927</v>
      </c>
      <c r="F316" t="s">
        <v>46</v>
      </c>
      <c r="G316" t="s">
        <v>928</v>
      </c>
      <c r="H316" t="s">
        <v>80</v>
      </c>
      <c r="I316" t="s">
        <v>26</v>
      </c>
      <c r="J316">
        <v>1</v>
      </c>
      <c r="K316">
        <v>524</v>
      </c>
      <c r="L316">
        <v>524</v>
      </c>
      <c r="M316">
        <v>4.5999999999999996</v>
      </c>
      <c r="N316">
        <v>15</v>
      </c>
      <c r="O316">
        <v>75</v>
      </c>
      <c r="P316">
        <v>30</v>
      </c>
      <c r="Q316" t="s">
        <v>27</v>
      </c>
      <c r="R316">
        <v>38</v>
      </c>
      <c r="S316" t="s">
        <v>41</v>
      </c>
    </row>
    <row r="317" spans="1:19" x14ac:dyDescent="0.3">
      <c r="A317" t="s">
        <v>929</v>
      </c>
      <c r="B317" s="2">
        <v>45486</v>
      </c>
      <c r="C317" t="s">
        <v>59</v>
      </c>
      <c r="D317" t="s">
        <v>100</v>
      </c>
      <c r="E317" t="s">
        <v>930</v>
      </c>
      <c r="F317" t="s">
        <v>931</v>
      </c>
      <c r="G317" t="s">
        <v>932</v>
      </c>
      <c r="H317" t="s">
        <v>53</v>
      </c>
      <c r="I317" t="s">
        <v>26</v>
      </c>
      <c r="J317">
        <v>2</v>
      </c>
      <c r="K317">
        <v>193</v>
      </c>
      <c r="L317">
        <v>386</v>
      </c>
      <c r="M317">
        <v>4.4000000000000004</v>
      </c>
      <c r="N317">
        <v>26</v>
      </c>
      <c r="O317">
        <v>50</v>
      </c>
      <c r="P317">
        <v>20</v>
      </c>
      <c r="Q317" t="s">
        <v>34</v>
      </c>
      <c r="R317">
        <v>45</v>
      </c>
      <c r="S317" t="s">
        <v>28</v>
      </c>
    </row>
    <row r="318" spans="1:19" x14ac:dyDescent="0.3">
      <c r="A318" t="s">
        <v>933</v>
      </c>
      <c r="B318" s="2">
        <v>45438</v>
      </c>
      <c r="C318" t="s">
        <v>71</v>
      </c>
      <c r="D318" t="s">
        <v>60</v>
      </c>
      <c r="E318" t="s">
        <v>934</v>
      </c>
      <c r="F318" t="s">
        <v>46</v>
      </c>
      <c r="G318" t="s">
        <v>935</v>
      </c>
      <c r="H318" t="s">
        <v>48</v>
      </c>
      <c r="I318" t="s">
        <v>33</v>
      </c>
      <c r="J318">
        <v>1</v>
      </c>
      <c r="K318">
        <v>311</v>
      </c>
      <c r="L318">
        <v>311</v>
      </c>
      <c r="M318">
        <v>4.5999999999999996</v>
      </c>
      <c r="N318">
        <v>53</v>
      </c>
      <c r="P318">
        <v>0</v>
      </c>
      <c r="Q318" t="s">
        <v>34</v>
      </c>
      <c r="R318">
        <v>20</v>
      </c>
      <c r="S318" t="s">
        <v>28</v>
      </c>
    </row>
    <row r="319" spans="1:19" x14ac:dyDescent="0.3">
      <c r="A319" t="s">
        <v>936</v>
      </c>
      <c r="B319" s="2">
        <v>45439</v>
      </c>
      <c r="C319" t="s">
        <v>71</v>
      </c>
      <c r="D319" t="s">
        <v>44</v>
      </c>
      <c r="E319" t="s">
        <v>937</v>
      </c>
      <c r="F319" t="s">
        <v>938</v>
      </c>
      <c r="G319" t="s">
        <v>594</v>
      </c>
      <c r="H319" t="s">
        <v>80</v>
      </c>
      <c r="I319" t="s">
        <v>26</v>
      </c>
      <c r="J319">
        <v>1</v>
      </c>
      <c r="K319">
        <v>380</v>
      </c>
      <c r="L319">
        <v>380</v>
      </c>
      <c r="M319">
        <v>4.4000000000000004</v>
      </c>
      <c r="N319">
        <v>28</v>
      </c>
      <c r="O319">
        <v>50</v>
      </c>
      <c r="P319">
        <v>20</v>
      </c>
      <c r="Q319" t="s">
        <v>34</v>
      </c>
      <c r="R319">
        <v>39</v>
      </c>
      <c r="S319" t="s">
        <v>28</v>
      </c>
    </row>
    <row r="320" spans="1:19" x14ac:dyDescent="0.3">
      <c r="A320" t="s">
        <v>939</v>
      </c>
      <c r="B320" s="2">
        <v>45387</v>
      </c>
      <c r="C320" t="s">
        <v>20</v>
      </c>
      <c r="D320" t="s">
        <v>21</v>
      </c>
      <c r="E320" t="s">
        <v>940</v>
      </c>
      <c r="F320" t="s">
        <v>38</v>
      </c>
      <c r="G320" t="s">
        <v>941</v>
      </c>
      <c r="H320" t="s">
        <v>25</v>
      </c>
      <c r="I320" t="s">
        <v>26</v>
      </c>
      <c r="J320">
        <v>2</v>
      </c>
      <c r="K320">
        <v>475</v>
      </c>
      <c r="L320">
        <v>950</v>
      </c>
      <c r="M320">
        <v>4.5</v>
      </c>
      <c r="N320">
        <v>26</v>
      </c>
      <c r="P320">
        <v>0</v>
      </c>
      <c r="Q320" t="s">
        <v>34</v>
      </c>
      <c r="R320">
        <v>25</v>
      </c>
      <c r="S320" t="s">
        <v>28</v>
      </c>
    </row>
    <row r="321" spans="1:19" x14ac:dyDescent="0.3">
      <c r="A321" t="s">
        <v>942</v>
      </c>
      <c r="B321" s="2">
        <v>45490</v>
      </c>
      <c r="C321" t="s">
        <v>59</v>
      </c>
      <c r="D321" t="s">
        <v>72</v>
      </c>
      <c r="E321" t="s">
        <v>943</v>
      </c>
      <c r="F321" t="s">
        <v>192</v>
      </c>
      <c r="G321" t="s">
        <v>944</v>
      </c>
      <c r="H321" t="s">
        <v>48</v>
      </c>
      <c r="I321" t="s">
        <v>33</v>
      </c>
      <c r="J321">
        <v>3</v>
      </c>
      <c r="K321">
        <v>189</v>
      </c>
      <c r="L321">
        <v>567</v>
      </c>
      <c r="M321">
        <v>4</v>
      </c>
      <c r="N321">
        <v>54</v>
      </c>
      <c r="P321">
        <v>0</v>
      </c>
      <c r="Q321" t="s">
        <v>75</v>
      </c>
      <c r="R321">
        <v>40</v>
      </c>
      <c r="S321" t="s">
        <v>41</v>
      </c>
    </row>
    <row r="322" spans="1:19" x14ac:dyDescent="0.3">
      <c r="A322" t="s">
        <v>945</v>
      </c>
      <c r="B322" s="2">
        <v>45343</v>
      </c>
      <c r="C322" t="s">
        <v>113</v>
      </c>
      <c r="D322" t="s">
        <v>72</v>
      </c>
      <c r="E322" t="s">
        <v>946</v>
      </c>
      <c r="F322" t="s">
        <v>192</v>
      </c>
      <c r="G322" t="s">
        <v>947</v>
      </c>
      <c r="H322" t="s">
        <v>80</v>
      </c>
      <c r="I322" t="s">
        <v>33</v>
      </c>
      <c r="J322">
        <v>4</v>
      </c>
      <c r="K322">
        <v>209</v>
      </c>
      <c r="L322">
        <v>836</v>
      </c>
      <c r="M322">
        <v>4.4000000000000004</v>
      </c>
      <c r="N322">
        <v>73</v>
      </c>
      <c r="O322">
        <v>449</v>
      </c>
      <c r="P322">
        <v>0</v>
      </c>
      <c r="Q322" t="s">
        <v>27</v>
      </c>
      <c r="R322">
        <v>49</v>
      </c>
      <c r="S322" t="s">
        <v>41</v>
      </c>
    </row>
    <row r="323" spans="1:19" x14ac:dyDescent="0.3">
      <c r="A323" t="s">
        <v>948</v>
      </c>
      <c r="B323" s="2">
        <v>45524</v>
      </c>
      <c r="C323" t="s">
        <v>82</v>
      </c>
      <c r="D323" t="s">
        <v>36</v>
      </c>
      <c r="E323" t="s">
        <v>949</v>
      </c>
      <c r="F323" t="s">
        <v>578</v>
      </c>
      <c r="G323" t="s">
        <v>950</v>
      </c>
      <c r="H323" t="s">
        <v>80</v>
      </c>
      <c r="I323" t="s">
        <v>26</v>
      </c>
      <c r="J323">
        <v>2</v>
      </c>
      <c r="K323">
        <v>379</v>
      </c>
      <c r="L323">
        <v>758</v>
      </c>
      <c r="M323">
        <v>4.4000000000000004</v>
      </c>
      <c r="N323">
        <v>51</v>
      </c>
      <c r="O323">
        <v>800</v>
      </c>
      <c r="P323">
        <v>10</v>
      </c>
      <c r="Q323" t="s">
        <v>27</v>
      </c>
      <c r="R323">
        <v>20</v>
      </c>
      <c r="S323" t="s">
        <v>28</v>
      </c>
    </row>
    <row r="324" spans="1:19" x14ac:dyDescent="0.3">
      <c r="A324" t="s">
        <v>951</v>
      </c>
      <c r="B324" s="2">
        <v>45452</v>
      </c>
      <c r="C324" t="s">
        <v>30</v>
      </c>
      <c r="D324" t="s">
        <v>60</v>
      </c>
      <c r="E324" t="s">
        <v>952</v>
      </c>
      <c r="F324" t="s">
        <v>925</v>
      </c>
      <c r="G324" t="s">
        <v>953</v>
      </c>
      <c r="H324" t="s">
        <v>40</v>
      </c>
      <c r="I324" t="s">
        <v>26</v>
      </c>
      <c r="J324">
        <v>1</v>
      </c>
      <c r="K324">
        <v>245</v>
      </c>
      <c r="L324">
        <v>245</v>
      </c>
      <c r="M324">
        <v>4.0999999999999996</v>
      </c>
      <c r="N324">
        <v>55</v>
      </c>
      <c r="O324">
        <v>599</v>
      </c>
      <c r="P324">
        <v>0</v>
      </c>
      <c r="Q324" t="s">
        <v>34</v>
      </c>
      <c r="R324">
        <v>25</v>
      </c>
      <c r="S324" t="s">
        <v>41</v>
      </c>
    </row>
    <row r="325" spans="1:19" x14ac:dyDescent="0.3">
      <c r="A325" t="s">
        <v>954</v>
      </c>
      <c r="B325" s="2">
        <v>45459</v>
      </c>
      <c r="C325" t="s">
        <v>30</v>
      </c>
      <c r="D325" t="s">
        <v>60</v>
      </c>
      <c r="E325" t="s">
        <v>955</v>
      </c>
      <c r="F325" t="s">
        <v>956</v>
      </c>
      <c r="G325" t="s">
        <v>957</v>
      </c>
      <c r="H325" t="s">
        <v>80</v>
      </c>
      <c r="I325" t="s">
        <v>26</v>
      </c>
      <c r="J325">
        <v>1</v>
      </c>
      <c r="K325">
        <v>350</v>
      </c>
      <c r="L325">
        <v>350</v>
      </c>
      <c r="M325">
        <v>3.9</v>
      </c>
      <c r="N325">
        <v>53</v>
      </c>
      <c r="P325">
        <v>0</v>
      </c>
      <c r="Q325" t="s">
        <v>34</v>
      </c>
      <c r="R325">
        <v>35</v>
      </c>
      <c r="S325" t="s">
        <v>28</v>
      </c>
    </row>
    <row r="326" spans="1:19" x14ac:dyDescent="0.3">
      <c r="A326" t="s">
        <v>958</v>
      </c>
      <c r="B326" s="2">
        <v>45419</v>
      </c>
      <c r="C326" t="s">
        <v>71</v>
      </c>
      <c r="D326" t="s">
        <v>36</v>
      </c>
      <c r="E326" t="s">
        <v>959</v>
      </c>
      <c r="F326" t="s">
        <v>960</v>
      </c>
      <c r="G326" t="s">
        <v>154</v>
      </c>
      <c r="H326" t="s">
        <v>80</v>
      </c>
      <c r="I326" t="s">
        <v>26</v>
      </c>
      <c r="J326">
        <v>2</v>
      </c>
      <c r="K326">
        <v>414</v>
      </c>
      <c r="L326">
        <v>828</v>
      </c>
      <c r="M326">
        <v>3.4</v>
      </c>
      <c r="N326">
        <v>40</v>
      </c>
      <c r="P326">
        <v>0</v>
      </c>
      <c r="Q326" t="s">
        <v>27</v>
      </c>
      <c r="R326">
        <v>27</v>
      </c>
      <c r="S326" t="s">
        <v>28</v>
      </c>
    </row>
    <row r="327" spans="1:19" x14ac:dyDescent="0.3">
      <c r="A327" t="s">
        <v>961</v>
      </c>
      <c r="B327" s="2">
        <v>45330</v>
      </c>
      <c r="C327" t="s">
        <v>113</v>
      </c>
      <c r="D327" t="s">
        <v>92</v>
      </c>
      <c r="E327" t="s">
        <v>962</v>
      </c>
      <c r="F327" t="s">
        <v>78</v>
      </c>
      <c r="G327" t="s">
        <v>963</v>
      </c>
      <c r="H327" t="s">
        <v>40</v>
      </c>
      <c r="I327" t="s">
        <v>26</v>
      </c>
      <c r="J327">
        <v>3</v>
      </c>
      <c r="K327">
        <v>538</v>
      </c>
      <c r="L327">
        <v>1614</v>
      </c>
      <c r="M327">
        <v>4.0999999999999996</v>
      </c>
      <c r="N327">
        <v>52</v>
      </c>
      <c r="O327">
        <v>449</v>
      </c>
      <c r="P327">
        <v>0</v>
      </c>
      <c r="Q327" t="s">
        <v>75</v>
      </c>
      <c r="R327">
        <v>42</v>
      </c>
      <c r="S327" t="s">
        <v>28</v>
      </c>
    </row>
    <row r="328" spans="1:19" x14ac:dyDescent="0.3">
      <c r="A328" t="s">
        <v>964</v>
      </c>
      <c r="B328" s="2">
        <v>45373</v>
      </c>
      <c r="C328" t="s">
        <v>55</v>
      </c>
      <c r="D328" t="s">
        <v>21</v>
      </c>
      <c r="E328" t="s">
        <v>965</v>
      </c>
      <c r="F328" t="s">
        <v>192</v>
      </c>
      <c r="G328" t="s">
        <v>966</v>
      </c>
      <c r="H328" t="s">
        <v>48</v>
      </c>
      <c r="I328" t="s">
        <v>33</v>
      </c>
      <c r="J328">
        <v>3</v>
      </c>
      <c r="K328">
        <v>248</v>
      </c>
      <c r="L328">
        <v>744</v>
      </c>
      <c r="M328">
        <v>3.9</v>
      </c>
      <c r="N328">
        <v>51</v>
      </c>
      <c r="P328">
        <v>0</v>
      </c>
      <c r="Q328" t="s">
        <v>49</v>
      </c>
      <c r="R328">
        <v>37</v>
      </c>
      <c r="S328" t="s">
        <v>28</v>
      </c>
    </row>
    <row r="329" spans="1:19" x14ac:dyDescent="0.3">
      <c r="A329" t="s">
        <v>967</v>
      </c>
      <c r="B329" s="2">
        <v>45395</v>
      </c>
      <c r="C329" t="s">
        <v>20</v>
      </c>
      <c r="D329" t="s">
        <v>100</v>
      </c>
      <c r="E329" t="s">
        <v>968</v>
      </c>
      <c r="F329" t="s">
        <v>969</v>
      </c>
      <c r="G329" t="s">
        <v>970</v>
      </c>
      <c r="H329" t="s">
        <v>48</v>
      </c>
      <c r="I329" t="s">
        <v>33</v>
      </c>
      <c r="J329">
        <v>1</v>
      </c>
      <c r="K329">
        <v>399</v>
      </c>
      <c r="L329">
        <v>399</v>
      </c>
      <c r="M329">
        <v>4.4000000000000004</v>
      </c>
      <c r="N329">
        <v>67</v>
      </c>
      <c r="O329">
        <v>799</v>
      </c>
      <c r="P329">
        <v>0</v>
      </c>
      <c r="Q329" t="s">
        <v>49</v>
      </c>
      <c r="R329">
        <v>34</v>
      </c>
      <c r="S329" t="s">
        <v>41</v>
      </c>
    </row>
    <row r="330" spans="1:19" x14ac:dyDescent="0.3">
      <c r="A330" t="s">
        <v>971</v>
      </c>
      <c r="B330" s="2">
        <v>45420</v>
      </c>
      <c r="C330" t="s">
        <v>71</v>
      </c>
      <c r="D330" t="s">
        <v>72</v>
      </c>
      <c r="E330" t="s">
        <v>972</v>
      </c>
      <c r="F330" t="s">
        <v>565</v>
      </c>
      <c r="G330" t="s">
        <v>973</v>
      </c>
      <c r="H330" t="s">
        <v>64</v>
      </c>
      <c r="I330" t="s">
        <v>26</v>
      </c>
      <c r="J330">
        <v>1</v>
      </c>
      <c r="K330">
        <v>432</v>
      </c>
      <c r="L330">
        <v>432</v>
      </c>
      <c r="M330">
        <v>4</v>
      </c>
      <c r="N330">
        <v>39</v>
      </c>
      <c r="O330">
        <v>159</v>
      </c>
      <c r="P330">
        <v>0</v>
      </c>
      <c r="Q330" t="s">
        <v>27</v>
      </c>
      <c r="R330">
        <v>25</v>
      </c>
      <c r="S330" t="s">
        <v>28</v>
      </c>
    </row>
    <row r="331" spans="1:19" x14ac:dyDescent="0.3">
      <c r="A331" t="s">
        <v>974</v>
      </c>
      <c r="B331" s="2">
        <v>45302</v>
      </c>
      <c r="C331" t="s">
        <v>43</v>
      </c>
      <c r="D331" t="s">
        <v>92</v>
      </c>
      <c r="E331" t="s">
        <v>975</v>
      </c>
      <c r="F331" t="s">
        <v>513</v>
      </c>
      <c r="G331" t="s">
        <v>752</v>
      </c>
      <c r="H331" t="s">
        <v>64</v>
      </c>
      <c r="I331" t="s">
        <v>26</v>
      </c>
      <c r="J331">
        <v>3</v>
      </c>
      <c r="K331">
        <v>219</v>
      </c>
      <c r="L331">
        <v>657</v>
      </c>
      <c r="M331">
        <v>4.3</v>
      </c>
      <c r="N331">
        <v>39</v>
      </c>
      <c r="O331">
        <v>299</v>
      </c>
      <c r="P331">
        <v>0</v>
      </c>
      <c r="Q331" t="s">
        <v>34</v>
      </c>
      <c r="R331">
        <v>40</v>
      </c>
      <c r="S331" t="s">
        <v>28</v>
      </c>
    </row>
    <row r="332" spans="1:19" x14ac:dyDescent="0.3">
      <c r="A332" t="s">
        <v>976</v>
      </c>
      <c r="B332" s="2">
        <v>45511</v>
      </c>
      <c r="C332" t="s">
        <v>82</v>
      </c>
      <c r="D332" t="s">
        <v>72</v>
      </c>
      <c r="E332" t="s">
        <v>977</v>
      </c>
      <c r="F332" t="s">
        <v>23</v>
      </c>
      <c r="G332" t="s">
        <v>978</v>
      </c>
      <c r="H332" t="s">
        <v>80</v>
      </c>
      <c r="I332" t="s">
        <v>26</v>
      </c>
      <c r="J332">
        <v>4</v>
      </c>
      <c r="K332">
        <v>445</v>
      </c>
      <c r="L332">
        <v>1780</v>
      </c>
      <c r="M332">
        <v>3.3</v>
      </c>
      <c r="N332">
        <v>35</v>
      </c>
      <c r="O332">
        <v>100</v>
      </c>
      <c r="P332">
        <v>50</v>
      </c>
      <c r="Q332" t="s">
        <v>34</v>
      </c>
      <c r="R332">
        <v>28</v>
      </c>
      <c r="S332" t="s">
        <v>41</v>
      </c>
    </row>
    <row r="333" spans="1:19" x14ac:dyDescent="0.3">
      <c r="A333" t="s">
        <v>979</v>
      </c>
      <c r="B333" s="2">
        <v>45476</v>
      </c>
      <c r="C333" t="s">
        <v>59</v>
      </c>
      <c r="D333" t="s">
        <v>72</v>
      </c>
      <c r="E333" t="s">
        <v>980</v>
      </c>
      <c r="F333" t="s">
        <v>268</v>
      </c>
      <c r="G333" t="s">
        <v>981</v>
      </c>
      <c r="H333" t="s">
        <v>64</v>
      </c>
      <c r="I333" t="s">
        <v>33</v>
      </c>
      <c r="J333">
        <v>2</v>
      </c>
      <c r="K333">
        <v>416</v>
      </c>
      <c r="L333">
        <v>832</v>
      </c>
      <c r="M333">
        <v>4</v>
      </c>
      <c r="N333">
        <v>42</v>
      </c>
      <c r="P333">
        <v>0</v>
      </c>
      <c r="Q333" t="s">
        <v>75</v>
      </c>
      <c r="R333">
        <v>46</v>
      </c>
      <c r="S333" t="s">
        <v>28</v>
      </c>
    </row>
    <row r="334" spans="1:19" x14ac:dyDescent="0.3">
      <c r="A334" t="s">
        <v>982</v>
      </c>
      <c r="B334" s="2">
        <v>45508</v>
      </c>
      <c r="C334" t="s">
        <v>82</v>
      </c>
      <c r="D334" t="s">
        <v>60</v>
      </c>
      <c r="E334" t="s">
        <v>983</v>
      </c>
      <c r="F334" t="s">
        <v>824</v>
      </c>
      <c r="G334" t="s">
        <v>984</v>
      </c>
      <c r="H334" t="s">
        <v>80</v>
      </c>
      <c r="I334" t="s">
        <v>26</v>
      </c>
      <c r="J334">
        <v>1</v>
      </c>
      <c r="K334">
        <v>301</v>
      </c>
      <c r="L334">
        <v>301</v>
      </c>
      <c r="M334">
        <v>4.0999999999999996</v>
      </c>
      <c r="N334">
        <v>47</v>
      </c>
      <c r="O334">
        <v>129</v>
      </c>
      <c r="P334">
        <v>0</v>
      </c>
      <c r="Q334" t="s">
        <v>49</v>
      </c>
      <c r="R334">
        <v>49</v>
      </c>
      <c r="S334" t="s">
        <v>41</v>
      </c>
    </row>
    <row r="335" spans="1:19" x14ac:dyDescent="0.3">
      <c r="A335" t="s">
        <v>985</v>
      </c>
      <c r="B335" s="2">
        <v>45469</v>
      </c>
      <c r="C335" t="s">
        <v>30</v>
      </c>
      <c r="D335" t="s">
        <v>72</v>
      </c>
      <c r="E335" t="s">
        <v>986</v>
      </c>
      <c r="F335" t="s">
        <v>78</v>
      </c>
      <c r="G335" t="s">
        <v>987</v>
      </c>
      <c r="H335" t="s">
        <v>40</v>
      </c>
      <c r="I335" t="s">
        <v>26</v>
      </c>
      <c r="J335">
        <v>1</v>
      </c>
      <c r="K335">
        <v>293</v>
      </c>
      <c r="L335">
        <v>293</v>
      </c>
      <c r="M335">
        <v>4.2</v>
      </c>
      <c r="N335">
        <v>61</v>
      </c>
      <c r="O335">
        <v>249</v>
      </c>
      <c r="P335">
        <v>0</v>
      </c>
      <c r="Q335" t="s">
        <v>75</v>
      </c>
      <c r="R335">
        <v>22</v>
      </c>
      <c r="S335" t="s">
        <v>28</v>
      </c>
    </row>
    <row r="336" spans="1:19" x14ac:dyDescent="0.3">
      <c r="A336" t="s">
        <v>988</v>
      </c>
      <c r="B336" s="2">
        <v>45442</v>
      </c>
      <c r="C336" t="s">
        <v>71</v>
      </c>
      <c r="D336" t="s">
        <v>92</v>
      </c>
      <c r="E336" t="s">
        <v>989</v>
      </c>
      <c r="F336" t="s">
        <v>78</v>
      </c>
      <c r="G336" t="s">
        <v>990</v>
      </c>
      <c r="H336" t="s">
        <v>64</v>
      </c>
      <c r="I336" t="s">
        <v>26</v>
      </c>
      <c r="J336">
        <v>3</v>
      </c>
      <c r="K336">
        <v>435</v>
      </c>
      <c r="L336">
        <v>1305</v>
      </c>
      <c r="M336">
        <v>4.2</v>
      </c>
      <c r="N336">
        <v>44</v>
      </c>
      <c r="O336">
        <v>449</v>
      </c>
      <c r="P336">
        <v>0</v>
      </c>
      <c r="Q336" t="s">
        <v>49</v>
      </c>
      <c r="R336">
        <v>43</v>
      </c>
      <c r="S336" t="s">
        <v>28</v>
      </c>
    </row>
    <row r="337" spans="1:19" x14ac:dyDescent="0.3">
      <c r="A337" t="s">
        <v>991</v>
      </c>
      <c r="B337" s="2">
        <v>45450</v>
      </c>
      <c r="C337" t="s">
        <v>30</v>
      </c>
      <c r="D337" t="s">
        <v>21</v>
      </c>
      <c r="E337" t="s">
        <v>992</v>
      </c>
      <c r="F337" t="s">
        <v>578</v>
      </c>
      <c r="G337" t="s">
        <v>221</v>
      </c>
      <c r="H337" t="s">
        <v>80</v>
      </c>
      <c r="I337" t="s">
        <v>26</v>
      </c>
      <c r="J337">
        <v>2</v>
      </c>
      <c r="K337">
        <v>483</v>
      </c>
      <c r="L337">
        <v>966</v>
      </c>
      <c r="M337">
        <v>4.0999999999999996</v>
      </c>
      <c r="N337">
        <v>46</v>
      </c>
      <c r="P337">
        <v>0</v>
      </c>
      <c r="Q337" t="s">
        <v>27</v>
      </c>
      <c r="R337">
        <v>30</v>
      </c>
      <c r="S337" t="s">
        <v>28</v>
      </c>
    </row>
    <row r="338" spans="1:19" x14ac:dyDescent="0.3">
      <c r="A338" t="s">
        <v>993</v>
      </c>
      <c r="B338" s="2">
        <v>45513</v>
      </c>
      <c r="C338" t="s">
        <v>82</v>
      </c>
      <c r="D338" t="s">
        <v>21</v>
      </c>
      <c r="E338" t="s">
        <v>994</v>
      </c>
      <c r="F338" t="s">
        <v>565</v>
      </c>
      <c r="G338" t="s">
        <v>995</v>
      </c>
      <c r="H338" t="s">
        <v>80</v>
      </c>
      <c r="I338" t="s">
        <v>26</v>
      </c>
      <c r="J338">
        <v>3</v>
      </c>
      <c r="K338">
        <v>307</v>
      </c>
      <c r="L338">
        <v>921</v>
      </c>
      <c r="M338">
        <v>3.8</v>
      </c>
      <c r="N338">
        <v>44</v>
      </c>
      <c r="O338">
        <v>349</v>
      </c>
      <c r="P338">
        <v>0</v>
      </c>
      <c r="Q338" t="s">
        <v>49</v>
      </c>
      <c r="R338">
        <v>38</v>
      </c>
      <c r="S338" t="s">
        <v>28</v>
      </c>
    </row>
    <row r="339" spans="1:19" x14ac:dyDescent="0.3">
      <c r="A339" t="s">
        <v>996</v>
      </c>
      <c r="B339" s="2">
        <v>45333</v>
      </c>
      <c r="C339" t="s">
        <v>113</v>
      </c>
      <c r="D339" t="s">
        <v>60</v>
      </c>
      <c r="E339" t="s">
        <v>997</v>
      </c>
      <c r="F339" t="s">
        <v>46</v>
      </c>
      <c r="G339" t="s">
        <v>998</v>
      </c>
      <c r="H339" t="s">
        <v>48</v>
      </c>
      <c r="I339" t="s">
        <v>33</v>
      </c>
      <c r="J339">
        <v>2</v>
      </c>
      <c r="K339">
        <v>176</v>
      </c>
      <c r="L339">
        <v>352</v>
      </c>
      <c r="M339">
        <v>4.5</v>
      </c>
      <c r="N339">
        <v>32</v>
      </c>
      <c r="O339">
        <v>800</v>
      </c>
      <c r="P339">
        <v>10</v>
      </c>
      <c r="Q339" t="s">
        <v>75</v>
      </c>
      <c r="R339">
        <v>40</v>
      </c>
      <c r="S339" t="s">
        <v>28</v>
      </c>
    </row>
    <row r="340" spans="1:19" x14ac:dyDescent="0.3">
      <c r="A340" t="s">
        <v>999</v>
      </c>
      <c r="B340" s="2">
        <v>45390</v>
      </c>
      <c r="C340" t="s">
        <v>20</v>
      </c>
      <c r="D340" t="s">
        <v>44</v>
      </c>
      <c r="E340" t="s">
        <v>1000</v>
      </c>
      <c r="F340" t="s">
        <v>46</v>
      </c>
      <c r="G340" t="s">
        <v>154</v>
      </c>
      <c r="H340" t="s">
        <v>80</v>
      </c>
      <c r="I340" t="s">
        <v>26</v>
      </c>
      <c r="J340">
        <v>2</v>
      </c>
      <c r="K340">
        <v>150</v>
      </c>
      <c r="L340">
        <v>300</v>
      </c>
      <c r="M340">
        <v>4.0999999999999996</v>
      </c>
      <c r="N340">
        <v>35</v>
      </c>
      <c r="O340">
        <v>100</v>
      </c>
      <c r="P340">
        <v>50</v>
      </c>
      <c r="Q340" t="s">
        <v>75</v>
      </c>
      <c r="R340">
        <v>22</v>
      </c>
      <c r="S340" t="s">
        <v>28</v>
      </c>
    </row>
    <row r="341" spans="1:19" x14ac:dyDescent="0.3">
      <c r="A341" t="s">
        <v>1001</v>
      </c>
      <c r="B341" s="2">
        <v>45298</v>
      </c>
      <c r="C341" t="s">
        <v>43</v>
      </c>
      <c r="D341" t="s">
        <v>60</v>
      </c>
      <c r="E341" t="s">
        <v>1002</v>
      </c>
      <c r="F341" t="s">
        <v>46</v>
      </c>
      <c r="G341" t="s">
        <v>1003</v>
      </c>
      <c r="H341" t="s">
        <v>80</v>
      </c>
      <c r="I341" t="s">
        <v>26</v>
      </c>
      <c r="J341">
        <v>2</v>
      </c>
      <c r="K341">
        <v>203</v>
      </c>
      <c r="L341">
        <v>406</v>
      </c>
      <c r="M341">
        <v>4.7</v>
      </c>
      <c r="N341">
        <v>27</v>
      </c>
      <c r="O341">
        <v>40</v>
      </c>
      <c r="P341">
        <v>10</v>
      </c>
      <c r="Q341" t="s">
        <v>75</v>
      </c>
      <c r="R341">
        <v>41</v>
      </c>
      <c r="S341" t="s">
        <v>41</v>
      </c>
    </row>
    <row r="342" spans="1:19" x14ac:dyDescent="0.3">
      <c r="A342" t="s">
        <v>1004</v>
      </c>
      <c r="B342" s="2">
        <v>45435</v>
      </c>
      <c r="C342" t="s">
        <v>71</v>
      </c>
      <c r="D342" t="s">
        <v>92</v>
      </c>
      <c r="E342" t="s">
        <v>1005</v>
      </c>
      <c r="F342" t="s">
        <v>23</v>
      </c>
      <c r="G342" t="s">
        <v>1006</v>
      </c>
      <c r="H342" t="s">
        <v>48</v>
      </c>
      <c r="I342" t="s">
        <v>33</v>
      </c>
      <c r="J342">
        <v>1</v>
      </c>
      <c r="K342">
        <v>271</v>
      </c>
      <c r="L342">
        <v>271</v>
      </c>
      <c r="M342">
        <v>4.2</v>
      </c>
      <c r="N342">
        <v>24</v>
      </c>
      <c r="O342">
        <v>75</v>
      </c>
      <c r="P342">
        <v>30</v>
      </c>
      <c r="Q342" t="s">
        <v>27</v>
      </c>
      <c r="R342">
        <v>44</v>
      </c>
      <c r="S342" t="s">
        <v>28</v>
      </c>
    </row>
    <row r="343" spans="1:19" x14ac:dyDescent="0.3">
      <c r="A343" t="s">
        <v>1007</v>
      </c>
      <c r="B343" s="2">
        <v>45381</v>
      </c>
      <c r="C343" t="s">
        <v>55</v>
      </c>
      <c r="D343" t="s">
        <v>100</v>
      </c>
      <c r="E343" t="s">
        <v>1008</v>
      </c>
      <c r="F343" t="s">
        <v>1009</v>
      </c>
      <c r="G343" t="s">
        <v>227</v>
      </c>
      <c r="H343" t="s">
        <v>80</v>
      </c>
      <c r="I343" t="s">
        <v>26</v>
      </c>
      <c r="J343">
        <v>4</v>
      </c>
      <c r="K343">
        <v>592</v>
      </c>
      <c r="L343">
        <v>2368</v>
      </c>
      <c r="M343">
        <v>4.4000000000000004</v>
      </c>
      <c r="N343">
        <v>25</v>
      </c>
      <c r="O343">
        <v>120</v>
      </c>
      <c r="P343">
        <v>60</v>
      </c>
      <c r="Q343" t="s">
        <v>49</v>
      </c>
      <c r="R343">
        <v>30</v>
      </c>
      <c r="S343" t="s">
        <v>41</v>
      </c>
    </row>
    <row r="344" spans="1:19" x14ac:dyDescent="0.3">
      <c r="A344" t="s">
        <v>1010</v>
      </c>
      <c r="B344" s="2">
        <v>45403</v>
      </c>
      <c r="C344" t="s">
        <v>20</v>
      </c>
      <c r="D344" t="s">
        <v>60</v>
      </c>
      <c r="E344" t="s">
        <v>1011</v>
      </c>
      <c r="F344" t="s">
        <v>23</v>
      </c>
      <c r="G344" t="s">
        <v>1012</v>
      </c>
      <c r="H344" t="s">
        <v>48</v>
      </c>
      <c r="I344" t="s">
        <v>33</v>
      </c>
      <c r="J344">
        <v>3</v>
      </c>
      <c r="K344">
        <v>155</v>
      </c>
      <c r="L344">
        <v>465</v>
      </c>
      <c r="M344">
        <v>4.0999999999999996</v>
      </c>
      <c r="N344">
        <v>30</v>
      </c>
      <c r="O344">
        <v>449</v>
      </c>
      <c r="P344">
        <v>0</v>
      </c>
      <c r="Q344" t="s">
        <v>49</v>
      </c>
      <c r="R344">
        <v>23</v>
      </c>
      <c r="S344" t="s">
        <v>41</v>
      </c>
    </row>
    <row r="345" spans="1:19" x14ac:dyDescent="0.3">
      <c r="A345" t="s">
        <v>1013</v>
      </c>
      <c r="B345" s="2">
        <v>45351</v>
      </c>
      <c r="C345" t="s">
        <v>113</v>
      </c>
      <c r="D345" t="s">
        <v>92</v>
      </c>
      <c r="E345" t="s">
        <v>1014</v>
      </c>
      <c r="F345" t="s">
        <v>23</v>
      </c>
      <c r="G345" t="s">
        <v>1015</v>
      </c>
      <c r="H345" t="s">
        <v>64</v>
      </c>
      <c r="I345" t="s">
        <v>26</v>
      </c>
      <c r="J345">
        <v>4</v>
      </c>
      <c r="K345">
        <v>332</v>
      </c>
      <c r="L345">
        <v>1328</v>
      </c>
      <c r="M345">
        <v>4.3</v>
      </c>
      <c r="N345">
        <v>21</v>
      </c>
      <c r="O345">
        <v>50</v>
      </c>
      <c r="P345">
        <v>20</v>
      </c>
      <c r="Q345" t="s">
        <v>75</v>
      </c>
      <c r="R345">
        <v>46</v>
      </c>
      <c r="S345" t="s">
        <v>28</v>
      </c>
    </row>
    <row r="346" spans="1:19" x14ac:dyDescent="0.3">
      <c r="A346" t="s">
        <v>1016</v>
      </c>
      <c r="B346" s="2">
        <v>45404</v>
      </c>
      <c r="C346" t="s">
        <v>20</v>
      </c>
      <c r="D346" t="s">
        <v>44</v>
      </c>
      <c r="E346" t="s">
        <v>1017</v>
      </c>
      <c r="F346" t="s">
        <v>23</v>
      </c>
      <c r="G346" t="s">
        <v>1018</v>
      </c>
      <c r="H346" t="s">
        <v>48</v>
      </c>
      <c r="I346" t="s">
        <v>33</v>
      </c>
      <c r="J346">
        <v>3</v>
      </c>
      <c r="K346">
        <v>533</v>
      </c>
      <c r="L346">
        <v>1599</v>
      </c>
      <c r="M346">
        <v>4.3</v>
      </c>
      <c r="N346">
        <v>29</v>
      </c>
      <c r="O346">
        <v>80</v>
      </c>
      <c r="P346">
        <v>40</v>
      </c>
      <c r="Q346" t="s">
        <v>49</v>
      </c>
      <c r="R346">
        <v>22</v>
      </c>
      <c r="S346" t="s">
        <v>41</v>
      </c>
    </row>
    <row r="347" spans="1:19" x14ac:dyDescent="0.3">
      <c r="A347" t="s">
        <v>1019</v>
      </c>
      <c r="B347" s="2">
        <v>45293</v>
      </c>
      <c r="C347" t="s">
        <v>43</v>
      </c>
      <c r="D347" t="s">
        <v>36</v>
      </c>
      <c r="E347" t="s">
        <v>1020</v>
      </c>
      <c r="F347" t="s">
        <v>23</v>
      </c>
      <c r="G347" t="s">
        <v>1021</v>
      </c>
      <c r="H347" t="s">
        <v>80</v>
      </c>
      <c r="I347" t="s">
        <v>26</v>
      </c>
      <c r="J347">
        <v>2</v>
      </c>
      <c r="K347">
        <v>527</v>
      </c>
      <c r="L347">
        <v>1054</v>
      </c>
      <c r="M347">
        <v>4.4000000000000004</v>
      </c>
      <c r="N347">
        <v>24</v>
      </c>
      <c r="P347">
        <v>0</v>
      </c>
      <c r="Q347" t="s">
        <v>34</v>
      </c>
      <c r="R347">
        <v>26</v>
      </c>
      <c r="S347" t="s">
        <v>28</v>
      </c>
    </row>
    <row r="348" spans="1:19" x14ac:dyDescent="0.3">
      <c r="A348" t="s">
        <v>1022</v>
      </c>
      <c r="B348" s="2">
        <v>45420</v>
      </c>
      <c r="C348" t="s">
        <v>71</v>
      </c>
      <c r="D348" t="s">
        <v>72</v>
      </c>
      <c r="E348" t="s">
        <v>1023</v>
      </c>
      <c r="F348" t="s">
        <v>23</v>
      </c>
      <c r="G348" t="s">
        <v>1024</v>
      </c>
      <c r="H348" t="s">
        <v>53</v>
      </c>
      <c r="I348" t="s">
        <v>26</v>
      </c>
      <c r="J348">
        <v>1</v>
      </c>
      <c r="K348">
        <v>483</v>
      </c>
      <c r="L348">
        <v>483</v>
      </c>
      <c r="M348">
        <v>4.3</v>
      </c>
      <c r="N348">
        <v>25</v>
      </c>
      <c r="O348">
        <v>1500</v>
      </c>
      <c r="P348">
        <v>10</v>
      </c>
      <c r="Q348" t="s">
        <v>34</v>
      </c>
      <c r="R348">
        <v>44</v>
      </c>
      <c r="S348" t="s">
        <v>41</v>
      </c>
    </row>
    <row r="349" spans="1:19" x14ac:dyDescent="0.3">
      <c r="A349" t="s">
        <v>1025</v>
      </c>
      <c r="B349" s="2">
        <v>45339</v>
      </c>
      <c r="C349" t="s">
        <v>113</v>
      </c>
      <c r="D349" t="s">
        <v>100</v>
      </c>
      <c r="E349" t="s">
        <v>1026</v>
      </c>
      <c r="F349" t="s">
        <v>23</v>
      </c>
      <c r="G349" t="s">
        <v>1027</v>
      </c>
      <c r="H349" t="s">
        <v>48</v>
      </c>
      <c r="I349" t="s">
        <v>33</v>
      </c>
      <c r="J349">
        <v>4</v>
      </c>
      <c r="K349">
        <v>225</v>
      </c>
      <c r="L349">
        <v>900</v>
      </c>
      <c r="M349">
        <v>4</v>
      </c>
      <c r="N349">
        <v>32</v>
      </c>
      <c r="O349">
        <v>75</v>
      </c>
      <c r="P349">
        <v>30</v>
      </c>
      <c r="Q349" t="s">
        <v>34</v>
      </c>
      <c r="R349">
        <v>33</v>
      </c>
      <c r="S349" t="s">
        <v>28</v>
      </c>
    </row>
    <row r="350" spans="1:19" x14ac:dyDescent="0.3">
      <c r="A350" t="s">
        <v>1028</v>
      </c>
      <c r="B350" s="2">
        <v>45431</v>
      </c>
      <c r="C350" t="s">
        <v>71</v>
      </c>
      <c r="D350" t="s">
        <v>60</v>
      </c>
      <c r="E350" t="s">
        <v>1029</v>
      </c>
      <c r="F350" t="s">
        <v>87</v>
      </c>
      <c r="G350" t="s">
        <v>1030</v>
      </c>
      <c r="H350" t="s">
        <v>64</v>
      </c>
      <c r="I350" t="s">
        <v>26</v>
      </c>
      <c r="J350">
        <v>1</v>
      </c>
      <c r="K350">
        <v>533</v>
      </c>
      <c r="L350">
        <v>533</v>
      </c>
      <c r="M350">
        <v>4.3</v>
      </c>
      <c r="N350">
        <v>38</v>
      </c>
      <c r="O350">
        <v>120</v>
      </c>
      <c r="P350">
        <v>60</v>
      </c>
      <c r="Q350" t="s">
        <v>49</v>
      </c>
      <c r="R350">
        <v>19</v>
      </c>
      <c r="S350" t="s">
        <v>41</v>
      </c>
    </row>
    <row r="351" spans="1:19" x14ac:dyDescent="0.3">
      <c r="A351" t="s">
        <v>1031</v>
      </c>
      <c r="B351" s="2">
        <v>45488</v>
      </c>
      <c r="C351" t="s">
        <v>59</v>
      </c>
      <c r="D351" t="s">
        <v>44</v>
      </c>
      <c r="E351" t="s">
        <v>1032</v>
      </c>
      <c r="F351" t="s">
        <v>46</v>
      </c>
      <c r="G351" t="s">
        <v>186</v>
      </c>
      <c r="H351" t="s">
        <v>80</v>
      </c>
      <c r="I351" t="s">
        <v>26</v>
      </c>
      <c r="J351">
        <v>3</v>
      </c>
      <c r="K351">
        <v>461</v>
      </c>
      <c r="L351">
        <v>1383</v>
      </c>
      <c r="M351">
        <v>3.9</v>
      </c>
      <c r="N351">
        <v>51</v>
      </c>
      <c r="P351">
        <v>0</v>
      </c>
      <c r="Q351" t="s">
        <v>27</v>
      </c>
      <c r="R351">
        <v>18</v>
      </c>
      <c r="S351" t="s">
        <v>41</v>
      </c>
    </row>
    <row r="352" spans="1:19" x14ac:dyDescent="0.3">
      <c r="A352" t="s">
        <v>1033</v>
      </c>
      <c r="B352" s="2">
        <v>45328</v>
      </c>
      <c r="C352" t="s">
        <v>113</v>
      </c>
      <c r="D352" t="s">
        <v>36</v>
      </c>
      <c r="E352" t="s">
        <v>1034</v>
      </c>
      <c r="F352" t="s">
        <v>1035</v>
      </c>
      <c r="G352" t="s">
        <v>1036</v>
      </c>
      <c r="H352" t="s">
        <v>25</v>
      </c>
      <c r="I352" t="s">
        <v>26</v>
      </c>
      <c r="J352">
        <v>1</v>
      </c>
      <c r="K352">
        <v>339</v>
      </c>
      <c r="L352">
        <v>339</v>
      </c>
      <c r="M352">
        <v>4.2</v>
      </c>
      <c r="N352">
        <v>45</v>
      </c>
      <c r="O352">
        <v>349</v>
      </c>
      <c r="P352">
        <v>0</v>
      </c>
      <c r="Q352" t="s">
        <v>27</v>
      </c>
      <c r="R352">
        <v>25</v>
      </c>
      <c r="S352" t="s">
        <v>28</v>
      </c>
    </row>
    <row r="353" spans="1:19" x14ac:dyDescent="0.3">
      <c r="A353" t="s">
        <v>1037</v>
      </c>
      <c r="B353" s="2">
        <v>45451</v>
      </c>
      <c r="C353" t="s">
        <v>30</v>
      </c>
      <c r="D353" t="s">
        <v>100</v>
      </c>
      <c r="E353" t="s">
        <v>1038</v>
      </c>
      <c r="F353" t="s">
        <v>78</v>
      </c>
      <c r="G353" t="s">
        <v>1039</v>
      </c>
      <c r="H353" t="s">
        <v>48</v>
      </c>
      <c r="I353" t="s">
        <v>33</v>
      </c>
      <c r="J353">
        <v>1</v>
      </c>
      <c r="K353">
        <v>510</v>
      </c>
      <c r="L353">
        <v>510</v>
      </c>
      <c r="M353">
        <v>4.4000000000000004</v>
      </c>
      <c r="N353">
        <v>59</v>
      </c>
      <c r="O353">
        <v>300</v>
      </c>
      <c r="P353">
        <v>25</v>
      </c>
      <c r="Q353" t="s">
        <v>27</v>
      </c>
      <c r="R353">
        <v>45</v>
      </c>
      <c r="S353" t="s">
        <v>41</v>
      </c>
    </row>
    <row r="354" spans="1:19" x14ac:dyDescent="0.3">
      <c r="A354" t="s">
        <v>1040</v>
      </c>
      <c r="B354" s="2">
        <v>45300</v>
      </c>
      <c r="C354" t="s">
        <v>43</v>
      </c>
      <c r="D354" t="s">
        <v>36</v>
      </c>
      <c r="E354" t="s">
        <v>1041</v>
      </c>
      <c r="F354" t="s">
        <v>115</v>
      </c>
      <c r="G354" t="s">
        <v>909</v>
      </c>
      <c r="H354" t="s">
        <v>80</v>
      </c>
      <c r="I354" t="s">
        <v>26</v>
      </c>
      <c r="J354">
        <v>4</v>
      </c>
      <c r="K354">
        <v>282</v>
      </c>
      <c r="L354">
        <v>1128</v>
      </c>
      <c r="M354">
        <v>4.0999999999999996</v>
      </c>
      <c r="N354">
        <v>42</v>
      </c>
      <c r="O354">
        <v>499</v>
      </c>
      <c r="P354">
        <v>0</v>
      </c>
      <c r="Q354" t="s">
        <v>27</v>
      </c>
      <c r="R354">
        <v>36</v>
      </c>
      <c r="S354" t="s">
        <v>28</v>
      </c>
    </row>
    <row r="355" spans="1:19" x14ac:dyDescent="0.3">
      <c r="A355" t="s">
        <v>1042</v>
      </c>
      <c r="B355" s="2">
        <v>45524</v>
      </c>
      <c r="C355" t="s">
        <v>82</v>
      </c>
      <c r="D355" t="s">
        <v>36</v>
      </c>
      <c r="E355" t="s">
        <v>1043</v>
      </c>
      <c r="F355" t="s">
        <v>78</v>
      </c>
      <c r="G355" t="s">
        <v>825</v>
      </c>
      <c r="H355" t="s">
        <v>80</v>
      </c>
      <c r="I355" t="s">
        <v>26</v>
      </c>
      <c r="J355">
        <v>2</v>
      </c>
      <c r="K355">
        <v>558</v>
      </c>
      <c r="L355">
        <v>1116</v>
      </c>
      <c r="M355">
        <v>4.2</v>
      </c>
      <c r="N355">
        <v>52</v>
      </c>
      <c r="O355">
        <v>80</v>
      </c>
      <c r="P355">
        <v>15</v>
      </c>
      <c r="Q355" t="s">
        <v>34</v>
      </c>
      <c r="R355">
        <v>47</v>
      </c>
      <c r="S355" t="s">
        <v>28</v>
      </c>
    </row>
    <row r="356" spans="1:19" x14ac:dyDescent="0.3">
      <c r="A356" t="s">
        <v>1044</v>
      </c>
      <c r="B356" s="2">
        <v>45390</v>
      </c>
      <c r="C356" t="s">
        <v>20</v>
      </c>
      <c r="D356" t="s">
        <v>44</v>
      </c>
      <c r="E356" t="s">
        <v>1045</v>
      </c>
      <c r="F356" t="s">
        <v>115</v>
      </c>
      <c r="G356" t="s">
        <v>1046</v>
      </c>
      <c r="H356" t="s">
        <v>80</v>
      </c>
      <c r="I356" t="s">
        <v>26</v>
      </c>
      <c r="J356">
        <v>1</v>
      </c>
      <c r="K356">
        <v>339</v>
      </c>
      <c r="L356">
        <v>339</v>
      </c>
      <c r="M356">
        <v>4</v>
      </c>
      <c r="N356">
        <v>45</v>
      </c>
      <c r="O356">
        <v>749</v>
      </c>
      <c r="P356">
        <v>0</v>
      </c>
      <c r="Q356" t="s">
        <v>34</v>
      </c>
      <c r="R356">
        <v>28</v>
      </c>
      <c r="S356" t="s">
        <v>28</v>
      </c>
    </row>
    <row r="357" spans="1:19" x14ac:dyDescent="0.3">
      <c r="A357" t="s">
        <v>1047</v>
      </c>
      <c r="B357" s="2">
        <v>45438</v>
      </c>
      <c r="C357" t="s">
        <v>71</v>
      </c>
      <c r="D357" t="s">
        <v>60</v>
      </c>
      <c r="E357" t="s">
        <v>1048</v>
      </c>
      <c r="F357" t="s">
        <v>578</v>
      </c>
      <c r="G357" t="s">
        <v>1049</v>
      </c>
      <c r="H357" t="s">
        <v>25</v>
      </c>
      <c r="I357" t="s">
        <v>26</v>
      </c>
      <c r="J357">
        <v>2</v>
      </c>
      <c r="K357">
        <v>389</v>
      </c>
      <c r="L357">
        <v>778</v>
      </c>
      <c r="M357">
        <v>4.0999999999999996</v>
      </c>
      <c r="N357">
        <v>66</v>
      </c>
      <c r="O357">
        <v>499</v>
      </c>
      <c r="P357">
        <v>0</v>
      </c>
      <c r="Q357" t="s">
        <v>75</v>
      </c>
      <c r="R357">
        <v>45</v>
      </c>
      <c r="S357" t="s">
        <v>28</v>
      </c>
    </row>
    <row r="358" spans="1:19" x14ac:dyDescent="0.3">
      <c r="A358" t="s">
        <v>1050</v>
      </c>
      <c r="B358" s="2">
        <v>45339</v>
      </c>
      <c r="C358" t="s">
        <v>113</v>
      </c>
      <c r="D358" t="s">
        <v>100</v>
      </c>
      <c r="E358" t="s">
        <v>1051</v>
      </c>
      <c r="F358" t="s">
        <v>192</v>
      </c>
      <c r="G358" t="s">
        <v>1052</v>
      </c>
      <c r="H358" t="s">
        <v>40</v>
      </c>
      <c r="I358" t="s">
        <v>26</v>
      </c>
      <c r="J358">
        <v>3</v>
      </c>
      <c r="K358">
        <v>239</v>
      </c>
      <c r="L358">
        <v>717</v>
      </c>
      <c r="M358">
        <v>3.7</v>
      </c>
      <c r="N358">
        <v>52</v>
      </c>
      <c r="P358">
        <v>0</v>
      </c>
      <c r="Q358" t="s">
        <v>49</v>
      </c>
      <c r="R358">
        <v>29</v>
      </c>
      <c r="S358" t="s">
        <v>28</v>
      </c>
    </row>
    <row r="359" spans="1:19" x14ac:dyDescent="0.3">
      <c r="A359" t="s">
        <v>1053</v>
      </c>
      <c r="B359" s="2">
        <v>45499</v>
      </c>
      <c r="C359" t="s">
        <v>59</v>
      </c>
      <c r="D359" t="s">
        <v>21</v>
      </c>
      <c r="E359" t="s">
        <v>1054</v>
      </c>
      <c r="F359" t="s">
        <v>78</v>
      </c>
      <c r="G359" t="s">
        <v>1055</v>
      </c>
      <c r="H359" t="s">
        <v>80</v>
      </c>
      <c r="I359" t="s">
        <v>26</v>
      </c>
      <c r="J359">
        <v>1</v>
      </c>
      <c r="K359">
        <v>513</v>
      </c>
      <c r="L359">
        <v>513</v>
      </c>
      <c r="M359">
        <v>4.5</v>
      </c>
      <c r="N359">
        <v>53</v>
      </c>
      <c r="P359">
        <v>0</v>
      </c>
      <c r="Q359" t="s">
        <v>49</v>
      </c>
      <c r="R359">
        <v>29</v>
      </c>
      <c r="S359" t="s">
        <v>41</v>
      </c>
    </row>
    <row r="360" spans="1:19" x14ac:dyDescent="0.3">
      <c r="A360" t="s">
        <v>1056</v>
      </c>
      <c r="B360" s="2">
        <v>45422</v>
      </c>
      <c r="C360" t="s">
        <v>71</v>
      </c>
      <c r="D360" t="s">
        <v>21</v>
      </c>
      <c r="E360" t="s">
        <v>1057</v>
      </c>
      <c r="F360" t="s">
        <v>78</v>
      </c>
      <c r="G360" t="s">
        <v>1058</v>
      </c>
      <c r="H360" t="s">
        <v>80</v>
      </c>
      <c r="I360" t="s">
        <v>26</v>
      </c>
      <c r="J360">
        <v>4</v>
      </c>
      <c r="K360">
        <v>455</v>
      </c>
      <c r="L360">
        <v>1820</v>
      </c>
      <c r="M360">
        <v>3.7</v>
      </c>
      <c r="N360">
        <v>78</v>
      </c>
      <c r="P360">
        <v>0</v>
      </c>
      <c r="Q360" t="s">
        <v>27</v>
      </c>
      <c r="R360">
        <v>24</v>
      </c>
      <c r="S360" t="s">
        <v>41</v>
      </c>
    </row>
    <row r="361" spans="1:19" x14ac:dyDescent="0.3">
      <c r="A361" t="s">
        <v>1059</v>
      </c>
      <c r="B361" s="2">
        <v>45439</v>
      </c>
      <c r="C361" t="s">
        <v>71</v>
      </c>
      <c r="D361" t="s">
        <v>44</v>
      </c>
      <c r="E361" t="s">
        <v>1060</v>
      </c>
      <c r="F361" t="s">
        <v>565</v>
      </c>
      <c r="G361" t="s">
        <v>1061</v>
      </c>
      <c r="H361" t="s">
        <v>64</v>
      </c>
      <c r="I361" t="s">
        <v>26</v>
      </c>
      <c r="J361">
        <v>3</v>
      </c>
      <c r="K361">
        <v>519</v>
      </c>
      <c r="L361">
        <v>1557</v>
      </c>
      <c r="M361">
        <v>3.3</v>
      </c>
      <c r="N361">
        <v>41</v>
      </c>
      <c r="O361">
        <v>80</v>
      </c>
      <c r="P361">
        <v>40</v>
      </c>
      <c r="Q361" t="s">
        <v>34</v>
      </c>
      <c r="R361">
        <v>43</v>
      </c>
      <c r="S361" t="s">
        <v>41</v>
      </c>
    </row>
    <row r="362" spans="1:19" x14ac:dyDescent="0.3">
      <c r="A362" t="s">
        <v>1062</v>
      </c>
      <c r="B362" s="2">
        <v>45443</v>
      </c>
      <c r="C362" t="s">
        <v>71</v>
      </c>
      <c r="D362" t="s">
        <v>21</v>
      </c>
      <c r="E362" t="s">
        <v>1063</v>
      </c>
      <c r="F362" t="s">
        <v>78</v>
      </c>
      <c r="G362" t="s">
        <v>1064</v>
      </c>
      <c r="H362" t="s">
        <v>64</v>
      </c>
      <c r="I362" t="s">
        <v>26</v>
      </c>
      <c r="J362">
        <v>3</v>
      </c>
      <c r="K362">
        <v>301</v>
      </c>
      <c r="L362">
        <v>903</v>
      </c>
      <c r="M362">
        <v>4.2</v>
      </c>
      <c r="N362">
        <v>50</v>
      </c>
      <c r="O362">
        <v>449</v>
      </c>
      <c r="P362">
        <v>0</v>
      </c>
      <c r="Q362" t="s">
        <v>27</v>
      </c>
      <c r="R362">
        <v>30</v>
      </c>
      <c r="S362" t="s">
        <v>28</v>
      </c>
    </row>
    <row r="363" spans="1:19" x14ac:dyDescent="0.3">
      <c r="A363" t="s">
        <v>1065</v>
      </c>
      <c r="B363" s="2">
        <v>45345</v>
      </c>
      <c r="C363" t="s">
        <v>113</v>
      </c>
      <c r="D363" t="s">
        <v>21</v>
      </c>
      <c r="E363" t="s">
        <v>1066</v>
      </c>
      <c r="F363" t="s">
        <v>824</v>
      </c>
      <c r="G363" t="s">
        <v>1067</v>
      </c>
      <c r="H363" t="s">
        <v>80</v>
      </c>
      <c r="I363" t="s">
        <v>26</v>
      </c>
      <c r="J363">
        <v>4</v>
      </c>
      <c r="K363">
        <v>598</v>
      </c>
      <c r="L363">
        <v>2392</v>
      </c>
      <c r="M363">
        <v>3</v>
      </c>
      <c r="N363">
        <v>46</v>
      </c>
      <c r="O363">
        <v>129</v>
      </c>
      <c r="P363">
        <v>0</v>
      </c>
      <c r="Q363" t="s">
        <v>75</v>
      </c>
      <c r="R363">
        <v>44</v>
      </c>
      <c r="S363" t="s">
        <v>41</v>
      </c>
    </row>
    <row r="364" spans="1:19" x14ac:dyDescent="0.3">
      <c r="A364" t="s">
        <v>1068</v>
      </c>
      <c r="B364" s="2">
        <v>45411</v>
      </c>
      <c r="C364" t="s">
        <v>20</v>
      </c>
      <c r="D364" t="s">
        <v>44</v>
      </c>
      <c r="E364" t="s">
        <v>1069</v>
      </c>
      <c r="F364" t="s">
        <v>62</v>
      </c>
      <c r="G364" t="s">
        <v>1070</v>
      </c>
      <c r="H364" t="s">
        <v>80</v>
      </c>
      <c r="I364" t="s">
        <v>26</v>
      </c>
      <c r="J364">
        <v>1</v>
      </c>
      <c r="K364">
        <v>225</v>
      </c>
      <c r="L364">
        <v>225</v>
      </c>
      <c r="M364">
        <v>4.0999999999999996</v>
      </c>
      <c r="N364">
        <v>43</v>
      </c>
      <c r="P364">
        <v>0</v>
      </c>
      <c r="Q364" t="s">
        <v>49</v>
      </c>
      <c r="R364">
        <v>25</v>
      </c>
      <c r="S364" t="s">
        <v>41</v>
      </c>
    </row>
    <row r="365" spans="1:19" x14ac:dyDescent="0.3">
      <c r="A365" t="s">
        <v>1071</v>
      </c>
      <c r="B365" s="2">
        <v>45452</v>
      </c>
      <c r="C365" t="s">
        <v>30</v>
      </c>
      <c r="D365" t="s">
        <v>60</v>
      </c>
      <c r="E365" t="s">
        <v>1072</v>
      </c>
      <c r="F365" t="s">
        <v>137</v>
      </c>
      <c r="G365" t="s">
        <v>1073</v>
      </c>
      <c r="H365" t="s">
        <v>80</v>
      </c>
      <c r="I365" t="s">
        <v>26</v>
      </c>
      <c r="J365">
        <v>1</v>
      </c>
      <c r="K365">
        <v>336</v>
      </c>
      <c r="L365">
        <v>336</v>
      </c>
      <c r="M365">
        <v>4.3</v>
      </c>
      <c r="N365">
        <v>38</v>
      </c>
      <c r="O365">
        <v>50</v>
      </c>
      <c r="P365">
        <v>20</v>
      </c>
      <c r="Q365" t="s">
        <v>49</v>
      </c>
      <c r="R365">
        <v>48</v>
      </c>
      <c r="S365" t="s">
        <v>41</v>
      </c>
    </row>
    <row r="366" spans="1:19" x14ac:dyDescent="0.3">
      <c r="A366" t="s">
        <v>1074</v>
      </c>
      <c r="B366" s="2">
        <v>45443</v>
      </c>
      <c r="C366" t="s">
        <v>71</v>
      </c>
      <c r="D366" t="s">
        <v>21</v>
      </c>
      <c r="E366" t="s">
        <v>1075</v>
      </c>
      <c r="F366" t="s">
        <v>46</v>
      </c>
      <c r="G366" t="s">
        <v>1076</v>
      </c>
      <c r="H366" t="s">
        <v>80</v>
      </c>
      <c r="I366" t="s">
        <v>26</v>
      </c>
      <c r="J366">
        <v>3</v>
      </c>
      <c r="K366">
        <v>324</v>
      </c>
      <c r="L366">
        <v>972</v>
      </c>
      <c r="M366">
        <v>4.3</v>
      </c>
      <c r="N366">
        <v>16</v>
      </c>
      <c r="P366">
        <v>0</v>
      </c>
      <c r="Q366" t="s">
        <v>27</v>
      </c>
      <c r="R366">
        <v>49</v>
      </c>
      <c r="S366" t="s">
        <v>41</v>
      </c>
    </row>
    <row r="367" spans="1:19" x14ac:dyDescent="0.3">
      <c r="A367" t="s">
        <v>1077</v>
      </c>
      <c r="B367" s="2">
        <v>45407</v>
      </c>
      <c r="C367" t="s">
        <v>20</v>
      </c>
      <c r="D367" t="s">
        <v>92</v>
      </c>
      <c r="E367" t="s">
        <v>1078</v>
      </c>
      <c r="F367" t="s">
        <v>824</v>
      </c>
      <c r="G367" t="s">
        <v>1079</v>
      </c>
      <c r="H367" t="s">
        <v>64</v>
      </c>
      <c r="I367" t="s">
        <v>26</v>
      </c>
      <c r="J367">
        <v>1</v>
      </c>
      <c r="K367">
        <v>189</v>
      </c>
      <c r="L367">
        <v>189</v>
      </c>
      <c r="M367">
        <v>4.5</v>
      </c>
      <c r="N367">
        <v>40</v>
      </c>
      <c r="O367">
        <v>449</v>
      </c>
      <c r="P367">
        <v>0</v>
      </c>
      <c r="Q367" t="s">
        <v>75</v>
      </c>
      <c r="R367">
        <v>46</v>
      </c>
      <c r="S367" t="s">
        <v>41</v>
      </c>
    </row>
    <row r="368" spans="1:19" x14ac:dyDescent="0.3">
      <c r="A368" t="s">
        <v>1080</v>
      </c>
      <c r="B368" s="2">
        <v>45366</v>
      </c>
      <c r="C368" t="s">
        <v>55</v>
      </c>
      <c r="D368" t="s">
        <v>21</v>
      </c>
      <c r="E368" t="s">
        <v>1081</v>
      </c>
      <c r="F368" t="s">
        <v>78</v>
      </c>
      <c r="G368" t="s">
        <v>1082</v>
      </c>
      <c r="H368" t="s">
        <v>80</v>
      </c>
      <c r="I368" t="s">
        <v>26</v>
      </c>
      <c r="J368">
        <v>2</v>
      </c>
      <c r="K368">
        <v>163</v>
      </c>
      <c r="L368">
        <v>326</v>
      </c>
      <c r="M368">
        <v>4.3</v>
      </c>
      <c r="N368">
        <v>64</v>
      </c>
      <c r="O368">
        <v>249</v>
      </c>
      <c r="P368">
        <v>0</v>
      </c>
      <c r="Q368" t="s">
        <v>49</v>
      </c>
      <c r="R368">
        <v>46</v>
      </c>
      <c r="S368" t="s">
        <v>28</v>
      </c>
    </row>
    <row r="369" spans="1:19" x14ac:dyDescent="0.3">
      <c r="A369" t="s">
        <v>1083</v>
      </c>
      <c r="B369" s="2">
        <v>45404</v>
      </c>
      <c r="C369" t="s">
        <v>20</v>
      </c>
      <c r="D369" t="s">
        <v>44</v>
      </c>
      <c r="E369" t="s">
        <v>1084</v>
      </c>
      <c r="F369" t="s">
        <v>115</v>
      </c>
      <c r="G369" t="s">
        <v>1085</v>
      </c>
      <c r="H369" t="s">
        <v>80</v>
      </c>
      <c r="I369" t="s">
        <v>26</v>
      </c>
      <c r="J369">
        <v>4</v>
      </c>
      <c r="K369">
        <v>448</v>
      </c>
      <c r="L369">
        <v>1792</v>
      </c>
      <c r="M369">
        <v>3.9</v>
      </c>
      <c r="N369">
        <v>44</v>
      </c>
      <c r="O369">
        <v>499</v>
      </c>
      <c r="P369">
        <v>0</v>
      </c>
      <c r="Q369" t="s">
        <v>75</v>
      </c>
      <c r="R369">
        <v>39</v>
      </c>
      <c r="S369" t="s">
        <v>28</v>
      </c>
    </row>
    <row r="370" spans="1:19" x14ac:dyDescent="0.3">
      <c r="A370" t="s">
        <v>1086</v>
      </c>
      <c r="B370" s="2">
        <v>45491</v>
      </c>
      <c r="C370" t="s">
        <v>59</v>
      </c>
      <c r="D370" t="s">
        <v>92</v>
      </c>
      <c r="E370" t="s">
        <v>1087</v>
      </c>
      <c r="F370" t="s">
        <v>578</v>
      </c>
      <c r="G370" t="s">
        <v>227</v>
      </c>
      <c r="H370" t="s">
        <v>80</v>
      </c>
      <c r="I370" t="s">
        <v>26</v>
      </c>
      <c r="J370">
        <v>2</v>
      </c>
      <c r="K370">
        <v>420</v>
      </c>
      <c r="L370">
        <v>840</v>
      </c>
      <c r="M370">
        <v>4.3</v>
      </c>
      <c r="N370">
        <v>60</v>
      </c>
      <c r="O370">
        <v>249</v>
      </c>
      <c r="P370">
        <v>0</v>
      </c>
      <c r="Q370" t="s">
        <v>75</v>
      </c>
      <c r="R370">
        <v>45</v>
      </c>
      <c r="S370" t="s">
        <v>41</v>
      </c>
    </row>
    <row r="371" spans="1:19" x14ac:dyDescent="0.3">
      <c r="A371" t="s">
        <v>1088</v>
      </c>
      <c r="B371" s="2">
        <v>45455</v>
      </c>
      <c r="C371" t="s">
        <v>30</v>
      </c>
      <c r="D371" t="s">
        <v>72</v>
      </c>
      <c r="E371" t="s">
        <v>1089</v>
      </c>
      <c r="F371" t="s">
        <v>824</v>
      </c>
      <c r="G371" t="s">
        <v>453</v>
      </c>
      <c r="H371" t="s">
        <v>64</v>
      </c>
      <c r="I371" t="s">
        <v>26</v>
      </c>
      <c r="J371">
        <v>1</v>
      </c>
      <c r="K371">
        <v>347</v>
      </c>
      <c r="L371">
        <v>347</v>
      </c>
      <c r="M371">
        <v>4.2</v>
      </c>
      <c r="N371">
        <v>47</v>
      </c>
      <c r="O371">
        <v>800</v>
      </c>
      <c r="P371">
        <v>15</v>
      </c>
      <c r="Q371" t="s">
        <v>27</v>
      </c>
      <c r="R371">
        <v>43</v>
      </c>
      <c r="S371" t="s">
        <v>28</v>
      </c>
    </row>
    <row r="372" spans="1:19" x14ac:dyDescent="0.3">
      <c r="A372" t="s">
        <v>1090</v>
      </c>
      <c r="B372" s="2">
        <v>45457</v>
      </c>
      <c r="C372" t="s">
        <v>30</v>
      </c>
      <c r="D372" t="s">
        <v>21</v>
      </c>
      <c r="E372" t="s">
        <v>1091</v>
      </c>
      <c r="F372" t="s">
        <v>1092</v>
      </c>
      <c r="G372" t="s">
        <v>1093</v>
      </c>
      <c r="H372" t="s">
        <v>64</v>
      </c>
      <c r="I372" t="s">
        <v>26</v>
      </c>
      <c r="J372">
        <v>3</v>
      </c>
      <c r="K372">
        <v>303</v>
      </c>
      <c r="L372">
        <v>909</v>
      </c>
      <c r="M372">
        <v>4.5</v>
      </c>
      <c r="N372">
        <v>40</v>
      </c>
      <c r="P372">
        <v>0</v>
      </c>
      <c r="Q372" t="s">
        <v>34</v>
      </c>
      <c r="R372">
        <v>47</v>
      </c>
      <c r="S372" t="s">
        <v>28</v>
      </c>
    </row>
    <row r="373" spans="1:19" x14ac:dyDescent="0.3">
      <c r="A373" t="s">
        <v>1094</v>
      </c>
      <c r="B373" s="2">
        <v>45395</v>
      </c>
      <c r="C373" t="s">
        <v>20</v>
      </c>
      <c r="D373" t="s">
        <v>100</v>
      </c>
      <c r="E373" t="s">
        <v>1095</v>
      </c>
      <c r="F373" t="s">
        <v>46</v>
      </c>
      <c r="G373" t="s">
        <v>1096</v>
      </c>
      <c r="H373" t="s">
        <v>48</v>
      </c>
      <c r="I373" t="s">
        <v>33</v>
      </c>
      <c r="J373">
        <v>4</v>
      </c>
      <c r="K373">
        <v>226</v>
      </c>
      <c r="L373">
        <v>904</v>
      </c>
      <c r="M373">
        <v>3.2</v>
      </c>
      <c r="N373">
        <v>56</v>
      </c>
      <c r="P373">
        <v>0</v>
      </c>
      <c r="Q373" t="s">
        <v>27</v>
      </c>
      <c r="R373">
        <v>26</v>
      </c>
      <c r="S373" t="s">
        <v>41</v>
      </c>
    </row>
    <row r="374" spans="1:19" x14ac:dyDescent="0.3">
      <c r="A374" t="s">
        <v>1097</v>
      </c>
      <c r="B374" s="2">
        <v>45375</v>
      </c>
      <c r="C374" t="s">
        <v>55</v>
      </c>
      <c r="D374" t="s">
        <v>60</v>
      </c>
      <c r="E374" t="s">
        <v>1098</v>
      </c>
      <c r="F374" t="s">
        <v>78</v>
      </c>
      <c r="G374" t="s">
        <v>1099</v>
      </c>
      <c r="H374" t="s">
        <v>40</v>
      </c>
      <c r="I374" t="s">
        <v>26</v>
      </c>
      <c r="J374">
        <v>1</v>
      </c>
      <c r="K374">
        <v>203</v>
      </c>
      <c r="L374">
        <v>203</v>
      </c>
      <c r="M374">
        <v>4.3</v>
      </c>
      <c r="N374">
        <v>55</v>
      </c>
      <c r="O374">
        <v>999</v>
      </c>
      <c r="P374">
        <v>0</v>
      </c>
      <c r="Q374" t="s">
        <v>34</v>
      </c>
      <c r="R374">
        <v>24</v>
      </c>
      <c r="S374" t="s">
        <v>41</v>
      </c>
    </row>
    <row r="375" spans="1:19" x14ac:dyDescent="0.3">
      <c r="A375" t="s">
        <v>1100</v>
      </c>
      <c r="B375" s="2">
        <v>45518</v>
      </c>
      <c r="C375" t="s">
        <v>82</v>
      </c>
      <c r="D375" t="s">
        <v>72</v>
      </c>
      <c r="E375" t="s">
        <v>1101</v>
      </c>
      <c r="F375" t="s">
        <v>192</v>
      </c>
      <c r="G375" t="s">
        <v>1102</v>
      </c>
      <c r="H375" t="s">
        <v>53</v>
      </c>
      <c r="I375" t="s">
        <v>26</v>
      </c>
      <c r="J375">
        <v>1</v>
      </c>
      <c r="K375">
        <v>457</v>
      </c>
      <c r="L375">
        <v>457</v>
      </c>
      <c r="M375">
        <v>4.5999999999999996</v>
      </c>
      <c r="N375">
        <v>48</v>
      </c>
      <c r="O375">
        <v>499</v>
      </c>
      <c r="P375">
        <v>0</v>
      </c>
      <c r="Q375" t="s">
        <v>75</v>
      </c>
      <c r="R375">
        <v>48</v>
      </c>
      <c r="S375" t="s">
        <v>28</v>
      </c>
    </row>
    <row r="376" spans="1:19" x14ac:dyDescent="0.3">
      <c r="A376" t="s">
        <v>1103</v>
      </c>
      <c r="B376" s="2">
        <v>45403</v>
      </c>
      <c r="C376" t="s">
        <v>20</v>
      </c>
      <c r="D376" t="s">
        <v>60</v>
      </c>
      <c r="E376" t="s">
        <v>1104</v>
      </c>
      <c r="F376" t="s">
        <v>192</v>
      </c>
      <c r="G376" t="s">
        <v>1105</v>
      </c>
      <c r="H376" t="s">
        <v>64</v>
      </c>
      <c r="I376" t="s">
        <v>26</v>
      </c>
      <c r="J376">
        <v>3</v>
      </c>
      <c r="K376">
        <v>369</v>
      </c>
      <c r="L376">
        <v>1107</v>
      </c>
      <c r="M376">
        <v>4.5999999999999996</v>
      </c>
      <c r="N376">
        <v>45</v>
      </c>
      <c r="O376">
        <v>700</v>
      </c>
      <c r="P376">
        <v>15</v>
      </c>
      <c r="Q376" t="s">
        <v>34</v>
      </c>
      <c r="R376">
        <v>43</v>
      </c>
      <c r="S376" t="s">
        <v>41</v>
      </c>
    </row>
    <row r="377" spans="1:19" x14ac:dyDescent="0.3">
      <c r="A377" t="s">
        <v>1106</v>
      </c>
      <c r="B377" s="2">
        <v>45508</v>
      </c>
      <c r="C377" t="s">
        <v>82</v>
      </c>
      <c r="D377" t="s">
        <v>60</v>
      </c>
      <c r="E377" t="s">
        <v>1107</v>
      </c>
      <c r="F377" t="s">
        <v>1108</v>
      </c>
      <c r="G377" t="s">
        <v>1109</v>
      </c>
      <c r="H377" t="s">
        <v>48</v>
      </c>
      <c r="I377" t="s">
        <v>33</v>
      </c>
      <c r="J377">
        <v>3</v>
      </c>
      <c r="K377">
        <v>482</v>
      </c>
      <c r="L377">
        <v>1446</v>
      </c>
      <c r="M377">
        <v>3.9</v>
      </c>
      <c r="N377">
        <v>70</v>
      </c>
      <c r="O377">
        <v>249</v>
      </c>
      <c r="P377">
        <v>0</v>
      </c>
      <c r="Q377" t="s">
        <v>75</v>
      </c>
      <c r="R377">
        <v>38</v>
      </c>
      <c r="S377" t="s">
        <v>28</v>
      </c>
    </row>
    <row r="378" spans="1:19" x14ac:dyDescent="0.3">
      <c r="A378" t="s">
        <v>1110</v>
      </c>
      <c r="B378" s="2">
        <v>45390</v>
      </c>
      <c r="C378" t="s">
        <v>20</v>
      </c>
      <c r="D378" t="s">
        <v>44</v>
      </c>
      <c r="E378" t="s">
        <v>1111</v>
      </c>
      <c r="F378" t="s">
        <v>578</v>
      </c>
      <c r="G378" t="s">
        <v>1112</v>
      </c>
      <c r="H378" t="s">
        <v>80</v>
      </c>
      <c r="I378" t="s">
        <v>26</v>
      </c>
      <c r="J378">
        <v>2</v>
      </c>
      <c r="K378">
        <v>560</v>
      </c>
      <c r="L378">
        <v>1120</v>
      </c>
      <c r="M378">
        <v>4.4000000000000004</v>
      </c>
      <c r="N378">
        <v>60</v>
      </c>
      <c r="O378">
        <v>249</v>
      </c>
      <c r="P378">
        <v>0</v>
      </c>
      <c r="Q378" t="s">
        <v>49</v>
      </c>
      <c r="R378">
        <v>41</v>
      </c>
      <c r="S378" t="s">
        <v>28</v>
      </c>
    </row>
    <row r="379" spans="1:19" x14ac:dyDescent="0.3">
      <c r="A379" t="s">
        <v>1113</v>
      </c>
      <c r="B379" s="2">
        <v>45444</v>
      </c>
      <c r="C379" t="s">
        <v>30</v>
      </c>
      <c r="D379" t="s">
        <v>100</v>
      </c>
      <c r="E379" t="s">
        <v>1114</v>
      </c>
      <c r="F379" t="s">
        <v>115</v>
      </c>
      <c r="G379" t="s">
        <v>366</v>
      </c>
      <c r="H379" t="s">
        <v>53</v>
      </c>
      <c r="I379" t="s">
        <v>26</v>
      </c>
      <c r="J379">
        <v>4</v>
      </c>
      <c r="K379">
        <v>140</v>
      </c>
      <c r="L379">
        <v>560</v>
      </c>
      <c r="M379">
        <v>4</v>
      </c>
      <c r="N379">
        <v>41</v>
      </c>
      <c r="P379">
        <v>0</v>
      </c>
      <c r="Q379" t="s">
        <v>49</v>
      </c>
      <c r="R379">
        <v>32</v>
      </c>
      <c r="S379" t="s">
        <v>41</v>
      </c>
    </row>
    <row r="380" spans="1:19" x14ac:dyDescent="0.3">
      <c r="A380" t="s">
        <v>1115</v>
      </c>
      <c r="B380" s="2">
        <v>45384</v>
      </c>
      <c r="C380" t="s">
        <v>20</v>
      </c>
      <c r="D380" t="s">
        <v>36</v>
      </c>
      <c r="E380" t="s">
        <v>1116</v>
      </c>
      <c r="F380" t="s">
        <v>578</v>
      </c>
      <c r="G380" t="s">
        <v>1117</v>
      </c>
      <c r="H380" t="s">
        <v>40</v>
      </c>
      <c r="I380" t="s">
        <v>26</v>
      </c>
      <c r="J380">
        <v>4</v>
      </c>
      <c r="K380">
        <v>315</v>
      </c>
      <c r="L380">
        <v>1260</v>
      </c>
      <c r="M380">
        <v>4.0999999999999996</v>
      </c>
      <c r="N380">
        <v>59</v>
      </c>
      <c r="O380">
        <v>1299</v>
      </c>
      <c r="P380">
        <v>0</v>
      </c>
      <c r="Q380" t="s">
        <v>49</v>
      </c>
      <c r="R380">
        <v>19</v>
      </c>
      <c r="S380" t="s">
        <v>28</v>
      </c>
    </row>
    <row r="381" spans="1:19" x14ac:dyDescent="0.3">
      <c r="A381" t="s">
        <v>1118</v>
      </c>
      <c r="B381" s="2">
        <v>45437</v>
      </c>
      <c r="C381" t="s">
        <v>71</v>
      </c>
      <c r="D381" t="s">
        <v>100</v>
      </c>
      <c r="E381" t="s">
        <v>1119</v>
      </c>
      <c r="F381" t="s">
        <v>78</v>
      </c>
      <c r="G381" t="s">
        <v>987</v>
      </c>
      <c r="H381" t="s">
        <v>40</v>
      </c>
      <c r="I381" t="s">
        <v>26</v>
      </c>
      <c r="J381">
        <v>3</v>
      </c>
      <c r="K381">
        <v>297</v>
      </c>
      <c r="L381">
        <v>891</v>
      </c>
      <c r="M381">
        <v>4.2</v>
      </c>
      <c r="N381">
        <v>63</v>
      </c>
      <c r="O381">
        <v>249</v>
      </c>
      <c r="P381">
        <v>0</v>
      </c>
      <c r="Q381" t="s">
        <v>27</v>
      </c>
      <c r="R381">
        <v>40</v>
      </c>
      <c r="S381" t="s">
        <v>28</v>
      </c>
    </row>
    <row r="382" spans="1:19" x14ac:dyDescent="0.3">
      <c r="A382" t="s">
        <v>1120</v>
      </c>
      <c r="B382" s="2">
        <v>45419</v>
      </c>
      <c r="C382" t="s">
        <v>71</v>
      </c>
      <c r="D382" t="s">
        <v>36</v>
      </c>
      <c r="E382" t="s">
        <v>1121</v>
      </c>
      <c r="F382" t="s">
        <v>824</v>
      </c>
      <c r="G382" t="s">
        <v>1122</v>
      </c>
      <c r="H382" t="s">
        <v>80</v>
      </c>
      <c r="I382" t="s">
        <v>26</v>
      </c>
      <c r="J382">
        <v>2</v>
      </c>
      <c r="K382">
        <v>536</v>
      </c>
      <c r="L382">
        <v>1072</v>
      </c>
      <c r="M382">
        <v>4.0999999999999996</v>
      </c>
      <c r="N382">
        <v>50</v>
      </c>
      <c r="O382">
        <v>159</v>
      </c>
      <c r="P382">
        <v>0</v>
      </c>
      <c r="Q382" t="s">
        <v>27</v>
      </c>
      <c r="R382">
        <v>48</v>
      </c>
      <c r="S382" t="s">
        <v>28</v>
      </c>
    </row>
    <row r="383" spans="1:19" x14ac:dyDescent="0.3">
      <c r="A383" t="s">
        <v>1123</v>
      </c>
      <c r="B383" s="2">
        <v>45401</v>
      </c>
      <c r="C383" t="s">
        <v>20</v>
      </c>
      <c r="D383" t="s">
        <v>21</v>
      </c>
      <c r="E383" t="s">
        <v>1124</v>
      </c>
      <c r="F383" t="s">
        <v>78</v>
      </c>
      <c r="G383" t="s">
        <v>755</v>
      </c>
      <c r="H383" t="s">
        <v>48</v>
      </c>
      <c r="I383" t="s">
        <v>33</v>
      </c>
      <c r="J383">
        <v>4</v>
      </c>
      <c r="K383">
        <v>594</v>
      </c>
      <c r="L383">
        <v>2376</v>
      </c>
      <c r="M383">
        <v>4.0999999999999996</v>
      </c>
      <c r="N383">
        <v>53</v>
      </c>
      <c r="O383">
        <v>449</v>
      </c>
      <c r="P383">
        <v>0</v>
      </c>
      <c r="Q383" t="s">
        <v>75</v>
      </c>
      <c r="R383">
        <v>37</v>
      </c>
      <c r="S383" t="s">
        <v>41</v>
      </c>
    </row>
    <row r="384" spans="1:19" x14ac:dyDescent="0.3">
      <c r="A384" t="s">
        <v>1125</v>
      </c>
      <c r="B384" s="2">
        <v>45373</v>
      </c>
      <c r="C384" t="s">
        <v>55</v>
      </c>
      <c r="D384" t="s">
        <v>21</v>
      </c>
      <c r="E384" t="s">
        <v>1126</v>
      </c>
      <c r="F384" t="s">
        <v>192</v>
      </c>
      <c r="G384" t="s">
        <v>919</v>
      </c>
      <c r="H384" t="s">
        <v>80</v>
      </c>
      <c r="I384" t="s">
        <v>26</v>
      </c>
      <c r="J384">
        <v>3</v>
      </c>
      <c r="K384">
        <v>126</v>
      </c>
      <c r="L384">
        <v>378</v>
      </c>
      <c r="M384">
        <v>3.8</v>
      </c>
      <c r="N384">
        <v>43</v>
      </c>
      <c r="P384">
        <v>0</v>
      </c>
      <c r="Q384" t="s">
        <v>49</v>
      </c>
      <c r="R384">
        <v>42</v>
      </c>
      <c r="S384" t="s">
        <v>41</v>
      </c>
    </row>
    <row r="385" spans="1:19" x14ac:dyDescent="0.3">
      <c r="A385" t="s">
        <v>1127</v>
      </c>
      <c r="B385" s="2">
        <v>45485</v>
      </c>
      <c r="C385" t="s">
        <v>59</v>
      </c>
      <c r="D385" t="s">
        <v>21</v>
      </c>
      <c r="E385" t="s">
        <v>1128</v>
      </c>
      <c r="F385" t="s">
        <v>578</v>
      </c>
      <c r="G385" t="s">
        <v>1129</v>
      </c>
      <c r="H385" t="s">
        <v>25</v>
      </c>
      <c r="I385" t="s">
        <v>26</v>
      </c>
      <c r="J385">
        <v>1</v>
      </c>
      <c r="K385">
        <v>189</v>
      </c>
      <c r="L385">
        <v>189</v>
      </c>
      <c r="M385">
        <v>4.0999999999999996</v>
      </c>
      <c r="N385">
        <v>49</v>
      </c>
      <c r="O385">
        <v>999</v>
      </c>
      <c r="P385">
        <v>0</v>
      </c>
      <c r="Q385" t="s">
        <v>27</v>
      </c>
      <c r="R385">
        <v>29</v>
      </c>
      <c r="S385" t="s">
        <v>41</v>
      </c>
    </row>
    <row r="386" spans="1:19" x14ac:dyDescent="0.3">
      <c r="A386" t="s">
        <v>1130</v>
      </c>
      <c r="B386" s="2">
        <v>45345</v>
      </c>
      <c r="C386" t="s">
        <v>113</v>
      </c>
      <c r="D386" t="s">
        <v>21</v>
      </c>
      <c r="E386" t="s">
        <v>1131</v>
      </c>
      <c r="F386" t="s">
        <v>824</v>
      </c>
      <c r="G386" t="s">
        <v>1132</v>
      </c>
      <c r="H386" t="s">
        <v>64</v>
      </c>
      <c r="I386" t="s">
        <v>26</v>
      </c>
      <c r="J386">
        <v>4</v>
      </c>
      <c r="K386">
        <v>246</v>
      </c>
      <c r="L386">
        <v>984</v>
      </c>
      <c r="M386">
        <v>4.0999999999999996</v>
      </c>
      <c r="N386">
        <v>49</v>
      </c>
      <c r="P386">
        <v>0</v>
      </c>
      <c r="Q386" t="s">
        <v>49</v>
      </c>
      <c r="R386">
        <v>18</v>
      </c>
      <c r="S386" t="s">
        <v>41</v>
      </c>
    </row>
    <row r="387" spans="1:19" x14ac:dyDescent="0.3">
      <c r="A387" t="s">
        <v>1133</v>
      </c>
      <c r="B387" s="2">
        <v>45454</v>
      </c>
      <c r="C387" t="s">
        <v>30</v>
      </c>
      <c r="D387" t="s">
        <v>36</v>
      </c>
      <c r="E387" t="s">
        <v>1134</v>
      </c>
      <c r="F387" t="s">
        <v>746</v>
      </c>
      <c r="G387" t="s">
        <v>1135</v>
      </c>
      <c r="H387" t="s">
        <v>64</v>
      </c>
      <c r="I387" t="s">
        <v>26</v>
      </c>
      <c r="J387">
        <v>2</v>
      </c>
      <c r="K387">
        <v>518</v>
      </c>
      <c r="L387">
        <v>1036</v>
      </c>
      <c r="M387">
        <v>4.5</v>
      </c>
      <c r="N387">
        <v>50</v>
      </c>
      <c r="P387">
        <v>0</v>
      </c>
      <c r="Q387" t="s">
        <v>27</v>
      </c>
      <c r="R387">
        <v>40</v>
      </c>
      <c r="S387" t="s">
        <v>28</v>
      </c>
    </row>
    <row r="388" spans="1:19" x14ac:dyDescent="0.3">
      <c r="A388" t="s">
        <v>1136</v>
      </c>
      <c r="B388" s="2">
        <v>45499</v>
      </c>
      <c r="C388" t="s">
        <v>59</v>
      </c>
      <c r="D388" t="s">
        <v>21</v>
      </c>
      <c r="E388" t="s">
        <v>1137</v>
      </c>
      <c r="F388" t="s">
        <v>115</v>
      </c>
      <c r="G388" t="s">
        <v>1138</v>
      </c>
      <c r="H388" t="s">
        <v>64</v>
      </c>
      <c r="I388" t="s">
        <v>26</v>
      </c>
      <c r="J388">
        <v>2</v>
      </c>
      <c r="K388">
        <v>585</v>
      </c>
      <c r="L388">
        <v>1170</v>
      </c>
      <c r="M388">
        <v>3.7</v>
      </c>
      <c r="N388">
        <v>38</v>
      </c>
      <c r="O388">
        <v>449</v>
      </c>
      <c r="P388">
        <v>0</v>
      </c>
      <c r="Q388" t="s">
        <v>34</v>
      </c>
      <c r="R388">
        <v>39</v>
      </c>
      <c r="S388" t="s">
        <v>41</v>
      </c>
    </row>
    <row r="389" spans="1:19" x14ac:dyDescent="0.3">
      <c r="A389" t="s">
        <v>1139</v>
      </c>
      <c r="B389" s="2">
        <v>45480</v>
      </c>
      <c r="C389" t="s">
        <v>59</v>
      </c>
      <c r="D389" t="s">
        <v>60</v>
      </c>
      <c r="E389" t="s">
        <v>1140</v>
      </c>
      <c r="F389" t="s">
        <v>137</v>
      </c>
      <c r="G389" t="s">
        <v>204</v>
      </c>
      <c r="H389" t="s">
        <v>80</v>
      </c>
      <c r="I389" t="s">
        <v>26</v>
      </c>
      <c r="J389">
        <v>2</v>
      </c>
      <c r="K389">
        <v>279</v>
      </c>
      <c r="L389">
        <v>558</v>
      </c>
      <c r="M389">
        <v>4.7</v>
      </c>
      <c r="N389">
        <v>22</v>
      </c>
      <c r="O389">
        <v>1000</v>
      </c>
      <c r="P389">
        <v>10</v>
      </c>
      <c r="Q389" t="s">
        <v>34</v>
      </c>
      <c r="R389">
        <v>25</v>
      </c>
      <c r="S389" t="s">
        <v>41</v>
      </c>
    </row>
    <row r="390" spans="1:19" x14ac:dyDescent="0.3">
      <c r="A390" t="s">
        <v>1141</v>
      </c>
      <c r="B390" s="2">
        <v>45460</v>
      </c>
      <c r="C390" t="s">
        <v>30</v>
      </c>
      <c r="D390" t="s">
        <v>44</v>
      </c>
      <c r="E390" t="s">
        <v>1142</v>
      </c>
      <c r="F390" t="s">
        <v>62</v>
      </c>
      <c r="G390" t="s">
        <v>1143</v>
      </c>
      <c r="H390" t="s">
        <v>40</v>
      </c>
      <c r="I390" t="s">
        <v>26</v>
      </c>
      <c r="J390">
        <v>1</v>
      </c>
      <c r="K390">
        <v>367</v>
      </c>
      <c r="L390">
        <v>367</v>
      </c>
      <c r="M390">
        <v>4.2</v>
      </c>
      <c r="N390">
        <v>40</v>
      </c>
      <c r="O390">
        <v>249</v>
      </c>
      <c r="P390">
        <v>0</v>
      </c>
      <c r="Q390" t="s">
        <v>49</v>
      </c>
      <c r="R390">
        <v>22</v>
      </c>
      <c r="S390" t="s">
        <v>41</v>
      </c>
    </row>
    <row r="391" spans="1:19" x14ac:dyDescent="0.3">
      <c r="A391" t="s">
        <v>1144</v>
      </c>
      <c r="B391" s="2">
        <v>45519</v>
      </c>
      <c r="C391" t="s">
        <v>82</v>
      </c>
      <c r="D391" t="s">
        <v>92</v>
      </c>
      <c r="E391" t="s">
        <v>1145</v>
      </c>
      <c r="F391" t="s">
        <v>115</v>
      </c>
      <c r="G391" t="s">
        <v>1146</v>
      </c>
      <c r="H391" t="s">
        <v>40</v>
      </c>
      <c r="I391" t="s">
        <v>26</v>
      </c>
      <c r="J391">
        <v>4</v>
      </c>
      <c r="K391">
        <v>322</v>
      </c>
      <c r="L391">
        <v>1288</v>
      </c>
      <c r="M391">
        <v>4</v>
      </c>
      <c r="N391">
        <v>42</v>
      </c>
      <c r="O391">
        <v>449</v>
      </c>
      <c r="P391">
        <v>0</v>
      </c>
      <c r="Q391" t="s">
        <v>75</v>
      </c>
      <c r="R391">
        <v>32</v>
      </c>
      <c r="S391" t="s">
        <v>41</v>
      </c>
    </row>
    <row r="392" spans="1:19" x14ac:dyDescent="0.3">
      <c r="A392" t="s">
        <v>1147</v>
      </c>
      <c r="B392" s="2">
        <v>45452</v>
      </c>
      <c r="C392" t="s">
        <v>30</v>
      </c>
      <c r="D392" t="s">
        <v>60</v>
      </c>
      <c r="E392" t="s">
        <v>1148</v>
      </c>
      <c r="F392" t="s">
        <v>824</v>
      </c>
      <c r="G392" t="s">
        <v>1149</v>
      </c>
      <c r="H392" t="s">
        <v>64</v>
      </c>
      <c r="I392" t="s">
        <v>26</v>
      </c>
      <c r="J392">
        <v>4</v>
      </c>
      <c r="K392">
        <v>267</v>
      </c>
      <c r="L392">
        <v>1068</v>
      </c>
      <c r="M392">
        <v>4.2</v>
      </c>
      <c r="N392">
        <v>55</v>
      </c>
      <c r="O392">
        <v>399</v>
      </c>
      <c r="P392">
        <v>0</v>
      </c>
      <c r="Q392" t="s">
        <v>27</v>
      </c>
      <c r="R392">
        <v>18</v>
      </c>
      <c r="S392" t="s">
        <v>28</v>
      </c>
    </row>
    <row r="393" spans="1:19" x14ac:dyDescent="0.3">
      <c r="A393" t="s">
        <v>1150</v>
      </c>
      <c r="B393" s="2">
        <v>45359</v>
      </c>
      <c r="C393" t="s">
        <v>55</v>
      </c>
      <c r="D393" t="s">
        <v>21</v>
      </c>
      <c r="E393" t="s">
        <v>1151</v>
      </c>
      <c r="F393" t="s">
        <v>78</v>
      </c>
      <c r="G393" t="s">
        <v>1152</v>
      </c>
      <c r="H393" t="s">
        <v>64</v>
      </c>
      <c r="I393" t="s">
        <v>26</v>
      </c>
      <c r="J393">
        <v>1</v>
      </c>
      <c r="K393">
        <v>591</v>
      </c>
      <c r="L393">
        <v>591</v>
      </c>
      <c r="M393">
        <v>4.4000000000000004</v>
      </c>
      <c r="N393">
        <v>45</v>
      </c>
      <c r="O393">
        <v>449</v>
      </c>
      <c r="P393">
        <v>0</v>
      </c>
      <c r="Q393" t="s">
        <v>27</v>
      </c>
      <c r="R393">
        <v>18</v>
      </c>
      <c r="S393" t="s">
        <v>28</v>
      </c>
    </row>
    <row r="394" spans="1:19" x14ac:dyDescent="0.3">
      <c r="A394" t="s">
        <v>1153</v>
      </c>
      <c r="B394" s="2">
        <v>45324</v>
      </c>
      <c r="C394" t="s">
        <v>113</v>
      </c>
      <c r="D394" t="s">
        <v>21</v>
      </c>
      <c r="E394" t="s">
        <v>1154</v>
      </c>
      <c r="F394" t="s">
        <v>192</v>
      </c>
      <c r="G394" t="s">
        <v>1155</v>
      </c>
      <c r="H394" t="s">
        <v>64</v>
      </c>
      <c r="I394" t="s">
        <v>26</v>
      </c>
      <c r="J394">
        <v>4</v>
      </c>
      <c r="K394">
        <v>262</v>
      </c>
      <c r="L394">
        <v>1048</v>
      </c>
      <c r="M394">
        <v>3</v>
      </c>
      <c r="N394">
        <v>46</v>
      </c>
      <c r="P394">
        <v>0</v>
      </c>
      <c r="Q394" t="s">
        <v>34</v>
      </c>
      <c r="R394">
        <v>42</v>
      </c>
      <c r="S394" t="s">
        <v>28</v>
      </c>
    </row>
    <row r="395" spans="1:19" x14ac:dyDescent="0.3">
      <c r="A395" t="s">
        <v>1156</v>
      </c>
      <c r="B395" s="2">
        <v>45433</v>
      </c>
      <c r="C395" t="s">
        <v>71</v>
      </c>
      <c r="D395" t="s">
        <v>36</v>
      </c>
      <c r="E395" t="s">
        <v>1157</v>
      </c>
      <c r="F395" t="s">
        <v>23</v>
      </c>
      <c r="G395" t="s">
        <v>1158</v>
      </c>
      <c r="H395" t="s">
        <v>40</v>
      </c>
      <c r="I395" t="s">
        <v>26</v>
      </c>
      <c r="J395">
        <v>1</v>
      </c>
      <c r="K395">
        <v>551</v>
      </c>
      <c r="L395">
        <v>551</v>
      </c>
      <c r="M395">
        <v>4.5</v>
      </c>
      <c r="N395">
        <v>33</v>
      </c>
      <c r="O395">
        <v>449</v>
      </c>
      <c r="P395">
        <v>0</v>
      </c>
      <c r="Q395" t="s">
        <v>34</v>
      </c>
      <c r="R395">
        <v>48</v>
      </c>
      <c r="S395" t="s">
        <v>41</v>
      </c>
    </row>
    <row r="396" spans="1:19" x14ac:dyDescent="0.3">
      <c r="A396" t="s">
        <v>1159</v>
      </c>
      <c r="B396" s="2">
        <v>45312</v>
      </c>
      <c r="C396" t="s">
        <v>43</v>
      </c>
      <c r="D396" t="s">
        <v>60</v>
      </c>
      <c r="E396" t="s">
        <v>1160</v>
      </c>
      <c r="F396" t="s">
        <v>23</v>
      </c>
      <c r="G396" t="s">
        <v>1161</v>
      </c>
      <c r="H396" t="s">
        <v>64</v>
      </c>
      <c r="I396" t="s">
        <v>26</v>
      </c>
      <c r="J396">
        <v>1</v>
      </c>
      <c r="K396">
        <v>318</v>
      </c>
      <c r="L396">
        <v>318</v>
      </c>
      <c r="M396">
        <v>4.4000000000000004</v>
      </c>
      <c r="N396">
        <v>32</v>
      </c>
      <c r="O396">
        <v>80</v>
      </c>
      <c r="P396">
        <v>40</v>
      </c>
      <c r="Q396" t="s">
        <v>75</v>
      </c>
      <c r="R396">
        <v>27</v>
      </c>
      <c r="S396" t="s">
        <v>41</v>
      </c>
    </row>
    <row r="397" spans="1:19" x14ac:dyDescent="0.3">
      <c r="A397" t="s">
        <v>1162</v>
      </c>
      <c r="B397" s="2">
        <v>45339</v>
      </c>
      <c r="C397" t="s">
        <v>113</v>
      </c>
      <c r="D397" t="s">
        <v>100</v>
      </c>
      <c r="E397" t="s">
        <v>1163</v>
      </c>
      <c r="F397" t="s">
        <v>137</v>
      </c>
      <c r="G397" t="s">
        <v>1164</v>
      </c>
      <c r="H397" t="s">
        <v>80</v>
      </c>
      <c r="I397" t="s">
        <v>26</v>
      </c>
      <c r="J397">
        <v>1</v>
      </c>
      <c r="K397">
        <v>524</v>
      </c>
      <c r="L397">
        <v>524</v>
      </c>
      <c r="M397">
        <v>4.3</v>
      </c>
      <c r="N397">
        <v>29</v>
      </c>
      <c r="P397">
        <v>0</v>
      </c>
      <c r="Q397" t="s">
        <v>75</v>
      </c>
      <c r="R397">
        <v>39</v>
      </c>
      <c r="S397" t="s">
        <v>28</v>
      </c>
    </row>
    <row r="398" spans="1:19" x14ac:dyDescent="0.3">
      <c r="A398" t="s">
        <v>1165</v>
      </c>
      <c r="B398" s="2">
        <v>45439</v>
      </c>
      <c r="C398" t="s">
        <v>71</v>
      </c>
      <c r="D398" t="s">
        <v>44</v>
      </c>
      <c r="E398" t="s">
        <v>1166</v>
      </c>
      <c r="F398" t="s">
        <v>137</v>
      </c>
      <c r="G398" t="s">
        <v>1167</v>
      </c>
      <c r="H398" t="s">
        <v>48</v>
      </c>
      <c r="I398" t="s">
        <v>33</v>
      </c>
      <c r="J398">
        <v>2</v>
      </c>
      <c r="K398">
        <v>545</v>
      </c>
      <c r="L398">
        <v>1090</v>
      </c>
      <c r="M398">
        <v>4.4000000000000004</v>
      </c>
      <c r="N398">
        <v>39</v>
      </c>
      <c r="O398">
        <v>75</v>
      </c>
      <c r="P398">
        <v>30</v>
      </c>
      <c r="Q398" t="s">
        <v>75</v>
      </c>
      <c r="R398">
        <v>27</v>
      </c>
      <c r="S398" t="s">
        <v>41</v>
      </c>
    </row>
    <row r="399" spans="1:19" x14ac:dyDescent="0.3">
      <c r="A399" t="s">
        <v>1168</v>
      </c>
      <c r="B399" s="2">
        <v>45419</v>
      </c>
      <c r="C399" t="s">
        <v>71</v>
      </c>
      <c r="D399" t="s">
        <v>36</v>
      </c>
      <c r="E399" t="s">
        <v>1169</v>
      </c>
      <c r="F399" t="s">
        <v>23</v>
      </c>
      <c r="G399" t="s">
        <v>1170</v>
      </c>
      <c r="H399" t="s">
        <v>80</v>
      </c>
      <c r="I399" t="s">
        <v>26</v>
      </c>
      <c r="J399">
        <v>4</v>
      </c>
      <c r="K399">
        <v>273</v>
      </c>
      <c r="L399">
        <v>1092</v>
      </c>
      <c r="M399">
        <v>4.5</v>
      </c>
      <c r="N399">
        <v>39</v>
      </c>
      <c r="O399">
        <v>50</v>
      </c>
      <c r="P399">
        <v>20</v>
      </c>
      <c r="Q399" t="s">
        <v>49</v>
      </c>
      <c r="R399">
        <v>38</v>
      </c>
      <c r="S399" t="s">
        <v>41</v>
      </c>
    </row>
    <row r="400" spans="1:19" x14ac:dyDescent="0.3">
      <c r="A400" t="s">
        <v>1171</v>
      </c>
      <c r="B400" s="2">
        <v>45427</v>
      </c>
      <c r="C400" t="s">
        <v>71</v>
      </c>
      <c r="D400" t="s">
        <v>72</v>
      </c>
      <c r="E400" t="s">
        <v>1172</v>
      </c>
      <c r="F400" t="s">
        <v>62</v>
      </c>
      <c r="G400" t="s">
        <v>1173</v>
      </c>
      <c r="H400" t="s">
        <v>40</v>
      </c>
      <c r="I400" t="s">
        <v>26</v>
      </c>
      <c r="J400">
        <v>1</v>
      </c>
      <c r="K400">
        <v>495</v>
      </c>
      <c r="L400">
        <v>495</v>
      </c>
      <c r="M400">
        <v>4.2</v>
      </c>
      <c r="N400">
        <v>37</v>
      </c>
      <c r="P400">
        <v>0</v>
      </c>
      <c r="Q400" t="s">
        <v>34</v>
      </c>
      <c r="R400">
        <v>32</v>
      </c>
      <c r="S400" t="s">
        <v>28</v>
      </c>
    </row>
    <row r="401" spans="1:19" x14ac:dyDescent="0.3">
      <c r="A401" t="s">
        <v>1174</v>
      </c>
      <c r="B401" s="2">
        <v>45426</v>
      </c>
      <c r="C401" t="s">
        <v>71</v>
      </c>
      <c r="D401" t="s">
        <v>36</v>
      </c>
      <c r="E401" t="s">
        <v>1175</v>
      </c>
      <c r="F401" t="s">
        <v>46</v>
      </c>
      <c r="G401" t="s">
        <v>227</v>
      </c>
      <c r="H401" t="s">
        <v>80</v>
      </c>
      <c r="I401" t="s">
        <v>26</v>
      </c>
      <c r="J401">
        <v>4</v>
      </c>
      <c r="K401">
        <v>503</v>
      </c>
      <c r="L401">
        <v>2012</v>
      </c>
      <c r="M401">
        <v>3.1</v>
      </c>
      <c r="N401">
        <v>34</v>
      </c>
      <c r="O401">
        <v>200</v>
      </c>
      <c r="P401">
        <v>40</v>
      </c>
      <c r="Q401" t="s">
        <v>49</v>
      </c>
      <c r="R401">
        <v>34</v>
      </c>
      <c r="S401" t="s">
        <v>28</v>
      </c>
    </row>
    <row r="402" spans="1:19" x14ac:dyDescent="0.3">
      <c r="A402" t="s">
        <v>1176</v>
      </c>
      <c r="B402" s="2">
        <v>45486</v>
      </c>
      <c r="C402" t="s">
        <v>59</v>
      </c>
      <c r="D402" t="s">
        <v>100</v>
      </c>
      <c r="E402" t="s">
        <v>1177</v>
      </c>
      <c r="F402" t="s">
        <v>62</v>
      </c>
      <c r="G402" t="s">
        <v>227</v>
      </c>
      <c r="H402" t="s">
        <v>80</v>
      </c>
      <c r="I402" t="s">
        <v>26</v>
      </c>
      <c r="J402">
        <v>2</v>
      </c>
      <c r="K402">
        <v>261</v>
      </c>
      <c r="L402">
        <v>522</v>
      </c>
      <c r="M402">
        <v>4.4000000000000004</v>
      </c>
      <c r="N402">
        <v>32</v>
      </c>
      <c r="P402">
        <v>0</v>
      </c>
      <c r="Q402" t="s">
        <v>34</v>
      </c>
      <c r="R402">
        <v>39</v>
      </c>
      <c r="S402" t="s">
        <v>41</v>
      </c>
    </row>
    <row r="403" spans="1:19" x14ac:dyDescent="0.3">
      <c r="A403" t="s">
        <v>1178</v>
      </c>
      <c r="B403" s="2">
        <v>45436</v>
      </c>
      <c r="C403" t="s">
        <v>71</v>
      </c>
      <c r="D403" t="s">
        <v>21</v>
      </c>
      <c r="E403" t="s">
        <v>1179</v>
      </c>
      <c r="F403" t="s">
        <v>23</v>
      </c>
      <c r="G403" t="s">
        <v>48</v>
      </c>
      <c r="H403" t="s">
        <v>48</v>
      </c>
      <c r="I403" t="s">
        <v>33</v>
      </c>
      <c r="J403">
        <v>1</v>
      </c>
      <c r="K403">
        <v>432</v>
      </c>
      <c r="L403">
        <v>432</v>
      </c>
      <c r="M403">
        <v>3.9</v>
      </c>
      <c r="N403">
        <v>28</v>
      </c>
      <c r="P403">
        <v>0</v>
      </c>
      <c r="Q403" t="s">
        <v>34</v>
      </c>
      <c r="R403">
        <v>23</v>
      </c>
      <c r="S403" t="s">
        <v>41</v>
      </c>
    </row>
    <row r="404" spans="1:19" x14ac:dyDescent="0.3">
      <c r="A404" t="s">
        <v>1180</v>
      </c>
      <c r="B404" s="2">
        <v>45419</v>
      </c>
      <c r="C404" t="s">
        <v>71</v>
      </c>
      <c r="D404" t="s">
        <v>36</v>
      </c>
      <c r="E404" t="s">
        <v>1181</v>
      </c>
      <c r="F404" t="s">
        <v>115</v>
      </c>
      <c r="G404" t="s">
        <v>1058</v>
      </c>
      <c r="H404" t="s">
        <v>80</v>
      </c>
      <c r="I404" t="s">
        <v>26</v>
      </c>
      <c r="J404">
        <v>3</v>
      </c>
      <c r="K404">
        <v>284</v>
      </c>
      <c r="L404">
        <v>852</v>
      </c>
      <c r="M404">
        <v>4.4000000000000004</v>
      </c>
      <c r="N404">
        <v>22</v>
      </c>
      <c r="O404">
        <v>700</v>
      </c>
      <c r="P404">
        <v>10</v>
      </c>
      <c r="Q404" t="s">
        <v>27</v>
      </c>
      <c r="R404">
        <v>20</v>
      </c>
      <c r="S404" t="s">
        <v>41</v>
      </c>
    </row>
    <row r="405" spans="1:19" x14ac:dyDescent="0.3">
      <c r="A405" t="s">
        <v>1182</v>
      </c>
      <c r="B405" s="2">
        <v>45324</v>
      </c>
      <c r="C405" t="s">
        <v>113</v>
      </c>
      <c r="D405" t="s">
        <v>21</v>
      </c>
      <c r="E405" t="s">
        <v>1183</v>
      </c>
      <c r="F405" t="s">
        <v>46</v>
      </c>
      <c r="G405" t="s">
        <v>1184</v>
      </c>
      <c r="H405" t="s">
        <v>48</v>
      </c>
      <c r="I405" t="s">
        <v>33</v>
      </c>
      <c r="J405">
        <v>2</v>
      </c>
      <c r="K405">
        <v>433</v>
      </c>
      <c r="L405">
        <v>866</v>
      </c>
      <c r="M405">
        <v>3.8</v>
      </c>
      <c r="N405">
        <v>27</v>
      </c>
      <c r="O405">
        <v>100</v>
      </c>
      <c r="P405">
        <v>50</v>
      </c>
      <c r="Q405" t="s">
        <v>34</v>
      </c>
      <c r="R405">
        <v>30</v>
      </c>
      <c r="S405" t="s">
        <v>28</v>
      </c>
    </row>
    <row r="406" spans="1:19" x14ac:dyDescent="0.3">
      <c r="A406" t="s">
        <v>1185</v>
      </c>
      <c r="B406" s="2">
        <v>45467</v>
      </c>
      <c r="C406" t="s">
        <v>30</v>
      </c>
      <c r="D406" t="s">
        <v>44</v>
      </c>
      <c r="E406" t="s">
        <v>1186</v>
      </c>
      <c r="F406" t="s">
        <v>46</v>
      </c>
      <c r="G406" t="s">
        <v>1187</v>
      </c>
      <c r="H406" t="s">
        <v>53</v>
      </c>
      <c r="I406" t="s">
        <v>26</v>
      </c>
      <c r="J406">
        <v>3</v>
      </c>
      <c r="K406">
        <v>140</v>
      </c>
      <c r="L406">
        <v>420</v>
      </c>
      <c r="M406">
        <v>3.6</v>
      </c>
      <c r="N406">
        <v>19</v>
      </c>
      <c r="O406">
        <v>499</v>
      </c>
      <c r="P406">
        <v>0</v>
      </c>
      <c r="Q406" t="s">
        <v>34</v>
      </c>
      <c r="R406">
        <v>33</v>
      </c>
      <c r="S406" t="s">
        <v>28</v>
      </c>
    </row>
    <row r="407" spans="1:19" x14ac:dyDescent="0.3">
      <c r="A407" t="s">
        <v>1188</v>
      </c>
      <c r="B407" s="2">
        <v>45495</v>
      </c>
      <c r="C407" t="s">
        <v>59</v>
      </c>
      <c r="D407" t="s">
        <v>44</v>
      </c>
      <c r="E407" t="s">
        <v>1189</v>
      </c>
      <c r="F407" t="s">
        <v>46</v>
      </c>
      <c r="G407" t="s">
        <v>210</v>
      </c>
      <c r="H407" t="s">
        <v>80</v>
      </c>
      <c r="I407" t="s">
        <v>26</v>
      </c>
      <c r="J407">
        <v>4</v>
      </c>
      <c r="K407">
        <v>201</v>
      </c>
      <c r="L407">
        <v>804</v>
      </c>
      <c r="M407">
        <v>4.3</v>
      </c>
      <c r="N407">
        <v>12</v>
      </c>
      <c r="O407">
        <v>40</v>
      </c>
      <c r="P407">
        <v>10</v>
      </c>
      <c r="Q407" t="s">
        <v>49</v>
      </c>
      <c r="R407">
        <v>25</v>
      </c>
      <c r="S407" t="s">
        <v>28</v>
      </c>
    </row>
    <row r="408" spans="1:19" x14ac:dyDescent="0.3">
      <c r="A408" t="s">
        <v>1190</v>
      </c>
      <c r="B408" s="2">
        <v>45478</v>
      </c>
      <c r="C408" t="s">
        <v>59</v>
      </c>
      <c r="D408" t="s">
        <v>21</v>
      </c>
      <c r="E408" t="s">
        <v>1191</v>
      </c>
      <c r="F408" t="s">
        <v>1192</v>
      </c>
      <c r="G408" t="s">
        <v>373</v>
      </c>
      <c r="H408" t="s">
        <v>80</v>
      </c>
      <c r="I408" t="s">
        <v>26</v>
      </c>
      <c r="J408">
        <v>4</v>
      </c>
      <c r="K408">
        <v>188</v>
      </c>
      <c r="L408">
        <v>752</v>
      </c>
      <c r="M408">
        <v>4.2</v>
      </c>
      <c r="N408">
        <v>43</v>
      </c>
      <c r="O408">
        <v>1500</v>
      </c>
      <c r="P408">
        <v>10</v>
      </c>
      <c r="Q408" t="s">
        <v>34</v>
      </c>
      <c r="R408">
        <v>47</v>
      </c>
      <c r="S408" t="s">
        <v>28</v>
      </c>
    </row>
    <row r="409" spans="1:19" x14ac:dyDescent="0.3">
      <c r="A409" t="s">
        <v>1193</v>
      </c>
      <c r="B409" s="2">
        <v>45406</v>
      </c>
      <c r="C409" t="s">
        <v>20</v>
      </c>
      <c r="D409" t="s">
        <v>72</v>
      </c>
      <c r="E409" t="s">
        <v>1194</v>
      </c>
      <c r="F409" t="s">
        <v>23</v>
      </c>
      <c r="G409" t="s">
        <v>978</v>
      </c>
      <c r="H409" t="s">
        <v>80</v>
      </c>
      <c r="I409" t="s">
        <v>26</v>
      </c>
      <c r="J409">
        <v>2</v>
      </c>
      <c r="K409">
        <v>250</v>
      </c>
      <c r="L409">
        <v>500</v>
      </c>
      <c r="M409">
        <v>4</v>
      </c>
      <c r="N409">
        <v>34</v>
      </c>
      <c r="O409">
        <v>100</v>
      </c>
      <c r="P409">
        <v>50</v>
      </c>
      <c r="Q409" t="s">
        <v>49</v>
      </c>
      <c r="R409">
        <v>32</v>
      </c>
      <c r="S409" t="s">
        <v>41</v>
      </c>
    </row>
    <row r="410" spans="1:19" x14ac:dyDescent="0.3">
      <c r="A410" t="s">
        <v>1195</v>
      </c>
      <c r="B410" s="2">
        <v>45505</v>
      </c>
      <c r="C410" t="s">
        <v>82</v>
      </c>
      <c r="D410" t="s">
        <v>92</v>
      </c>
      <c r="E410" t="s">
        <v>1196</v>
      </c>
      <c r="F410" t="s">
        <v>824</v>
      </c>
      <c r="G410" t="s">
        <v>579</v>
      </c>
      <c r="H410" t="s">
        <v>64</v>
      </c>
      <c r="I410" t="s">
        <v>26</v>
      </c>
      <c r="J410">
        <v>4</v>
      </c>
      <c r="K410">
        <v>206</v>
      </c>
      <c r="L410">
        <v>824</v>
      </c>
      <c r="M410">
        <v>3.8</v>
      </c>
      <c r="N410">
        <v>45</v>
      </c>
      <c r="O410">
        <v>129</v>
      </c>
      <c r="P410">
        <v>0</v>
      </c>
      <c r="Q410" t="s">
        <v>75</v>
      </c>
      <c r="R410">
        <v>34</v>
      </c>
      <c r="S410" t="s">
        <v>28</v>
      </c>
    </row>
    <row r="411" spans="1:19" x14ac:dyDescent="0.3">
      <c r="A411" t="s">
        <v>1197</v>
      </c>
      <c r="B411" s="2">
        <v>45410</v>
      </c>
      <c r="C411" t="s">
        <v>20</v>
      </c>
      <c r="D411" t="s">
        <v>60</v>
      </c>
      <c r="E411" t="s">
        <v>1198</v>
      </c>
      <c r="F411" t="s">
        <v>78</v>
      </c>
      <c r="G411" t="s">
        <v>1199</v>
      </c>
      <c r="H411" t="s">
        <v>53</v>
      </c>
      <c r="I411" t="s">
        <v>26</v>
      </c>
      <c r="J411">
        <v>3</v>
      </c>
      <c r="K411">
        <v>337</v>
      </c>
      <c r="L411">
        <v>1011</v>
      </c>
      <c r="M411">
        <v>4.2</v>
      </c>
      <c r="N411">
        <v>55</v>
      </c>
      <c r="P411">
        <v>0</v>
      </c>
      <c r="Q411" t="s">
        <v>34</v>
      </c>
      <c r="R411">
        <v>34</v>
      </c>
      <c r="S411" t="s">
        <v>28</v>
      </c>
    </row>
    <row r="412" spans="1:19" x14ac:dyDescent="0.3">
      <c r="A412" t="s">
        <v>1200</v>
      </c>
      <c r="B412" s="2">
        <v>45313</v>
      </c>
      <c r="C412" t="s">
        <v>43</v>
      </c>
      <c r="D412" t="s">
        <v>44</v>
      </c>
      <c r="E412" t="s">
        <v>1201</v>
      </c>
      <c r="F412" t="s">
        <v>78</v>
      </c>
      <c r="G412" t="s">
        <v>84</v>
      </c>
      <c r="H412" t="s">
        <v>64</v>
      </c>
      <c r="I412" t="s">
        <v>26</v>
      </c>
      <c r="J412">
        <v>1</v>
      </c>
      <c r="K412">
        <v>540</v>
      </c>
      <c r="L412">
        <v>540</v>
      </c>
      <c r="M412">
        <v>4.0999999999999996</v>
      </c>
      <c r="N412">
        <v>55</v>
      </c>
      <c r="O412">
        <v>399</v>
      </c>
      <c r="P412">
        <v>0</v>
      </c>
      <c r="Q412" t="s">
        <v>34</v>
      </c>
      <c r="R412">
        <v>39</v>
      </c>
      <c r="S412" t="s">
        <v>41</v>
      </c>
    </row>
    <row r="413" spans="1:19" x14ac:dyDescent="0.3">
      <c r="A413" t="s">
        <v>1202</v>
      </c>
      <c r="B413" s="2">
        <v>45529</v>
      </c>
      <c r="C413" t="s">
        <v>82</v>
      </c>
      <c r="D413" t="s">
        <v>60</v>
      </c>
      <c r="E413" t="s">
        <v>1203</v>
      </c>
      <c r="F413" t="s">
        <v>192</v>
      </c>
      <c r="G413" t="s">
        <v>1204</v>
      </c>
      <c r="H413" t="s">
        <v>40</v>
      </c>
      <c r="I413" t="s">
        <v>26</v>
      </c>
      <c r="J413">
        <v>1</v>
      </c>
      <c r="K413">
        <v>591</v>
      </c>
      <c r="L413">
        <v>591</v>
      </c>
      <c r="M413">
        <v>4.5999999999999996</v>
      </c>
      <c r="N413">
        <v>53</v>
      </c>
      <c r="O413">
        <v>999</v>
      </c>
      <c r="P413">
        <v>0</v>
      </c>
      <c r="Q413" t="s">
        <v>49</v>
      </c>
      <c r="R413">
        <v>43</v>
      </c>
      <c r="S413" t="s">
        <v>41</v>
      </c>
    </row>
    <row r="414" spans="1:19" x14ac:dyDescent="0.3">
      <c r="A414" t="s">
        <v>1205</v>
      </c>
      <c r="B414" s="2">
        <v>45449</v>
      </c>
      <c r="C414" t="s">
        <v>30</v>
      </c>
      <c r="D414" t="s">
        <v>92</v>
      </c>
      <c r="E414" t="s">
        <v>1206</v>
      </c>
      <c r="F414" t="s">
        <v>78</v>
      </c>
      <c r="G414" t="s">
        <v>1207</v>
      </c>
      <c r="H414" t="s">
        <v>80</v>
      </c>
      <c r="I414" t="s">
        <v>26</v>
      </c>
      <c r="J414">
        <v>1</v>
      </c>
      <c r="K414">
        <v>424</v>
      </c>
      <c r="L414">
        <v>424</v>
      </c>
      <c r="M414">
        <v>4</v>
      </c>
      <c r="N414">
        <v>66</v>
      </c>
      <c r="O414">
        <v>399</v>
      </c>
      <c r="P414">
        <v>0</v>
      </c>
      <c r="Q414" t="s">
        <v>75</v>
      </c>
      <c r="R414">
        <v>30</v>
      </c>
      <c r="S414" t="s">
        <v>41</v>
      </c>
    </row>
    <row r="415" spans="1:19" x14ac:dyDescent="0.3">
      <c r="A415" t="s">
        <v>1208</v>
      </c>
      <c r="B415" s="2">
        <v>45329</v>
      </c>
      <c r="C415" t="s">
        <v>113</v>
      </c>
      <c r="D415" t="s">
        <v>72</v>
      </c>
      <c r="E415" t="s">
        <v>1209</v>
      </c>
      <c r="F415" t="s">
        <v>87</v>
      </c>
      <c r="G415" t="s">
        <v>1210</v>
      </c>
      <c r="H415" t="s">
        <v>80</v>
      </c>
      <c r="I415" t="s">
        <v>26</v>
      </c>
      <c r="J415">
        <v>2</v>
      </c>
      <c r="K415">
        <v>522</v>
      </c>
      <c r="L415">
        <v>1044</v>
      </c>
      <c r="M415">
        <v>3.9</v>
      </c>
      <c r="N415">
        <v>36</v>
      </c>
      <c r="O415">
        <v>999</v>
      </c>
      <c r="P415">
        <v>0</v>
      </c>
      <c r="Q415" t="s">
        <v>27</v>
      </c>
      <c r="R415">
        <v>34</v>
      </c>
      <c r="S415" t="s">
        <v>28</v>
      </c>
    </row>
    <row r="416" spans="1:19" x14ac:dyDescent="0.3">
      <c r="A416" t="s">
        <v>1211</v>
      </c>
      <c r="B416" s="2">
        <v>45521</v>
      </c>
      <c r="C416" t="s">
        <v>82</v>
      </c>
      <c r="D416" t="s">
        <v>100</v>
      </c>
      <c r="E416" t="s">
        <v>1212</v>
      </c>
      <c r="F416" t="s">
        <v>115</v>
      </c>
      <c r="G416" t="s">
        <v>1213</v>
      </c>
      <c r="H416" t="s">
        <v>53</v>
      </c>
      <c r="I416" t="s">
        <v>26</v>
      </c>
      <c r="J416">
        <v>4</v>
      </c>
      <c r="K416">
        <v>490</v>
      </c>
      <c r="L416">
        <v>1960</v>
      </c>
      <c r="M416">
        <v>4.2</v>
      </c>
      <c r="N416">
        <v>31</v>
      </c>
      <c r="P416">
        <v>0</v>
      </c>
      <c r="Q416" t="s">
        <v>75</v>
      </c>
      <c r="R416">
        <v>23</v>
      </c>
      <c r="S416" t="s">
        <v>41</v>
      </c>
    </row>
    <row r="417" spans="1:19" x14ac:dyDescent="0.3">
      <c r="A417" t="s">
        <v>1214</v>
      </c>
      <c r="B417" s="2">
        <v>45400</v>
      </c>
      <c r="C417" t="s">
        <v>20</v>
      </c>
      <c r="D417" t="s">
        <v>92</v>
      </c>
      <c r="E417" t="s">
        <v>1215</v>
      </c>
      <c r="F417" t="s">
        <v>137</v>
      </c>
      <c r="G417" t="s">
        <v>1216</v>
      </c>
      <c r="H417" t="s">
        <v>80</v>
      </c>
      <c r="I417" t="s">
        <v>26</v>
      </c>
      <c r="J417">
        <v>3</v>
      </c>
      <c r="K417">
        <v>464</v>
      </c>
      <c r="L417">
        <v>1392</v>
      </c>
      <c r="M417">
        <v>4.4000000000000004</v>
      </c>
      <c r="N417">
        <v>39</v>
      </c>
      <c r="P417">
        <v>0</v>
      </c>
      <c r="Q417" t="s">
        <v>49</v>
      </c>
      <c r="R417">
        <v>34</v>
      </c>
      <c r="S417" t="s">
        <v>41</v>
      </c>
    </row>
    <row r="418" spans="1:19" x14ac:dyDescent="0.3">
      <c r="A418" t="s">
        <v>1217</v>
      </c>
      <c r="B418" s="2">
        <v>45342</v>
      </c>
      <c r="C418" t="s">
        <v>113</v>
      </c>
      <c r="D418" t="s">
        <v>36</v>
      </c>
      <c r="E418" t="s">
        <v>1218</v>
      </c>
      <c r="F418" t="s">
        <v>713</v>
      </c>
      <c r="G418" t="s">
        <v>1219</v>
      </c>
      <c r="H418" t="s">
        <v>48</v>
      </c>
      <c r="I418" t="s">
        <v>33</v>
      </c>
      <c r="J418">
        <v>4</v>
      </c>
      <c r="K418">
        <v>460</v>
      </c>
      <c r="L418">
        <v>1840</v>
      </c>
      <c r="M418">
        <v>4.4000000000000004</v>
      </c>
      <c r="N418">
        <v>27</v>
      </c>
      <c r="P418">
        <v>0</v>
      </c>
      <c r="Q418" t="s">
        <v>75</v>
      </c>
      <c r="R418">
        <v>33</v>
      </c>
      <c r="S418" t="s">
        <v>28</v>
      </c>
    </row>
    <row r="419" spans="1:19" x14ac:dyDescent="0.3">
      <c r="A419" t="s">
        <v>1220</v>
      </c>
      <c r="B419" s="2">
        <v>45473</v>
      </c>
      <c r="C419" t="s">
        <v>30</v>
      </c>
      <c r="D419" t="s">
        <v>60</v>
      </c>
      <c r="E419" t="s">
        <v>1221</v>
      </c>
      <c r="F419" t="s">
        <v>62</v>
      </c>
      <c r="G419" t="s">
        <v>1222</v>
      </c>
      <c r="H419" t="s">
        <v>80</v>
      </c>
      <c r="I419" t="s">
        <v>26</v>
      </c>
      <c r="J419">
        <v>4</v>
      </c>
      <c r="K419">
        <v>503</v>
      </c>
      <c r="L419">
        <v>2012</v>
      </c>
      <c r="M419">
        <v>4.5999999999999996</v>
      </c>
      <c r="N419">
        <v>32</v>
      </c>
      <c r="P419">
        <v>0</v>
      </c>
      <c r="Q419" t="s">
        <v>49</v>
      </c>
      <c r="R419">
        <v>31</v>
      </c>
      <c r="S419" t="s">
        <v>28</v>
      </c>
    </row>
    <row r="420" spans="1:19" x14ac:dyDescent="0.3">
      <c r="A420" t="s">
        <v>1223</v>
      </c>
      <c r="B420" s="2">
        <v>45299</v>
      </c>
      <c r="C420" t="s">
        <v>43</v>
      </c>
      <c r="D420" t="s">
        <v>44</v>
      </c>
      <c r="E420" t="s">
        <v>1224</v>
      </c>
      <c r="F420" t="s">
        <v>1225</v>
      </c>
      <c r="G420" t="s">
        <v>1226</v>
      </c>
      <c r="H420" t="s">
        <v>48</v>
      </c>
      <c r="I420" t="s">
        <v>33</v>
      </c>
      <c r="J420">
        <v>4</v>
      </c>
      <c r="K420">
        <v>515</v>
      </c>
      <c r="L420">
        <v>2060</v>
      </c>
      <c r="M420">
        <v>4.5</v>
      </c>
      <c r="N420">
        <v>28</v>
      </c>
      <c r="P420">
        <v>0</v>
      </c>
      <c r="Q420" t="s">
        <v>49</v>
      </c>
      <c r="R420">
        <v>30</v>
      </c>
      <c r="S420" t="s">
        <v>41</v>
      </c>
    </row>
    <row r="421" spans="1:19" x14ac:dyDescent="0.3">
      <c r="A421" t="s">
        <v>1227</v>
      </c>
      <c r="B421" s="2">
        <v>45318</v>
      </c>
      <c r="C421" t="s">
        <v>43</v>
      </c>
      <c r="D421" t="s">
        <v>100</v>
      </c>
      <c r="E421" t="s">
        <v>1228</v>
      </c>
      <c r="F421" t="s">
        <v>115</v>
      </c>
      <c r="G421" t="s">
        <v>186</v>
      </c>
      <c r="H421" t="s">
        <v>80</v>
      </c>
      <c r="I421" t="s">
        <v>26</v>
      </c>
      <c r="J421">
        <v>1</v>
      </c>
      <c r="K421">
        <v>564</v>
      </c>
      <c r="L421">
        <v>564</v>
      </c>
      <c r="P421">
        <v>0</v>
      </c>
      <c r="Q421" t="s">
        <v>27</v>
      </c>
      <c r="R421">
        <v>23</v>
      </c>
      <c r="S421" t="s">
        <v>28</v>
      </c>
    </row>
    <row r="422" spans="1:19" x14ac:dyDescent="0.3">
      <c r="A422" t="s">
        <v>1229</v>
      </c>
      <c r="B422" s="2">
        <v>45318</v>
      </c>
      <c r="C422" t="s">
        <v>43</v>
      </c>
      <c r="D422" t="s">
        <v>100</v>
      </c>
      <c r="E422" t="s">
        <v>1230</v>
      </c>
      <c r="F422" t="s">
        <v>137</v>
      </c>
      <c r="G422" t="s">
        <v>1231</v>
      </c>
      <c r="H422" t="s">
        <v>80</v>
      </c>
      <c r="I422" t="s">
        <v>26</v>
      </c>
      <c r="J422">
        <v>3</v>
      </c>
      <c r="K422">
        <v>544</v>
      </c>
      <c r="L422">
        <v>1632</v>
      </c>
      <c r="M422">
        <v>3.8</v>
      </c>
      <c r="N422">
        <v>27</v>
      </c>
      <c r="O422">
        <v>599</v>
      </c>
      <c r="P422">
        <v>0</v>
      </c>
      <c r="Q422" t="s">
        <v>34</v>
      </c>
      <c r="R422">
        <v>20</v>
      </c>
      <c r="S422" t="s">
        <v>41</v>
      </c>
    </row>
    <row r="423" spans="1:19" x14ac:dyDescent="0.3">
      <c r="A423" t="s">
        <v>1232</v>
      </c>
      <c r="B423" s="2">
        <v>45517</v>
      </c>
      <c r="C423" t="s">
        <v>82</v>
      </c>
      <c r="D423" t="s">
        <v>36</v>
      </c>
      <c r="E423" t="s">
        <v>1233</v>
      </c>
      <c r="F423" t="s">
        <v>62</v>
      </c>
      <c r="G423" t="s">
        <v>154</v>
      </c>
      <c r="H423" t="s">
        <v>80</v>
      </c>
      <c r="I423" t="s">
        <v>26</v>
      </c>
      <c r="J423">
        <v>3</v>
      </c>
      <c r="K423">
        <v>280</v>
      </c>
      <c r="L423">
        <v>840</v>
      </c>
      <c r="M423">
        <v>4.3</v>
      </c>
      <c r="N423">
        <v>39</v>
      </c>
      <c r="P423">
        <v>0</v>
      </c>
      <c r="Q423" t="s">
        <v>49</v>
      </c>
      <c r="R423">
        <v>31</v>
      </c>
      <c r="S423" t="s">
        <v>41</v>
      </c>
    </row>
    <row r="424" spans="1:19" x14ac:dyDescent="0.3">
      <c r="A424" t="s">
        <v>1234</v>
      </c>
      <c r="B424" s="2">
        <v>45312</v>
      </c>
      <c r="C424" t="s">
        <v>43</v>
      </c>
      <c r="D424" t="s">
        <v>60</v>
      </c>
      <c r="E424" t="s">
        <v>1235</v>
      </c>
      <c r="F424" t="s">
        <v>115</v>
      </c>
      <c r="G424" t="s">
        <v>210</v>
      </c>
      <c r="H424" t="s">
        <v>80</v>
      </c>
      <c r="I424" t="s">
        <v>26</v>
      </c>
      <c r="J424">
        <v>4</v>
      </c>
      <c r="K424">
        <v>297</v>
      </c>
      <c r="L424">
        <v>1188</v>
      </c>
      <c r="M424">
        <v>4.5999999999999996</v>
      </c>
      <c r="N424">
        <v>29</v>
      </c>
      <c r="P424">
        <v>0</v>
      </c>
      <c r="Q424" t="s">
        <v>49</v>
      </c>
      <c r="R424">
        <v>31</v>
      </c>
      <c r="S424" t="s">
        <v>28</v>
      </c>
    </row>
    <row r="425" spans="1:19" x14ac:dyDescent="0.3">
      <c r="A425" t="s">
        <v>1236</v>
      </c>
      <c r="B425" s="2">
        <v>45321</v>
      </c>
      <c r="C425" t="s">
        <v>43</v>
      </c>
      <c r="D425" t="s">
        <v>36</v>
      </c>
      <c r="E425" t="s">
        <v>1237</v>
      </c>
      <c r="F425" t="s">
        <v>192</v>
      </c>
      <c r="G425" t="s">
        <v>1238</v>
      </c>
      <c r="H425" t="s">
        <v>80</v>
      </c>
      <c r="I425" t="s">
        <v>26</v>
      </c>
      <c r="J425">
        <v>1</v>
      </c>
      <c r="K425">
        <v>236</v>
      </c>
      <c r="L425">
        <v>236</v>
      </c>
      <c r="M425">
        <v>4.4000000000000004</v>
      </c>
      <c r="N425">
        <v>38</v>
      </c>
      <c r="P425">
        <v>0</v>
      </c>
      <c r="Q425" t="s">
        <v>27</v>
      </c>
      <c r="R425">
        <v>32</v>
      </c>
      <c r="S425" t="s">
        <v>41</v>
      </c>
    </row>
    <row r="426" spans="1:19" x14ac:dyDescent="0.3">
      <c r="A426" t="s">
        <v>1239</v>
      </c>
      <c r="B426" s="2">
        <v>45388</v>
      </c>
      <c r="C426" t="s">
        <v>20</v>
      </c>
      <c r="D426" t="s">
        <v>100</v>
      </c>
      <c r="E426" t="s">
        <v>1240</v>
      </c>
      <c r="F426" t="s">
        <v>115</v>
      </c>
      <c r="G426" t="s">
        <v>1241</v>
      </c>
      <c r="H426" t="s">
        <v>48</v>
      </c>
      <c r="I426" t="s">
        <v>33</v>
      </c>
      <c r="J426">
        <v>1</v>
      </c>
      <c r="K426">
        <v>315</v>
      </c>
      <c r="L426">
        <v>315</v>
      </c>
      <c r="M426">
        <v>4.3</v>
      </c>
      <c r="N426">
        <v>38</v>
      </c>
      <c r="O426">
        <v>700</v>
      </c>
      <c r="P426">
        <v>10</v>
      </c>
      <c r="Q426" t="s">
        <v>49</v>
      </c>
      <c r="R426">
        <v>25</v>
      </c>
      <c r="S426" t="s">
        <v>28</v>
      </c>
    </row>
    <row r="427" spans="1:19" x14ac:dyDescent="0.3">
      <c r="A427" t="s">
        <v>1242</v>
      </c>
      <c r="B427" s="2">
        <v>45319</v>
      </c>
      <c r="C427" t="s">
        <v>43</v>
      </c>
      <c r="D427" t="s">
        <v>60</v>
      </c>
      <c r="E427" t="s">
        <v>1243</v>
      </c>
      <c r="F427" t="s">
        <v>62</v>
      </c>
      <c r="G427" t="s">
        <v>289</v>
      </c>
      <c r="H427" t="s">
        <v>48</v>
      </c>
      <c r="I427" t="s">
        <v>33</v>
      </c>
      <c r="J427">
        <v>3</v>
      </c>
      <c r="K427">
        <v>502</v>
      </c>
      <c r="L427">
        <v>1506</v>
      </c>
      <c r="M427">
        <v>4.4000000000000004</v>
      </c>
      <c r="N427">
        <v>30</v>
      </c>
      <c r="P427">
        <v>0</v>
      </c>
      <c r="Q427" t="s">
        <v>34</v>
      </c>
      <c r="R427">
        <v>46</v>
      </c>
      <c r="S427" t="s">
        <v>28</v>
      </c>
    </row>
    <row r="428" spans="1:19" x14ac:dyDescent="0.3">
      <c r="A428" t="s">
        <v>1244</v>
      </c>
      <c r="B428" s="2">
        <v>45402</v>
      </c>
      <c r="C428" t="s">
        <v>20</v>
      </c>
      <c r="D428" t="s">
        <v>100</v>
      </c>
      <c r="E428" t="s">
        <v>1245</v>
      </c>
      <c r="F428" t="s">
        <v>62</v>
      </c>
      <c r="G428" t="s">
        <v>1246</v>
      </c>
      <c r="H428" t="s">
        <v>80</v>
      </c>
      <c r="I428" t="s">
        <v>26</v>
      </c>
      <c r="J428">
        <v>1</v>
      </c>
      <c r="K428">
        <v>446</v>
      </c>
      <c r="L428">
        <v>446</v>
      </c>
      <c r="M428">
        <v>4.7</v>
      </c>
      <c r="N428">
        <v>25</v>
      </c>
      <c r="P428">
        <v>0</v>
      </c>
      <c r="Q428" t="s">
        <v>27</v>
      </c>
      <c r="R428">
        <v>32</v>
      </c>
      <c r="S428" t="s">
        <v>28</v>
      </c>
    </row>
    <row r="429" spans="1:19" x14ac:dyDescent="0.3">
      <c r="A429" t="s">
        <v>1247</v>
      </c>
      <c r="B429" s="2">
        <v>45483</v>
      </c>
      <c r="C429" t="s">
        <v>59</v>
      </c>
      <c r="D429" t="s">
        <v>72</v>
      </c>
      <c r="E429" t="s">
        <v>1248</v>
      </c>
      <c r="F429" t="s">
        <v>115</v>
      </c>
      <c r="G429" t="s">
        <v>79</v>
      </c>
      <c r="H429" t="s">
        <v>80</v>
      </c>
      <c r="I429" t="s">
        <v>26</v>
      </c>
      <c r="J429">
        <v>1</v>
      </c>
      <c r="K429">
        <v>205</v>
      </c>
      <c r="L429">
        <v>205</v>
      </c>
      <c r="M429">
        <v>4.3</v>
      </c>
      <c r="N429">
        <v>34</v>
      </c>
      <c r="P429">
        <v>0</v>
      </c>
      <c r="Q429" t="s">
        <v>34</v>
      </c>
      <c r="R429">
        <v>39</v>
      </c>
      <c r="S429" t="s">
        <v>41</v>
      </c>
    </row>
    <row r="430" spans="1:19" x14ac:dyDescent="0.3">
      <c r="A430" t="s">
        <v>1249</v>
      </c>
      <c r="B430" s="2">
        <v>45516</v>
      </c>
      <c r="C430" t="s">
        <v>82</v>
      </c>
      <c r="D430" t="s">
        <v>44</v>
      </c>
      <c r="E430" t="s">
        <v>1250</v>
      </c>
      <c r="F430" t="s">
        <v>87</v>
      </c>
      <c r="G430" t="s">
        <v>1251</v>
      </c>
      <c r="H430" t="s">
        <v>64</v>
      </c>
      <c r="I430" t="s">
        <v>26</v>
      </c>
      <c r="J430">
        <v>1</v>
      </c>
      <c r="K430">
        <v>408</v>
      </c>
      <c r="L430">
        <v>408</v>
      </c>
      <c r="M430">
        <v>4.2</v>
      </c>
      <c r="N430">
        <v>35</v>
      </c>
      <c r="O430">
        <v>600</v>
      </c>
      <c r="P430">
        <v>10</v>
      </c>
      <c r="Q430" t="s">
        <v>34</v>
      </c>
      <c r="R430">
        <v>46</v>
      </c>
      <c r="S430" t="s">
        <v>28</v>
      </c>
    </row>
    <row r="431" spans="1:19" x14ac:dyDescent="0.3">
      <c r="A431" t="s">
        <v>1252</v>
      </c>
      <c r="B431" s="2">
        <v>45488</v>
      </c>
      <c r="C431" t="s">
        <v>59</v>
      </c>
      <c r="D431" t="s">
        <v>44</v>
      </c>
      <c r="E431" t="s">
        <v>1253</v>
      </c>
      <c r="F431" t="s">
        <v>1254</v>
      </c>
      <c r="G431" t="s">
        <v>1255</v>
      </c>
      <c r="H431" t="s">
        <v>53</v>
      </c>
      <c r="I431" t="s">
        <v>26</v>
      </c>
      <c r="J431">
        <v>2</v>
      </c>
      <c r="K431">
        <v>200</v>
      </c>
      <c r="L431">
        <v>400</v>
      </c>
      <c r="M431">
        <v>4.4000000000000004</v>
      </c>
      <c r="N431">
        <v>28</v>
      </c>
      <c r="O431">
        <v>999</v>
      </c>
      <c r="P431">
        <v>0</v>
      </c>
      <c r="Q431" t="s">
        <v>27</v>
      </c>
      <c r="R431">
        <v>44</v>
      </c>
      <c r="S431" t="s">
        <v>28</v>
      </c>
    </row>
    <row r="432" spans="1:19" x14ac:dyDescent="0.3">
      <c r="A432" t="s">
        <v>1256</v>
      </c>
      <c r="B432" s="2">
        <v>45352</v>
      </c>
      <c r="C432" t="s">
        <v>55</v>
      </c>
      <c r="D432" t="s">
        <v>21</v>
      </c>
      <c r="E432" t="s">
        <v>1257</v>
      </c>
      <c r="F432" t="s">
        <v>46</v>
      </c>
      <c r="G432" t="s">
        <v>1258</v>
      </c>
      <c r="H432" t="s">
        <v>80</v>
      </c>
      <c r="I432" t="s">
        <v>26</v>
      </c>
      <c r="J432">
        <v>4</v>
      </c>
      <c r="K432">
        <v>271</v>
      </c>
      <c r="L432">
        <v>1084</v>
      </c>
      <c r="M432">
        <v>3.4</v>
      </c>
      <c r="N432">
        <v>51</v>
      </c>
      <c r="O432">
        <v>120</v>
      </c>
      <c r="P432">
        <v>60</v>
      </c>
      <c r="Q432" t="s">
        <v>49</v>
      </c>
      <c r="R432">
        <v>30</v>
      </c>
      <c r="S432" t="s">
        <v>41</v>
      </c>
    </row>
    <row r="433" spans="1:19" x14ac:dyDescent="0.3">
      <c r="A433" t="s">
        <v>1259</v>
      </c>
      <c r="B433" s="2">
        <v>45339</v>
      </c>
      <c r="C433" t="s">
        <v>113</v>
      </c>
      <c r="D433" t="s">
        <v>100</v>
      </c>
      <c r="E433" t="s">
        <v>1260</v>
      </c>
      <c r="F433" t="s">
        <v>46</v>
      </c>
      <c r="G433" t="s">
        <v>1261</v>
      </c>
      <c r="H433" t="s">
        <v>80</v>
      </c>
      <c r="I433" t="s">
        <v>26</v>
      </c>
      <c r="J433">
        <v>3</v>
      </c>
      <c r="K433">
        <v>180</v>
      </c>
      <c r="L433">
        <v>540</v>
      </c>
      <c r="M433">
        <v>4.2</v>
      </c>
      <c r="N433">
        <v>45</v>
      </c>
      <c r="O433">
        <v>249</v>
      </c>
      <c r="P433">
        <v>0</v>
      </c>
      <c r="Q433" t="s">
        <v>34</v>
      </c>
      <c r="R433">
        <v>34</v>
      </c>
      <c r="S433" t="s">
        <v>41</v>
      </c>
    </row>
    <row r="434" spans="1:19" x14ac:dyDescent="0.3">
      <c r="A434" t="s">
        <v>1262</v>
      </c>
      <c r="B434" s="2">
        <v>45438</v>
      </c>
      <c r="C434" t="s">
        <v>71</v>
      </c>
      <c r="D434" t="s">
        <v>60</v>
      </c>
      <c r="E434" t="s">
        <v>1263</v>
      </c>
      <c r="F434" t="s">
        <v>115</v>
      </c>
      <c r="G434" t="s">
        <v>1264</v>
      </c>
      <c r="H434" t="s">
        <v>53</v>
      </c>
      <c r="I434" t="s">
        <v>26</v>
      </c>
      <c r="J434">
        <v>3</v>
      </c>
      <c r="K434">
        <v>180</v>
      </c>
      <c r="L434">
        <v>540</v>
      </c>
      <c r="M434">
        <v>4.0999999999999996</v>
      </c>
      <c r="N434">
        <v>46</v>
      </c>
      <c r="O434">
        <v>749</v>
      </c>
      <c r="P434">
        <v>0</v>
      </c>
      <c r="Q434" t="s">
        <v>34</v>
      </c>
      <c r="R434">
        <v>48</v>
      </c>
      <c r="S434" t="s">
        <v>41</v>
      </c>
    </row>
    <row r="435" spans="1:19" x14ac:dyDescent="0.3">
      <c r="A435" t="s">
        <v>1265</v>
      </c>
      <c r="B435" s="2">
        <v>45295</v>
      </c>
      <c r="C435" t="s">
        <v>43</v>
      </c>
      <c r="D435" t="s">
        <v>92</v>
      </c>
      <c r="E435" t="s">
        <v>1266</v>
      </c>
      <c r="F435" t="s">
        <v>87</v>
      </c>
      <c r="G435" t="s">
        <v>1267</v>
      </c>
      <c r="H435" t="s">
        <v>53</v>
      </c>
      <c r="I435" t="s">
        <v>26</v>
      </c>
      <c r="J435">
        <v>2</v>
      </c>
      <c r="K435">
        <v>473</v>
      </c>
      <c r="L435">
        <v>946</v>
      </c>
      <c r="M435">
        <v>4.2</v>
      </c>
      <c r="N435">
        <v>42</v>
      </c>
      <c r="O435">
        <v>449</v>
      </c>
      <c r="P435">
        <v>0</v>
      </c>
      <c r="Q435" t="s">
        <v>34</v>
      </c>
      <c r="R435">
        <v>38</v>
      </c>
      <c r="S435" t="s">
        <v>41</v>
      </c>
    </row>
    <row r="436" spans="1:19" x14ac:dyDescent="0.3">
      <c r="A436" t="s">
        <v>1268</v>
      </c>
      <c r="B436" s="2">
        <v>45326</v>
      </c>
      <c r="C436" t="s">
        <v>113</v>
      </c>
      <c r="D436" t="s">
        <v>60</v>
      </c>
      <c r="E436" t="s">
        <v>1269</v>
      </c>
      <c r="F436" t="s">
        <v>87</v>
      </c>
      <c r="G436" t="s">
        <v>1270</v>
      </c>
      <c r="H436" t="s">
        <v>48</v>
      </c>
      <c r="I436" t="s">
        <v>33</v>
      </c>
      <c r="J436">
        <v>4</v>
      </c>
      <c r="K436">
        <v>147</v>
      </c>
      <c r="L436">
        <v>588</v>
      </c>
      <c r="M436">
        <v>4.4000000000000004</v>
      </c>
      <c r="N436">
        <v>40</v>
      </c>
      <c r="O436">
        <v>80</v>
      </c>
      <c r="P436">
        <v>15</v>
      </c>
      <c r="Q436" t="s">
        <v>34</v>
      </c>
      <c r="R436">
        <v>41</v>
      </c>
      <c r="S436" t="s">
        <v>28</v>
      </c>
    </row>
    <row r="437" spans="1:19" x14ac:dyDescent="0.3">
      <c r="A437" t="s">
        <v>1271</v>
      </c>
      <c r="B437" s="2">
        <v>45483</v>
      </c>
      <c r="C437" t="s">
        <v>59</v>
      </c>
      <c r="D437" t="s">
        <v>72</v>
      </c>
      <c r="E437" t="s">
        <v>1272</v>
      </c>
      <c r="F437" t="s">
        <v>1273</v>
      </c>
      <c r="G437" t="s">
        <v>1274</v>
      </c>
      <c r="H437" t="s">
        <v>80</v>
      </c>
      <c r="I437" t="s">
        <v>26</v>
      </c>
      <c r="J437">
        <v>3</v>
      </c>
      <c r="K437">
        <v>561</v>
      </c>
      <c r="L437">
        <v>1683</v>
      </c>
      <c r="M437">
        <v>4.5</v>
      </c>
      <c r="N437">
        <v>42</v>
      </c>
      <c r="P437">
        <v>0</v>
      </c>
      <c r="Q437" t="s">
        <v>27</v>
      </c>
      <c r="R437">
        <v>20</v>
      </c>
      <c r="S437" t="s">
        <v>28</v>
      </c>
    </row>
    <row r="438" spans="1:19" x14ac:dyDescent="0.3">
      <c r="A438" t="s">
        <v>1275</v>
      </c>
      <c r="B438" s="2">
        <v>45340</v>
      </c>
      <c r="C438" t="s">
        <v>113</v>
      </c>
      <c r="D438" t="s">
        <v>60</v>
      </c>
      <c r="E438" t="s">
        <v>1276</v>
      </c>
      <c r="F438" t="s">
        <v>87</v>
      </c>
      <c r="G438" t="s">
        <v>1277</v>
      </c>
      <c r="H438" t="s">
        <v>64</v>
      </c>
      <c r="I438" t="s">
        <v>26</v>
      </c>
      <c r="J438">
        <v>1</v>
      </c>
      <c r="K438">
        <v>162</v>
      </c>
      <c r="L438">
        <v>162</v>
      </c>
      <c r="M438">
        <v>4.5</v>
      </c>
      <c r="N438">
        <v>47</v>
      </c>
      <c r="O438">
        <v>749</v>
      </c>
      <c r="P438">
        <v>0</v>
      </c>
      <c r="Q438" t="s">
        <v>27</v>
      </c>
      <c r="R438">
        <v>45</v>
      </c>
      <c r="S438" t="s">
        <v>28</v>
      </c>
    </row>
    <row r="439" spans="1:19" x14ac:dyDescent="0.3">
      <c r="A439" t="s">
        <v>1278</v>
      </c>
      <c r="B439" s="2">
        <v>45308</v>
      </c>
      <c r="C439" t="s">
        <v>43</v>
      </c>
      <c r="D439" t="s">
        <v>72</v>
      </c>
      <c r="E439" t="s">
        <v>1279</v>
      </c>
      <c r="F439" t="s">
        <v>713</v>
      </c>
      <c r="G439" t="s">
        <v>1280</v>
      </c>
      <c r="H439" t="s">
        <v>80</v>
      </c>
      <c r="I439" t="s">
        <v>26</v>
      </c>
      <c r="J439">
        <v>3</v>
      </c>
      <c r="K439">
        <v>288</v>
      </c>
      <c r="L439">
        <v>864</v>
      </c>
      <c r="M439">
        <v>4.4000000000000004</v>
      </c>
      <c r="N439">
        <v>44</v>
      </c>
      <c r="P439">
        <v>0</v>
      </c>
      <c r="Q439" t="s">
        <v>75</v>
      </c>
      <c r="R439">
        <v>23</v>
      </c>
      <c r="S439" t="s">
        <v>41</v>
      </c>
    </row>
    <row r="440" spans="1:19" x14ac:dyDescent="0.3">
      <c r="A440" t="s">
        <v>1281</v>
      </c>
      <c r="B440" s="2">
        <v>45463</v>
      </c>
      <c r="C440" t="s">
        <v>30</v>
      </c>
      <c r="D440" t="s">
        <v>92</v>
      </c>
      <c r="E440" t="s">
        <v>1282</v>
      </c>
      <c r="F440" t="s">
        <v>87</v>
      </c>
      <c r="G440" t="s">
        <v>1283</v>
      </c>
      <c r="H440" t="s">
        <v>80</v>
      </c>
      <c r="I440" t="s">
        <v>26</v>
      </c>
      <c r="J440">
        <v>1</v>
      </c>
      <c r="K440">
        <v>542</v>
      </c>
      <c r="L440">
        <v>542</v>
      </c>
      <c r="M440">
        <v>4.2</v>
      </c>
      <c r="N440">
        <v>44</v>
      </c>
      <c r="O440">
        <v>999</v>
      </c>
      <c r="P440">
        <v>0</v>
      </c>
      <c r="Q440" t="s">
        <v>75</v>
      </c>
      <c r="R440">
        <v>22</v>
      </c>
      <c r="S440" t="s">
        <v>41</v>
      </c>
    </row>
    <row r="441" spans="1:19" x14ac:dyDescent="0.3">
      <c r="A441" t="s">
        <v>1284</v>
      </c>
      <c r="B441" s="2">
        <v>45511</v>
      </c>
      <c r="C441" t="s">
        <v>82</v>
      </c>
      <c r="D441" t="s">
        <v>72</v>
      </c>
      <c r="E441" t="s">
        <v>1285</v>
      </c>
      <c r="F441" t="s">
        <v>46</v>
      </c>
      <c r="G441" t="s">
        <v>1286</v>
      </c>
      <c r="H441" t="s">
        <v>80</v>
      </c>
      <c r="I441" t="s">
        <v>26</v>
      </c>
      <c r="J441">
        <v>2</v>
      </c>
      <c r="K441">
        <v>205</v>
      </c>
      <c r="L441">
        <v>410</v>
      </c>
      <c r="M441">
        <v>4.3</v>
      </c>
      <c r="N441">
        <v>33</v>
      </c>
      <c r="O441">
        <v>75</v>
      </c>
      <c r="P441">
        <v>30</v>
      </c>
      <c r="Q441" t="s">
        <v>34</v>
      </c>
      <c r="R441">
        <v>39</v>
      </c>
      <c r="S441" t="s">
        <v>28</v>
      </c>
    </row>
    <row r="442" spans="1:19" x14ac:dyDescent="0.3">
      <c r="A442" t="s">
        <v>1287</v>
      </c>
      <c r="B442" s="2">
        <v>45449</v>
      </c>
      <c r="C442" t="s">
        <v>30</v>
      </c>
      <c r="D442" t="s">
        <v>92</v>
      </c>
      <c r="E442" t="s">
        <v>1288</v>
      </c>
      <c r="F442" t="s">
        <v>137</v>
      </c>
      <c r="G442" t="s">
        <v>769</v>
      </c>
      <c r="H442" t="s">
        <v>80</v>
      </c>
      <c r="I442" t="s">
        <v>26</v>
      </c>
      <c r="J442">
        <v>1</v>
      </c>
      <c r="K442">
        <v>296</v>
      </c>
      <c r="L442">
        <v>296</v>
      </c>
      <c r="M442">
        <v>4.2</v>
      </c>
      <c r="N442">
        <v>35</v>
      </c>
      <c r="P442">
        <v>0</v>
      </c>
      <c r="Q442" t="s">
        <v>49</v>
      </c>
      <c r="R442">
        <v>43</v>
      </c>
      <c r="S442" t="s">
        <v>41</v>
      </c>
    </row>
    <row r="443" spans="1:19" x14ac:dyDescent="0.3">
      <c r="A443" t="s">
        <v>1289</v>
      </c>
      <c r="B443" s="2">
        <v>45512</v>
      </c>
      <c r="C443" t="s">
        <v>82</v>
      </c>
      <c r="D443" t="s">
        <v>92</v>
      </c>
      <c r="E443" t="s">
        <v>1290</v>
      </c>
      <c r="F443" t="s">
        <v>62</v>
      </c>
      <c r="G443" t="s">
        <v>1291</v>
      </c>
      <c r="H443" t="s">
        <v>40</v>
      </c>
      <c r="I443" t="s">
        <v>26</v>
      </c>
      <c r="J443">
        <v>3</v>
      </c>
      <c r="K443">
        <v>136</v>
      </c>
      <c r="L443">
        <v>408</v>
      </c>
      <c r="M443">
        <v>4.5</v>
      </c>
      <c r="N443">
        <v>35</v>
      </c>
      <c r="P443">
        <v>0</v>
      </c>
      <c r="Q443" t="s">
        <v>34</v>
      </c>
      <c r="R443">
        <v>34</v>
      </c>
      <c r="S443" t="s">
        <v>41</v>
      </c>
    </row>
    <row r="444" spans="1:19" x14ac:dyDescent="0.3">
      <c r="A444" t="s">
        <v>1292</v>
      </c>
      <c r="B444" s="2">
        <v>45337</v>
      </c>
      <c r="C444" t="s">
        <v>113</v>
      </c>
      <c r="D444" t="s">
        <v>92</v>
      </c>
      <c r="E444" t="s">
        <v>1293</v>
      </c>
      <c r="F444" t="s">
        <v>46</v>
      </c>
      <c r="G444" t="s">
        <v>84</v>
      </c>
      <c r="H444" t="s">
        <v>64</v>
      </c>
      <c r="I444" t="s">
        <v>26</v>
      </c>
      <c r="J444">
        <v>3</v>
      </c>
      <c r="K444">
        <v>217</v>
      </c>
      <c r="L444">
        <v>651</v>
      </c>
      <c r="M444">
        <v>4.5</v>
      </c>
      <c r="N444">
        <v>24</v>
      </c>
      <c r="P444">
        <v>0</v>
      </c>
      <c r="Q444" t="s">
        <v>49</v>
      </c>
      <c r="R444">
        <v>40</v>
      </c>
      <c r="S444" t="s">
        <v>28</v>
      </c>
    </row>
    <row r="445" spans="1:19" x14ac:dyDescent="0.3">
      <c r="A445" t="s">
        <v>1294</v>
      </c>
      <c r="B445" s="2">
        <v>45408</v>
      </c>
      <c r="C445" t="s">
        <v>20</v>
      </c>
      <c r="D445" t="s">
        <v>21</v>
      </c>
      <c r="E445" t="s">
        <v>1295</v>
      </c>
      <c r="F445" t="s">
        <v>115</v>
      </c>
      <c r="G445" t="s">
        <v>64</v>
      </c>
      <c r="H445" t="s">
        <v>64</v>
      </c>
      <c r="I445" t="s">
        <v>26</v>
      </c>
      <c r="J445">
        <v>3</v>
      </c>
      <c r="K445">
        <v>573</v>
      </c>
      <c r="L445">
        <v>1719</v>
      </c>
      <c r="M445">
        <v>3.3</v>
      </c>
      <c r="N445">
        <v>27</v>
      </c>
      <c r="O445">
        <v>100</v>
      </c>
      <c r="P445">
        <v>15</v>
      </c>
      <c r="Q445" t="s">
        <v>34</v>
      </c>
      <c r="R445">
        <v>42</v>
      </c>
      <c r="S445" t="s">
        <v>28</v>
      </c>
    </row>
    <row r="446" spans="1:19" x14ac:dyDescent="0.3">
      <c r="A446" t="s">
        <v>1296</v>
      </c>
      <c r="B446" s="2">
        <v>45297</v>
      </c>
      <c r="C446" t="s">
        <v>43</v>
      </c>
      <c r="D446" t="s">
        <v>100</v>
      </c>
      <c r="E446" t="s">
        <v>1297</v>
      </c>
      <c r="F446" t="s">
        <v>87</v>
      </c>
      <c r="G446" t="s">
        <v>1298</v>
      </c>
      <c r="H446" t="s">
        <v>80</v>
      </c>
      <c r="I446" t="s">
        <v>26</v>
      </c>
      <c r="J446">
        <v>2</v>
      </c>
      <c r="K446">
        <v>317</v>
      </c>
      <c r="L446">
        <v>634</v>
      </c>
      <c r="M446">
        <v>4.5</v>
      </c>
      <c r="N446">
        <v>37</v>
      </c>
      <c r="O446">
        <v>449</v>
      </c>
      <c r="P446">
        <v>0</v>
      </c>
      <c r="Q446" t="s">
        <v>75</v>
      </c>
      <c r="R446">
        <v>19</v>
      </c>
      <c r="S446" t="s">
        <v>41</v>
      </c>
    </row>
    <row r="447" spans="1:19" x14ac:dyDescent="0.3">
      <c r="A447" t="s">
        <v>1299</v>
      </c>
      <c r="B447" s="2">
        <v>45390</v>
      </c>
      <c r="C447" t="s">
        <v>20</v>
      </c>
      <c r="D447" t="s">
        <v>44</v>
      </c>
      <c r="E447" t="s">
        <v>214</v>
      </c>
      <c r="F447" t="s">
        <v>23</v>
      </c>
      <c r="G447" t="s">
        <v>1300</v>
      </c>
      <c r="H447" t="s">
        <v>40</v>
      </c>
      <c r="I447" t="s">
        <v>26</v>
      </c>
      <c r="J447">
        <v>2</v>
      </c>
      <c r="K447">
        <v>217</v>
      </c>
      <c r="L447">
        <v>434</v>
      </c>
      <c r="M447">
        <v>4.5999999999999996</v>
      </c>
      <c r="N447">
        <v>33</v>
      </c>
      <c r="O447">
        <v>100</v>
      </c>
      <c r="P447">
        <v>50</v>
      </c>
      <c r="Q447" t="s">
        <v>75</v>
      </c>
      <c r="R447">
        <v>43</v>
      </c>
      <c r="S447" t="s">
        <v>41</v>
      </c>
    </row>
    <row r="448" spans="1:19" x14ac:dyDescent="0.3">
      <c r="A448" t="s">
        <v>1301</v>
      </c>
      <c r="B448" s="2">
        <v>45415</v>
      </c>
      <c r="C448" t="s">
        <v>71</v>
      </c>
      <c r="D448" t="s">
        <v>21</v>
      </c>
      <c r="E448" t="s">
        <v>1302</v>
      </c>
      <c r="F448" t="s">
        <v>23</v>
      </c>
      <c r="G448" t="s">
        <v>1303</v>
      </c>
      <c r="H448" t="s">
        <v>80</v>
      </c>
      <c r="I448" t="s">
        <v>26</v>
      </c>
      <c r="J448">
        <v>4</v>
      </c>
      <c r="K448">
        <v>184</v>
      </c>
      <c r="L448">
        <v>736</v>
      </c>
      <c r="M448">
        <v>4.2</v>
      </c>
      <c r="N448">
        <v>31</v>
      </c>
      <c r="O448">
        <v>40</v>
      </c>
      <c r="P448">
        <v>10</v>
      </c>
      <c r="Q448" t="s">
        <v>49</v>
      </c>
      <c r="R448">
        <v>32</v>
      </c>
      <c r="S448" t="s">
        <v>41</v>
      </c>
    </row>
    <row r="449" spans="1:19" x14ac:dyDescent="0.3">
      <c r="A449" t="s">
        <v>1304</v>
      </c>
      <c r="B449" s="2">
        <v>45524</v>
      </c>
      <c r="C449" t="s">
        <v>82</v>
      </c>
      <c r="D449" t="s">
        <v>36</v>
      </c>
      <c r="E449" t="s">
        <v>1305</v>
      </c>
      <c r="F449" t="s">
        <v>23</v>
      </c>
      <c r="G449" t="s">
        <v>1306</v>
      </c>
      <c r="H449" t="s">
        <v>53</v>
      </c>
      <c r="I449" t="s">
        <v>26</v>
      </c>
      <c r="J449">
        <v>3</v>
      </c>
      <c r="K449">
        <v>449</v>
      </c>
      <c r="L449">
        <v>1347</v>
      </c>
      <c r="M449">
        <v>4.4000000000000004</v>
      </c>
      <c r="N449">
        <v>27</v>
      </c>
      <c r="O449">
        <v>50</v>
      </c>
      <c r="P449">
        <v>20</v>
      </c>
      <c r="Q449" t="s">
        <v>34</v>
      </c>
      <c r="R449">
        <v>22</v>
      </c>
      <c r="S449" t="s">
        <v>28</v>
      </c>
    </row>
    <row r="450" spans="1:19" x14ac:dyDescent="0.3">
      <c r="A450" t="s">
        <v>1307</v>
      </c>
      <c r="B450" s="2">
        <v>45328</v>
      </c>
      <c r="C450" t="s">
        <v>113</v>
      </c>
      <c r="D450" t="s">
        <v>36</v>
      </c>
      <c r="E450" t="s">
        <v>1308</v>
      </c>
      <c r="F450" t="s">
        <v>23</v>
      </c>
      <c r="G450" t="s">
        <v>204</v>
      </c>
      <c r="H450" t="s">
        <v>80</v>
      </c>
      <c r="I450" t="s">
        <v>26</v>
      </c>
      <c r="J450">
        <v>1</v>
      </c>
      <c r="K450">
        <v>460</v>
      </c>
      <c r="L450">
        <v>460</v>
      </c>
      <c r="O450">
        <v>100</v>
      </c>
      <c r="P450">
        <v>50</v>
      </c>
      <c r="Q450" t="s">
        <v>49</v>
      </c>
      <c r="R450">
        <v>43</v>
      </c>
      <c r="S450" t="s">
        <v>28</v>
      </c>
    </row>
    <row r="451" spans="1:19" x14ac:dyDescent="0.3">
      <c r="A451" t="s">
        <v>1309</v>
      </c>
      <c r="B451" s="2">
        <v>45315</v>
      </c>
      <c r="C451" t="s">
        <v>43</v>
      </c>
      <c r="D451" t="s">
        <v>72</v>
      </c>
      <c r="E451" t="s">
        <v>1310</v>
      </c>
      <c r="F451" t="s">
        <v>23</v>
      </c>
      <c r="G451" t="s">
        <v>1311</v>
      </c>
      <c r="H451" t="s">
        <v>48</v>
      </c>
      <c r="I451" t="s">
        <v>33</v>
      </c>
      <c r="J451">
        <v>2</v>
      </c>
      <c r="K451">
        <v>124</v>
      </c>
      <c r="L451">
        <v>248</v>
      </c>
      <c r="M451">
        <v>4</v>
      </c>
      <c r="N451">
        <v>37</v>
      </c>
      <c r="O451">
        <v>249</v>
      </c>
      <c r="P451">
        <v>0</v>
      </c>
      <c r="Q451" t="s">
        <v>75</v>
      </c>
      <c r="R451">
        <v>37</v>
      </c>
      <c r="S451" t="s">
        <v>28</v>
      </c>
    </row>
    <row r="452" spans="1:19" x14ac:dyDescent="0.3">
      <c r="A452" t="s">
        <v>1312</v>
      </c>
      <c r="B452" s="2">
        <v>45384</v>
      </c>
      <c r="C452" t="s">
        <v>20</v>
      </c>
      <c r="D452" t="s">
        <v>36</v>
      </c>
      <c r="E452" t="s">
        <v>1313</v>
      </c>
      <c r="F452" t="s">
        <v>46</v>
      </c>
      <c r="G452" t="s">
        <v>204</v>
      </c>
      <c r="H452" t="s">
        <v>80</v>
      </c>
      <c r="I452" t="s">
        <v>26</v>
      </c>
      <c r="J452">
        <v>3</v>
      </c>
      <c r="K452">
        <v>121</v>
      </c>
      <c r="L452">
        <v>363</v>
      </c>
      <c r="M452">
        <v>4</v>
      </c>
      <c r="N452">
        <v>16</v>
      </c>
      <c r="O452">
        <v>40</v>
      </c>
      <c r="P452">
        <v>10</v>
      </c>
      <c r="Q452" t="s">
        <v>34</v>
      </c>
      <c r="R452">
        <v>23</v>
      </c>
      <c r="S452" t="s">
        <v>28</v>
      </c>
    </row>
    <row r="453" spans="1:19" x14ac:dyDescent="0.3">
      <c r="A453" t="s">
        <v>1314</v>
      </c>
      <c r="B453" s="2">
        <v>45337</v>
      </c>
      <c r="C453" t="s">
        <v>113</v>
      </c>
      <c r="D453" t="s">
        <v>92</v>
      </c>
      <c r="E453" t="s">
        <v>1315</v>
      </c>
      <c r="F453" t="s">
        <v>192</v>
      </c>
      <c r="G453" t="s">
        <v>94</v>
      </c>
      <c r="H453" t="s">
        <v>80</v>
      </c>
      <c r="I453" t="s">
        <v>26</v>
      </c>
      <c r="J453">
        <v>3</v>
      </c>
      <c r="K453">
        <v>141</v>
      </c>
      <c r="L453">
        <v>423</v>
      </c>
      <c r="M453">
        <v>4.5999999999999996</v>
      </c>
      <c r="N453">
        <v>26</v>
      </c>
      <c r="P453">
        <v>0</v>
      </c>
      <c r="Q453" t="s">
        <v>34</v>
      </c>
      <c r="R453">
        <v>23</v>
      </c>
      <c r="S453" t="s">
        <v>28</v>
      </c>
    </row>
    <row r="454" spans="1:19" x14ac:dyDescent="0.3">
      <c r="A454" t="s">
        <v>1316</v>
      </c>
      <c r="B454" s="2">
        <v>45472</v>
      </c>
      <c r="C454" t="s">
        <v>30</v>
      </c>
      <c r="D454" t="s">
        <v>100</v>
      </c>
      <c r="E454" t="s">
        <v>1317</v>
      </c>
      <c r="F454" t="s">
        <v>115</v>
      </c>
      <c r="G454" t="s">
        <v>80</v>
      </c>
      <c r="H454" t="s">
        <v>80</v>
      </c>
      <c r="I454" t="s">
        <v>26</v>
      </c>
      <c r="J454">
        <v>2</v>
      </c>
      <c r="K454">
        <v>231</v>
      </c>
      <c r="L454">
        <v>462</v>
      </c>
      <c r="M454">
        <v>4.2</v>
      </c>
      <c r="N454">
        <v>33</v>
      </c>
      <c r="P454">
        <v>0</v>
      </c>
      <c r="Q454" t="s">
        <v>49</v>
      </c>
      <c r="R454">
        <v>44</v>
      </c>
      <c r="S454" t="s">
        <v>41</v>
      </c>
    </row>
    <row r="455" spans="1:19" x14ac:dyDescent="0.3">
      <c r="A455" t="s">
        <v>1318</v>
      </c>
      <c r="B455" s="2">
        <v>45386</v>
      </c>
      <c r="C455" t="s">
        <v>20</v>
      </c>
      <c r="D455" t="s">
        <v>92</v>
      </c>
      <c r="E455" t="s">
        <v>1319</v>
      </c>
      <c r="F455" t="s">
        <v>23</v>
      </c>
      <c r="G455" t="s">
        <v>1320</v>
      </c>
      <c r="H455" t="s">
        <v>80</v>
      </c>
      <c r="I455" t="s">
        <v>26</v>
      </c>
      <c r="J455">
        <v>4</v>
      </c>
      <c r="K455">
        <v>176</v>
      </c>
      <c r="L455">
        <v>704</v>
      </c>
      <c r="M455">
        <v>4.4000000000000004</v>
      </c>
      <c r="N455">
        <v>40</v>
      </c>
      <c r="O455">
        <v>80</v>
      </c>
      <c r="P455">
        <v>40</v>
      </c>
      <c r="Q455" t="s">
        <v>27</v>
      </c>
      <c r="R455">
        <v>49</v>
      </c>
      <c r="S455" t="s">
        <v>41</v>
      </c>
    </row>
    <row r="456" spans="1:19" x14ac:dyDescent="0.3">
      <c r="A456" t="s">
        <v>1321</v>
      </c>
      <c r="B456" s="2">
        <v>45390</v>
      </c>
      <c r="C456" t="s">
        <v>20</v>
      </c>
      <c r="D456" t="s">
        <v>44</v>
      </c>
      <c r="E456" t="s">
        <v>1322</v>
      </c>
      <c r="F456" t="s">
        <v>87</v>
      </c>
      <c r="G456" t="s">
        <v>1323</v>
      </c>
      <c r="H456" t="s">
        <v>40</v>
      </c>
      <c r="I456" t="s">
        <v>26</v>
      </c>
      <c r="J456">
        <v>2</v>
      </c>
      <c r="K456">
        <v>185</v>
      </c>
      <c r="L456">
        <v>370</v>
      </c>
      <c r="M456">
        <v>4</v>
      </c>
      <c r="N456">
        <v>34</v>
      </c>
      <c r="P456">
        <v>0</v>
      </c>
      <c r="Q456" t="s">
        <v>49</v>
      </c>
      <c r="R456">
        <v>35</v>
      </c>
      <c r="S456" t="s">
        <v>41</v>
      </c>
    </row>
    <row r="457" spans="1:19" x14ac:dyDescent="0.3">
      <c r="A457" t="s">
        <v>1324</v>
      </c>
      <c r="B457" s="2">
        <v>45479</v>
      </c>
      <c r="C457" t="s">
        <v>59</v>
      </c>
      <c r="D457" t="s">
        <v>100</v>
      </c>
      <c r="E457" t="s">
        <v>1325</v>
      </c>
      <c r="F457" t="s">
        <v>87</v>
      </c>
      <c r="G457" t="s">
        <v>1326</v>
      </c>
      <c r="H457" t="s">
        <v>53</v>
      </c>
      <c r="I457" t="s">
        <v>26</v>
      </c>
      <c r="J457">
        <v>2</v>
      </c>
      <c r="K457">
        <v>449</v>
      </c>
      <c r="L457">
        <v>898</v>
      </c>
      <c r="M457">
        <v>4.5</v>
      </c>
      <c r="N457">
        <v>26</v>
      </c>
      <c r="P457">
        <v>0</v>
      </c>
      <c r="Q457" t="s">
        <v>75</v>
      </c>
      <c r="R457">
        <v>35</v>
      </c>
      <c r="S457" t="s">
        <v>28</v>
      </c>
    </row>
    <row r="458" spans="1:19" x14ac:dyDescent="0.3">
      <c r="A458" t="s">
        <v>1327</v>
      </c>
      <c r="B458" s="2">
        <v>45516</v>
      </c>
      <c r="C458" t="s">
        <v>82</v>
      </c>
      <c r="D458" t="s">
        <v>44</v>
      </c>
      <c r="E458" t="s">
        <v>1328</v>
      </c>
      <c r="F458" t="s">
        <v>1329</v>
      </c>
      <c r="G458" t="s">
        <v>1330</v>
      </c>
      <c r="H458" t="s">
        <v>80</v>
      </c>
      <c r="I458" t="s">
        <v>26</v>
      </c>
      <c r="J458">
        <v>1</v>
      </c>
      <c r="K458">
        <v>217</v>
      </c>
      <c r="L458">
        <v>217</v>
      </c>
      <c r="M458">
        <v>4.3</v>
      </c>
      <c r="N458">
        <v>36</v>
      </c>
      <c r="O458">
        <v>80</v>
      </c>
      <c r="P458">
        <v>15</v>
      </c>
      <c r="Q458" t="s">
        <v>75</v>
      </c>
      <c r="R458">
        <v>21</v>
      </c>
      <c r="S458" t="s">
        <v>28</v>
      </c>
    </row>
    <row r="459" spans="1:19" x14ac:dyDescent="0.3">
      <c r="A459" t="s">
        <v>1331</v>
      </c>
      <c r="B459" s="2">
        <v>45407</v>
      </c>
      <c r="C459" t="s">
        <v>20</v>
      </c>
      <c r="D459" t="s">
        <v>92</v>
      </c>
      <c r="E459" t="s">
        <v>1332</v>
      </c>
      <c r="F459" t="s">
        <v>87</v>
      </c>
      <c r="G459" t="s">
        <v>221</v>
      </c>
      <c r="H459" t="s">
        <v>80</v>
      </c>
      <c r="I459" t="s">
        <v>26</v>
      </c>
      <c r="J459">
        <v>1</v>
      </c>
      <c r="K459">
        <v>263</v>
      </c>
      <c r="L459">
        <v>263</v>
      </c>
      <c r="M459">
        <v>4.0999999999999996</v>
      </c>
      <c r="N459">
        <v>34</v>
      </c>
      <c r="O459">
        <v>999</v>
      </c>
      <c r="P459">
        <v>0</v>
      </c>
      <c r="Q459" t="s">
        <v>75</v>
      </c>
      <c r="R459">
        <v>34</v>
      </c>
      <c r="S459" t="s">
        <v>28</v>
      </c>
    </row>
    <row r="460" spans="1:19" x14ac:dyDescent="0.3">
      <c r="A460" t="s">
        <v>1333</v>
      </c>
      <c r="B460" s="2">
        <v>45482</v>
      </c>
      <c r="C460" t="s">
        <v>59</v>
      </c>
      <c r="D460" t="s">
        <v>36</v>
      </c>
      <c r="E460" t="s">
        <v>1334</v>
      </c>
      <c r="F460" t="s">
        <v>115</v>
      </c>
      <c r="G460" t="s">
        <v>1335</v>
      </c>
      <c r="H460" t="s">
        <v>40</v>
      </c>
      <c r="I460" t="s">
        <v>26</v>
      </c>
      <c r="J460">
        <v>4</v>
      </c>
      <c r="K460">
        <v>487</v>
      </c>
      <c r="L460">
        <v>1948</v>
      </c>
      <c r="M460">
        <v>3.9</v>
      </c>
      <c r="N460">
        <v>40</v>
      </c>
      <c r="P460">
        <v>0</v>
      </c>
      <c r="Q460" t="s">
        <v>75</v>
      </c>
      <c r="R460">
        <v>42</v>
      </c>
      <c r="S460" t="s">
        <v>41</v>
      </c>
    </row>
    <row r="461" spans="1:19" x14ac:dyDescent="0.3">
      <c r="A461" t="s">
        <v>1336</v>
      </c>
      <c r="B461" s="2">
        <v>45504</v>
      </c>
      <c r="C461" t="s">
        <v>59</v>
      </c>
      <c r="D461" t="s">
        <v>72</v>
      </c>
      <c r="E461" t="s">
        <v>1337</v>
      </c>
      <c r="F461" t="s">
        <v>23</v>
      </c>
      <c r="G461" t="s">
        <v>605</v>
      </c>
      <c r="H461" t="s">
        <v>48</v>
      </c>
      <c r="I461" t="s">
        <v>33</v>
      </c>
      <c r="J461">
        <v>3</v>
      </c>
      <c r="K461">
        <v>554</v>
      </c>
      <c r="L461">
        <v>1662</v>
      </c>
      <c r="M461">
        <v>4</v>
      </c>
      <c r="N461">
        <v>40</v>
      </c>
      <c r="O461">
        <v>80</v>
      </c>
      <c r="P461">
        <v>40</v>
      </c>
      <c r="Q461" t="s">
        <v>75</v>
      </c>
      <c r="R461">
        <v>31</v>
      </c>
      <c r="S461" t="s">
        <v>28</v>
      </c>
    </row>
    <row r="462" spans="1:19" x14ac:dyDescent="0.3">
      <c r="A462" t="s">
        <v>1338</v>
      </c>
      <c r="B462" s="2">
        <v>45451</v>
      </c>
      <c r="C462" t="s">
        <v>30</v>
      </c>
      <c r="D462" t="s">
        <v>100</v>
      </c>
      <c r="E462" t="s">
        <v>1339</v>
      </c>
      <c r="F462" t="s">
        <v>1340</v>
      </c>
      <c r="G462" t="s">
        <v>1341</v>
      </c>
      <c r="H462" t="s">
        <v>40</v>
      </c>
      <c r="I462" t="s">
        <v>33</v>
      </c>
      <c r="J462">
        <v>2</v>
      </c>
      <c r="K462">
        <v>244</v>
      </c>
      <c r="L462">
        <v>488</v>
      </c>
      <c r="M462">
        <v>3.9</v>
      </c>
      <c r="N462">
        <v>23</v>
      </c>
      <c r="O462">
        <v>50</v>
      </c>
      <c r="P462">
        <v>20</v>
      </c>
      <c r="Q462" t="s">
        <v>27</v>
      </c>
      <c r="R462">
        <v>31</v>
      </c>
      <c r="S462" t="s">
        <v>28</v>
      </c>
    </row>
    <row r="463" spans="1:19" x14ac:dyDescent="0.3">
      <c r="A463" t="s">
        <v>1342</v>
      </c>
      <c r="B463" s="2">
        <v>45506</v>
      </c>
      <c r="C463" t="s">
        <v>82</v>
      </c>
      <c r="D463" t="s">
        <v>21</v>
      </c>
      <c r="E463" t="s">
        <v>1343</v>
      </c>
      <c r="F463" t="s">
        <v>46</v>
      </c>
      <c r="G463" t="s">
        <v>1344</v>
      </c>
      <c r="H463" t="s">
        <v>25</v>
      </c>
      <c r="I463" t="s">
        <v>26</v>
      </c>
      <c r="J463">
        <v>4</v>
      </c>
      <c r="K463">
        <v>286</v>
      </c>
      <c r="L463">
        <v>1144</v>
      </c>
      <c r="M463">
        <v>4.5</v>
      </c>
      <c r="N463">
        <v>23</v>
      </c>
      <c r="P463">
        <v>0</v>
      </c>
      <c r="Q463" t="s">
        <v>34</v>
      </c>
      <c r="R463">
        <v>30</v>
      </c>
      <c r="S463" t="s">
        <v>41</v>
      </c>
    </row>
    <row r="464" spans="1:19" x14ac:dyDescent="0.3">
      <c r="A464" t="s">
        <v>1345</v>
      </c>
      <c r="B464" s="2">
        <v>45452</v>
      </c>
      <c r="C464" t="s">
        <v>30</v>
      </c>
      <c r="D464" t="s">
        <v>60</v>
      </c>
      <c r="E464" t="s">
        <v>1346</v>
      </c>
      <c r="F464" t="s">
        <v>115</v>
      </c>
      <c r="G464" t="s">
        <v>1347</v>
      </c>
      <c r="H464" t="s">
        <v>64</v>
      </c>
      <c r="I464" t="s">
        <v>26</v>
      </c>
      <c r="J464">
        <v>1</v>
      </c>
      <c r="K464">
        <v>205</v>
      </c>
      <c r="L464">
        <v>205</v>
      </c>
      <c r="M464">
        <v>4.4000000000000004</v>
      </c>
      <c r="N464">
        <v>25</v>
      </c>
      <c r="P464">
        <v>0</v>
      </c>
      <c r="Q464" t="s">
        <v>49</v>
      </c>
      <c r="R464">
        <v>24</v>
      </c>
      <c r="S464" t="s">
        <v>28</v>
      </c>
    </row>
    <row r="465" spans="1:19" x14ac:dyDescent="0.3">
      <c r="A465" t="s">
        <v>1348</v>
      </c>
      <c r="B465" s="2">
        <v>45358</v>
      </c>
      <c r="C465" t="s">
        <v>55</v>
      </c>
      <c r="D465" t="s">
        <v>92</v>
      </c>
      <c r="E465" t="s">
        <v>1349</v>
      </c>
      <c r="F465" t="s">
        <v>23</v>
      </c>
      <c r="G465" t="s">
        <v>1350</v>
      </c>
      <c r="H465" t="s">
        <v>53</v>
      </c>
      <c r="I465" t="s">
        <v>33</v>
      </c>
      <c r="J465">
        <v>2</v>
      </c>
      <c r="K465">
        <v>195</v>
      </c>
      <c r="L465">
        <v>390</v>
      </c>
      <c r="M465">
        <v>2.7</v>
      </c>
      <c r="N465">
        <v>25</v>
      </c>
      <c r="P465">
        <v>0</v>
      </c>
      <c r="Q465" t="s">
        <v>49</v>
      </c>
      <c r="R465">
        <v>49</v>
      </c>
      <c r="S465" t="s">
        <v>41</v>
      </c>
    </row>
    <row r="466" spans="1:19" x14ac:dyDescent="0.3">
      <c r="A466" t="s">
        <v>1351</v>
      </c>
      <c r="B466" s="2">
        <v>45419</v>
      </c>
      <c r="C466" t="s">
        <v>71</v>
      </c>
      <c r="D466" t="s">
        <v>36</v>
      </c>
      <c r="E466" t="s">
        <v>1352</v>
      </c>
      <c r="F466" t="s">
        <v>46</v>
      </c>
      <c r="G466" t="s">
        <v>1353</v>
      </c>
      <c r="H466" t="s">
        <v>48</v>
      </c>
      <c r="I466" t="s">
        <v>33</v>
      </c>
      <c r="J466">
        <v>3</v>
      </c>
      <c r="K466">
        <v>463</v>
      </c>
      <c r="L466">
        <v>1389</v>
      </c>
      <c r="M466">
        <v>4</v>
      </c>
      <c r="N466">
        <v>31</v>
      </c>
      <c r="O466">
        <v>120</v>
      </c>
      <c r="P466">
        <v>60</v>
      </c>
      <c r="Q466" t="s">
        <v>75</v>
      </c>
      <c r="R466">
        <v>29</v>
      </c>
      <c r="S466" t="s">
        <v>28</v>
      </c>
    </row>
    <row r="467" spans="1:19" x14ac:dyDescent="0.3">
      <c r="A467" t="s">
        <v>1354</v>
      </c>
      <c r="B467" s="2">
        <v>45309</v>
      </c>
      <c r="C467" t="s">
        <v>43</v>
      </c>
      <c r="D467" t="s">
        <v>92</v>
      </c>
      <c r="E467" t="s">
        <v>1355</v>
      </c>
      <c r="F467" t="s">
        <v>62</v>
      </c>
      <c r="G467" t="s">
        <v>1356</v>
      </c>
      <c r="H467" t="s">
        <v>40</v>
      </c>
      <c r="I467" t="s">
        <v>26</v>
      </c>
      <c r="J467">
        <v>1</v>
      </c>
      <c r="K467">
        <v>543</v>
      </c>
      <c r="L467">
        <v>543</v>
      </c>
      <c r="M467">
        <v>4.2</v>
      </c>
      <c r="N467">
        <v>42</v>
      </c>
      <c r="P467">
        <v>0</v>
      </c>
      <c r="Q467" t="s">
        <v>49</v>
      </c>
      <c r="R467">
        <v>40</v>
      </c>
      <c r="S467" t="s">
        <v>28</v>
      </c>
    </row>
    <row r="468" spans="1:19" x14ac:dyDescent="0.3">
      <c r="A468" t="s">
        <v>1357</v>
      </c>
      <c r="B468" s="2">
        <v>45316</v>
      </c>
      <c r="C468" t="s">
        <v>43</v>
      </c>
      <c r="D468" t="s">
        <v>92</v>
      </c>
      <c r="E468" t="s">
        <v>1358</v>
      </c>
      <c r="F468" t="s">
        <v>23</v>
      </c>
      <c r="G468" t="s">
        <v>1359</v>
      </c>
      <c r="H468" t="s">
        <v>40</v>
      </c>
      <c r="I468" t="s">
        <v>26</v>
      </c>
      <c r="J468">
        <v>1</v>
      </c>
      <c r="K468">
        <v>413</v>
      </c>
      <c r="L468">
        <v>413</v>
      </c>
      <c r="M468">
        <v>3.7</v>
      </c>
      <c r="N468">
        <v>44</v>
      </c>
      <c r="O468">
        <v>100</v>
      </c>
      <c r="P468">
        <v>50</v>
      </c>
      <c r="Q468" t="s">
        <v>75</v>
      </c>
      <c r="R468">
        <v>32</v>
      </c>
      <c r="S468" t="s">
        <v>41</v>
      </c>
    </row>
    <row r="469" spans="1:19" x14ac:dyDescent="0.3">
      <c r="A469" t="s">
        <v>1360</v>
      </c>
      <c r="B469" s="2">
        <v>45525</v>
      </c>
      <c r="C469" t="s">
        <v>82</v>
      </c>
      <c r="D469" t="s">
        <v>72</v>
      </c>
      <c r="E469" t="s">
        <v>1361</v>
      </c>
      <c r="F469" t="s">
        <v>62</v>
      </c>
      <c r="G469" t="s">
        <v>1362</v>
      </c>
      <c r="H469" t="s">
        <v>64</v>
      </c>
      <c r="I469" t="s">
        <v>26</v>
      </c>
      <c r="J469">
        <v>1</v>
      </c>
      <c r="K469">
        <v>563</v>
      </c>
      <c r="L469">
        <v>563</v>
      </c>
      <c r="M469">
        <v>4.0999999999999996</v>
      </c>
      <c r="N469">
        <v>34</v>
      </c>
      <c r="O469">
        <v>449</v>
      </c>
      <c r="P469">
        <v>0</v>
      </c>
      <c r="Q469" t="s">
        <v>27</v>
      </c>
      <c r="R469">
        <v>36</v>
      </c>
      <c r="S469" t="s">
        <v>41</v>
      </c>
    </row>
    <row r="470" spans="1:19" x14ac:dyDescent="0.3">
      <c r="A470" t="s">
        <v>1363</v>
      </c>
      <c r="B470" s="2">
        <v>45514</v>
      </c>
      <c r="C470" t="s">
        <v>82</v>
      </c>
      <c r="D470" t="s">
        <v>100</v>
      </c>
      <c r="E470" t="s">
        <v>1364</v>
      </c>
      <c r="F470" t="s">
        <v>23</v>
      </c>
      <c r="G470" t="s">
        <v>1365</v>
      </c>
      <c r="H470" t="s">
        <v>80</v>
      </c>
      <c r="I470" t="s">
        <v>26</v>
      </c>
      <c r="J470">
        <v>4</v>
      </c>
      <c r="K470">
        <v>178</v>
      </c>
      <c r="L470">
        <v>712</v>
      </c>
      <c r="M470">
        <v>4.3</v>
      </c>
      <c r="N470">
        <v>29</v>
      </c>
      <c r="P470">
        <v>0</v>
      </c>
      <c r="Q470" t="s">
        <v>27</v>
      </c>
      <c r="R470">
        <v>48</v>
      </c>
      <c r="S470" t="s">
        <v>41</v>
      </c>
    </row>
    <row r="471" spans="1:19" x14ac:dyDescent="0.3">
      <c r="A471" t="s">
        <v>1366</v>
      </c>
      <c r="B471" s="2">
        <v>45345</v>
      </c>
      <c r="C471" t="s">
        <v>113</v>
      </c>
      <c r="D471" t="s">
        <v>21</v>
      </c>
      <c r="E471" t="s">
        <v>1367</v>
      </c>
      <c r="F471" t="s">
        <v>23</v>
      </c>
      <c r="G471" t="s">
        <v>373</v>
      </c>
      <c r="H471" t="s">
        <v>80</v>
      </c>
      <c r="I471" t="s">
        <v>26</v>
      </c>
      <c r="J471">
        <v>3</v>
      </c>
      <c r="K471">
        <v>257</v>
      </c>
      <c r="L471">
        <v>771</v>
      </c>
      <c r="M471">
        <v>4.4000000000000004</v>
      </c>
      <c r="N471">
        <v>24</v>
      </c>
      <c r="O471">
        <v>80</v>
      </c>
      <c r="P471">
        <v>40</v>
      </c>
      <c r="Q471" t="s">
        <v>34</v>
      </c>
      <c r="R471">
        <v>28</v>
      </c>
      <c r="S471" t="s">
        <v>41</v>
      </c>
    </row>
    <row r="472" spans="1:19" x14ac:dyDescent="0.3">
      <c r="A472" t="s">
        <v>1368</v>
      </c>
      <c r="B472" s="2">
        <v>45349</v>
      </c>
      <c r="C472" t="s">
        <v>113</v>
      </c>
      <c r="D472" t="s">
        <v>36</v>
      </c>
      <c r="E472" t="s">
        <v>1369</v>
      </c>
      <c r="F472" t="s">
        <v>46</v>
      </c>
      <c r="G472" t="s">
        <v>418</v>
      </c>
      <c r="H472" t="s">
        <v>80</v>
      </c>
      <c r="I472" t="s">
        <v>26</v>
      </c>
      <c r="J472">
        <v>2</v>
      </c>
      <c r="K472">
        <v>218</v>
      </c>
      <c r="L472">
        <v>436</v>
      </c>
      <c r="M472">
        <v>3.8</v>
      </c>
      <c r="N472">
        <v>41</v>
      </c>
      <c r="O472">
        <v>1000</v>
      </c>
      <c r="P472">
        <v>10</v>
      </c>
      <c r="Q472" t="s">
        <v>27</v>
      </c>
      <c r="R472">
        <v>32</v>
      </c>
      <c r="S472" t="s">
        <v>41</v>
      </c>
    </row>
    <row r="473" spans="1:19" x14ac:dyDescent="0.3">
      <c r="A473" t="s">
        <v>1370</v>
      </c>
      <c r="B473" s="2">
        <v>45358</v>
      </c>
      <c r="C473" t="s">
        <v>55</v>
      </c>
      <c r="D473" t="s">
        <v>92</v>
      </c>
      <c r="E473" t="s">
        <v>1371</v>
      </c>
      <c r="F473" t="s">
        <v>1372</v>
      </c>
      <c r="G473" t="s">
        <v>978</v>
      </c>
      <c r="H473" t="s">
        <v>80</v>
      </c>
      <c r="I473" t="s">
        <v>26</v>
      </c>
      <c r="J473">
        <v>4</v>
      </c>
      <c r="K473">
        <v>311</v>
      </c>
      <c r="L473">
        <v>1244</v>
      </c>
      <c r="M473">
        <v>3.7</v>
      </c>
      <c r="N473">
        <v>35</v>
      </c>
      <c r="O473">
        <v>100</v>
      </c>
      <c r="P473">
        <v>50</v>
      </c>
      <c r="Q473" t="s">
        <v>27</v>
      </c>
      <c r="R473">
        <v>29</v>
      </c>
      <c r="S473" t="s">
        <v>41</v>
      </c>
    </row>
    <row r="474" spans="1:19" x14ac:dyDescent="0.3">
      <c r="A474" t="s">
        <v>1373</v>
      </c>
      <c r="B474" s="2">
        <v>45395</v>
      </c>
      <c r="C474" t="s">
        <v>20</v>
      </c>
      <c r="D474" t="s">
        <v>100</v>
      </c>
      <c r="E474" t="s">
        <v>1374</v>
      </c>
      <c r="F474" t="s">
        <v>46</v>
      </c>
      <c r="G474" t="s">
        <v>1246</v>
      </c>
      <c r="H474" t="s">
        <v>80</v>
      </c>
      <c r="I474" t="s">
        <v>26</v>
      </c>
      <c r="J474">
        <v>4</v>
      </c>
      <c r="K474">
        <v>362</v>
      </c>
      <c r="L474">
        <v>1448</v>
      </c>
      <c r="M474">
        <v>4.9000000000000004</v>
      </c>
      <c r="N474">
        <v>16</v>
      </c>
      <c r="P474">
        <v>0</v>
      </c>
      <c r="Q474" t="s">
        <v>34</v>
      </c>
      <c r="R474">
        <v>20</v>
      </c>
      <c r="S474" t="s">
        <v>28</v>
      </c>
    </row>
    <row r="475" spans="1:19" x14ac:dyDescent="0.3">
      <c r="A475" t="s">
        <v>1375</v>
      </c>
      <c r="B475" s="2">
        <v>45465</v>
      </c>
      <c r="C475" t="s">
        <v>30</v>
      </c>
      <c r="D475" t="s">
        <v>100</v>
      </c>
      <c r="E475" t="s">
        <v>1376</v>
      </c>
      <c r="F475" t="s">
        <v>23</v>
      </c>
      <c r="G475" t="s">
        <v>1377</v>
      </c>
      <c r="H475" t="s">
        <v>80</v>
      </c>
      <c r="I475" t="s">
        <v>26</v>
      </c>
      <c r="J475">
        <v>4</v>
      </c>
      <c r="K475">
        <v>438</v>
      </c>
      <c r="L475">
        <v>1752</v>
      </c>
      <c r="M475">
        <v>4.4000000000000004</v>
      </c>
      <c r="N475">
        <v>35</v>
      </c>
      <c r="O475">
        <v>40</v>
      </c>
      <c r="P475">
        <v>10</v>
      </c>
      <c r="Q475" t="s">
        <v>49</v>
      </c>
      <c r="R475">
        <v>34</v>
      </c>
      <c r="S475" t="s">
        <v>28</v>
      </c>
    </row>
    <row r="476" spans="1:19" x14ac:dyDescent="0.3">
      <c r="A476" t="s">
        <v>1378</v>
      </c>
      <c r="B476" s="2">
        <v>45315</v>
      </c>
      <c r="C476" t="s">
        <v>43</v>
      </c>
      <c r="D476" t="s">
        <v>72</v>
      </c>
      <c r="E476" t="s">
        <v>1379</v>
      </c>
      <c r="F476" t="s">
        <v>115</v>
      </c>
      <c r="G476" t="s">
        <v>1380</v>
      </c>
      <c r="H476" t="s">
        <v>53</v>
      </c>
      <c r="I476" t="s">
        <v>26</v>
      </c>
      <c r="J476">
        <v>1</v>
      </c>
      <c r="K476">
        <v>168</v>
      </c>
      <c r="L476">
        <v>168</v>
      </c>
      <c r="M476">
        <v>3.2</v>
      </c>
      <c r="N476">
        <v>26</v>
      </c>
      <c r="P476">
        <v>0</v>
      </c>
      <c r="Q476" t="s">
        <v>75</v>
      </c>
      <c r="R476">
        <v>20</v>
      </c>
      <c r="S476" t="s">
        <v>41</v>
      </c>
    </row>
    <row r="477" spans="1:19" x14ac:dyDescent="0.3">
      <c r="A477" t="s">
        <v>1381</v>
      </c>
      <c r="B477" s="2">
        <v>45405</v>
      </c>
      <c r="C477" t="s">
        <v>20</v>
      </c>
      <c r="D477" t="s">
        <v>36</v>
      </c>
      <c r="E477" t="s">
        <v>1382</v>
      </c>
      <c r="F477" t="s">
        <v>38</v>
      </c>
      <c r="G477" t="s">
        <v>1383</v>
      </c>
      <c r="H477" t="s">
        <v>64</v>
      </c>
      <c r="I477" t="s">
        <v>33</v>
      </c>
      <c r="J477">
        <v>3</v>
      </c>
      <c r="K477">
        <v>567</v>
      </c>
      <c r="L477">
        <v>1701</v>
      </c>
      <c r="O477">
        <v>100</v>
      </c>
      <c r="P477">
        <v>50</v>
      </c>
      <c r="Q477" t="s">
        <v>75</v>
      </c>
      <c r="R477">
        <v>36</v>
      </c>
      <c r="S477" t="s">
        <v>28</v>
      </c>
    </row>
    <row r="478" spans="1:19" x14ac:dyDescent="0.3">
      <c r="A478" t="s">
        <v>1384</v>
      </c>
      <c r="B478" s="2">
        <v>45323</v>
      </c>
      <c r="C478" t="s">
        <v>113</v>
      </c>
      <c r="D478" t="s">
        <v>92</v>
      </c>
      <c r="E478" t="s">
        <v>1385</v>
      </c>
      <c r="F478" t="s">
        <v>23</v>
      </c>
      <c r="G478" t="s">
        <v>395</v>
      </c>
      <c r="H478" t="s">
        <v>64</v>
      </c>
      <c r="I478" t="s">
        <v>26</v>
      </c>
      <c r="J478">
        <v>4</v>
      </c>
      <c r="K478">
        <v>151</v>
      </c>
      <c r="L478">
        <v>604</v>
      </c>
      <c r="M478">
        <v>3.8</v>
      </c>
      <c r="N478">
        <v>27</v>
      </c>
      <c r="O478">
        <v>75</v>
      </c>
      <c r="P478">
        <v>30</v>
      </c>
      <c r="Q478" t="s">
        <v>49</v>
      </c>
      <c r="R478">
        <v>37</v>
      </c>
      <c r="S478" t="s">
        <v>41</v>
      </c>
    </row>
    <row r="479" spans="1:19" x14ac:dyDescent="0.3">
      <c r="A479" t="s">
        <v>1386</v>
      </c>
      <c r="B479" s="2">
        <v>45466</v>
      </c>
      <c r="C479" t="s">
        <v>30</v>
      </c>
      <c r="D479" t="s">
        <v>60</v>
      </c>
      <c r="E479" t="s">
        <v>1387</v>
      </c>
      <c r="F479" t="s">
        <v>46</v>
      </c>
      <c r="G479" t="s">
        <v>1388</v>
      </c>
      <c r="H479" t="s">
        <v>40</v>
      </c>
      <c r="I479" t="s">
        <v>26</v>
      </c>
      <c r="J479">
        <v>2</v>
      </c>
      <c r="K479">
        <v>510</v>
      </c>
      <c r="L479">
        <v>1020</v>
      </c>
      <c r="M479">
        <v>3.9</v>
      </c>
      <c r="N479">
        <v>27</v>
      </c>
      <c r="O479">
        <v>75</v>
      </c>
      <c r="P479">
        <v>30</v>
      </c>
      <c r="Q479" t="s">
        <v>34</v>
      </c>
      <c r="R479">
        <v>21</v>
      </c>
      <c r="S479" t="s">
        <v>28</v>
      </c>
    </row>
    <row r="480" spans="1:19" x14ac:dyDescent="0.3">
      <c r="A480" t="s">
        <v>1389</v>
      </c>
      <c r="B480" s="2">
        <v>45377</v>
      </c>
      <c r="C480" t="s">
        <v>55</v>
      </c>
      <c r="D480" t="s">
        <v>36</v>
      </c>
      <c r="E480" t="s">
        <v>1390</v>
      </c>
      <c r="F480" t="s">
        <v>23</v>
      </c>
      <c r="G480" t="s">
        <v>1391</v>
      </c>
      <c r="H480" t="s">
        <v>80</v>
      </c>
      <c r="I480" t="s">
        <v>26</v>
      </c>
      <c r="J480">
        <v>3</v>
      </c>
      <c r="K480">
        <v>396</v>
      </c>
      <c r="L480">
        <v>1188</v>
      </c>
      <c r="M480">
        <v>4.2</v>
      </c>
      <c r="N480">
        <v>30</v>
      </c>
      <c r="O480">
        <v>40</v>
      </c>
      <c r="P480">
        <v>10</v>
      </c>
      <c r="Q480" t="s">
        <v>49</v>
      </c>
      <c r="R480">
        <v>20</v>
      </c>
      <c r="S480" t="s">
        <v>41</v>
      </c>
    </row>
    <row r="481" spans="1:19" x14ac:dyDescent="0.3">
      <c r="A481" t="s">
        <v>1392</v>
      </c>
      <c r="B481" s="2">
        <v>45442</v>
      </c>
      <c r="C481" t="s">
        <v>71</v>
      </c>
      <c r="D481" t="s">
        <v>92</v>
      </c>
      <c r="E481" t="s">
        <v>1393</v>
      </c>
      <c r="F481" t="s">
        <v>62</v>
      </c>
      <c r="G481" t="s">
        <v>1394</v>
      </c>
      <c r="H481" t="s">
        <v>53</v>
      </c>
      <c r="I481" t="s">
        <v>26</v>
      </c>
      <c r="J481">
        <v>2</v>
      </c>
      <c r="K481">
        <v>139</v>
      </c>
      <c r="L481">
        <v>278</v>
      </c>
      <c r="M481">
        <v>4.4000000000000004</v>
      </c>
      <c r="N481">
        <v>33</v>
      </c>
      <c r="O481">
        <v>600</v>
      </c>
      <c r="P481">
        <v>10</v>
      </c>
      <c r="Q481" t="s">
        <v>27</v>
      </c>
      <c r="R481">
        <v>49</v>
      </c>
      <c r="S481" t="s">
        <v>28</v>
      </c>
    </row>
    <row r="482" spans="1:19" x14ac:dyDescent="0.3">
      <c r="A482" t="s">
        <v>1395</v>
      </c>
      <c r="B482" s="2">
        <v>45485</v>
      </c>
      <c r="C482" t="s">
        <v>59</v>
      </c>
      <c r="D482" t="s">
        <v>21</v>
      </c>
      <c r="E482" t="s">
        <v>1396</v>
      </c>
      <c r="F482" t="s">
        <v>87</v>
      </c>
      <c r="G482" t="s">
        <v>1397</v>
      </c>
      <c r="H482" t="s">
        <v>64</v>
      </c>
      <c r="I482" t="s">
        <v>26</v>
      </c>
      <c r="J482">
        <v>3</v>
      </c>
      <c r="K482">
        <v>273</v>
      </c>
      <c r="L482">
        <v>819</v>
      </c>
      <c r="M482">
        <v>3.9</v>
      </c>
      <c r="N482">
        <v>29</v>
      </c>
      <c r="P482">
        <v>0</v>
      </c>
      <c r="Q482" t="s">
        <v>34</v>
      </c>
      <c r="R482">
        <v>43</v>
      </c>
      <c r="S482" t="s">
        <v>28</v>
      </c>
    </row>
    <row r="483" spans="1:19" x14ac:dyDescent="0.3">
      <c r="A483" t="s">
        <v>1398</v>
      </c>
      <c r="B483" s="2">
        <v>45418</v>
      </c>
      <c r="C483" t="s">
        <v>71</v>
      </c>
      <c r="D483" t="s">
        <v>44</v>
      </c>
      <c r="E483" t="s">
        <v>1399</v>
      </c>
      <c r="F483" t="s">
        <v>87</v>
      </c>
      <c r="G483" t="s">
        <v>1400</v>
      </c>
      <c r="H483" t="s">
        <v>80</v>
      </c>
      <c r="I483" t="s">
        <v>26</v>
      </c>
      <c r="J483">
        <v>2</v>
      </c>
      <c r="K483">
        <v>502</v>
      </c>
      <c r="L483">
        <v>1004</v>
      </c>
      <c r="M483">
        <v>4.2</v>
      </c>
      <c r="N483">
        <v>41</v>
      </c>
      <c r="P483">
        <v>0</v>
      </c>
      <c r="Q483" t="s">
        <v>34</v>
      </c>
      <c r="R483">
        <v>33</v>
      </c>
      <c r="S483" t="s">
        <v>28</v>
      </c>
    </row>
    <row r="484" spans="1:19" x14ac:dyDescent="0.3">
      <c r="A484" t="s">
        <v>1401</v>
      </c>
      <c r="B484" s="2">
        <v>45446</v>
      </c>
      <c r="C484" t="s">
        <v>30</v>
      </c>
      <c r="D484" t="s">
        <v>44</v>
      </c>
      <c r="E484" t="s">
        <v>1402</v>
      </c>
      <c r="F484" t="s">
        <v>46</v>
      </c>
      <c r="G484" t="s">
        <v>1403</v>
      </c>
      <c r="H484" t="s">
        <v>48</v>
      </c>
      <c r="I484" t="s">
        <v>33</v>
      </c>
      <c r="J484">
        <v>1</v>
      </c>
      <c r="K484">
        <v>187</v>
      </c>
      <c r="L484">
        <v>187</v>
      </c>
      <c r="M484">
        <v>4.3</v>
      </c>
      <c r="N484">
        <v>36</v>
      </c>
      <c r="O484">
        <v>45</v>
      </c>
      <c r="P484">
        <v>15</v>
      </c>
      <c r="Q484" t="s">
        <v>34</v>
      </c>
      <c r="R484">
        <v>29</v>
      </c>
      <c r="S484" t="s">
        <v>28</v>
      </c>
    </row>
    <row r="485" spans="1:19" x14ac:dyDescent="0.3">
      <c r="A485" t="s">
        <v>1404</v>
      </c>
      <c r="B485" s="2">
        <v>45525</v>
      </c>
      <c r="C485" t="s">
        <v>82</v>
      </c>
      <c r="D485" t="s">
        <v>72</v>
      </c>
      <c r="E485" t="s">
        <v>1405</v>
      </c>
      <c r="F485" t="s">
        <v>46</v>
      </c>
      <c r="G485" t="s">
        <v>1406</v>
      </c>
      <c r="H485" t="s">
        <v>80</v>
      </c>
      <c r="I485" t="s">
        <v>26</v>
      </c>
      <c r="J485">
        <v>4</v>
      </c>
      <c r="K485">
        <v>485</v>
      </c>
      <c r="L485">
        <v>1940</v>
      </c>
      <c r="M485">
        <v>4.5</v>
      </c>
      <c r="N485">
        <v>33</v>
      </c>
      <c r="P485">
        <v>0</v>
      </c>
      <c r="Q485" t="s">
        <v>75</v>
      </c>
      <c r="R485">
        <v>25</v>
      </c>
      <c r="S485" t="s">
        <v>28</v>
      </c>
    </row>
    <row r="486" spans="1:19" x14ac:dyDescent="0.3">
      <c r="A486" t="s">
        <v>1407</v>
      </c>
      <c r="B486" s="2">
        <v>45421</v>
      </c>
      <c r="C486" t="s">
        <v>71</v>
      </c>
      <c r="D486" t="s">
        <v>92</v>
      </c>
      <c r="E486" t="s">
        <v>1408</v>
      </c>
      <c r="F486" t="s">
        <v>62</v>
      </c>
      <c r="G486" t="s">
        <v>186</v>
      </c>
      <c r="H486" t="s">
        <v>80</v>
      </c>
      <c r="I486" t="s">
        <v>26</v>
      </c>
      <c r="J486">
        <v>2</v>
      </c>
      <c r="K486">
        <v>491</v>
      </c>
      <c r="L486">
        <v>982</v>
      </c>
      <c r="M486">
        <v>3.8</v>
      </c>
      <c r="N486">
        <v>25</v>
      </c>
      <c r="O486">
        <v>700</v>
      </c>
      <c r="P486">
        <v>10</v>
      </c>
      <c r="Q486" t="s">
        <v>49</v>
      </c>
      <c r="R486">
        <v>41</v>
      </c>
      <c r="S486" t="s">
        <v>41</v>
      </c>
    </row>
    <row r="487" spans="1:19" x14ac:dyDescent="0.3">
      <c r="A487" t="s">
        <v>1409</v>
      </c>
      <c r="B487" s="2">
        <v>45509</v>
      </c>
      <c r="C487" t="s">
        <v>82</v>
      </c>
      <c r="D487" t="s">
        <v>44</v>
      </c>
      <c r="E487" t="s">
        <v>1410</v>
      </c>
      <c r="F487" t="s">
        <v>115</v>
      </c>
      <c r="G487" t="s">
        <v>1411</v>
      </c>
      <c r="H487" t="s">
        <v>80</v>
      </c>
      <c r="I487" t="s">
        <v>26</v>
      </c>
      <c r="J487">
        <v>3</v>
      </c>
      <c r="K487">
        <v>333</v>
      </c>
      <c r="L487">
        <v>999</v>
      </c>
      <c r="M487">
        <v>4.5</v>
      </c>
      <c r="N487">
        <v>40</v>
      </c>
      <c r="O487">
        <v>75</v>
      </c>
      <c r="P487">
        <v>30</v>
      </c>
      <c r="Q487" t="s">
        <v>34</v>
      </c>
      <c r="R487">
        <v>46</v>
      </c>
      <c r="S487" t="s">
        <v>41</v>
      </c>
    </row>
    <row r="488" spans="1:19" x14ac:dyDescent="0.3">
      <c r="A488" t="s">
        <v>1412</v>
      </c>
      <c r="B488" s="2">
        <v>45308</v>
      </c>
      <c r="C488" t="s">
        <v>43</v>
      </c>
      <c r="D488" t="s">
        <v>72</v>
      </c>
      <c r="E488" t="s">
        <v>1413</v>
      </c>
      <c r="F488" t="s">
        <v>46</v>
      </c>
      <c r="G488" t="s">
        <v>1058</v>
      </c>
      <c r="H488" t="s">
        <v>80</v>
      </c>
      <c r="I488" t="s">
        <v>26</v>
      </c>
      <c r="J488">
        <v>4</v>
      </c>
      <c r="K488">
        <v>262</v>
      </c>
      <c r="L488">
        <v>1048</v>
      </c>
      <c r="M488">
        <v>4.7</v>
      </c>
      <c r="N488">
        <v>33</v>
      </c>
      <c r="P488">
        <v>0</v>
      </c>
      <c r="Q488" t="s">
        <v>34</v>
      </c>
      <c r="R488">
        <v>46</v>
      </c>
      <c r="S488" t="s">
        <v>41</v>
      </c>
    </row>
    <row r="489" spans="1:19" x14ac:dyDescent="0.3">
      <c r="A489" t="s">
        <v>1414</v>
      </c>
      <c r="B489" s="2">
        <v>45395</v>
      </c>
      <c r="C489" t="s">
        <v>20</v>
      </c>
      <c r="D489" t="s">
        <v>100</v>
      </c>
      <c r="E489" t="s">
        <v>1415</v>
      </c>
      <c r="F489" t="s">
        <v>713</v>
      </c>
      <c r="G489" t="s">
        <v>1416</v>
      </c>
      <c r="H489" t="s">
        <v>80</v>
      </c>
      <c r="I489" t="s">
        <v>26</v>
      </c>
      <c r="J489">
        <v>4</v>
      </c>
      <c r="K489">
        <v>495</v>
      </c>
      <c r="L489">
        <v>1980</v>
      </c>
      <c r="M489">
        <v>4.3</v>
      </c>
      <c r="N489">
        <v>39</v>
      </c>
      <c r="P489">
        <v>0</v>
      </c>
      <c r="Q489" t="s">
        <v>34</v>
      </c>
      <c r="R489">
        <v>34</v>
      </c>
      <c r="S489" t="s">
        <v>28</v>
      </c>
    </row>
    <row r="490" spans="1:19" x14ac:dyDescent="0.3">
      <c r="A490" t="s">
        <v>1417</v>
      </c>
      <c r="B490" s="2">
        <v>45452</v>
      </c>
      <c r="C490" t="s">
        <v>30</v>
      </c>
      <c r="D490" t="s">
        <v>60</v>
      </c>
      <c r="E490" t="s">
        <v>1418</v>
      </c>
      <c r="F490" t="s">
        <v>115</v>
      </c>
      <c r="G490" t="s">
        <v>1419</v>
      </c>
      <c r="H490" t="s">
        <v>80</v>
      </c>
      <c r="I490" t="s">
        <v>26</v>
      </c>
      <c r="J490">
        <v>3</v>
      </c>
      <c r="K490">
        <v>351</v>
      </c>
      <c r="L490">
        <v>1053</v>
      </c>
      <c r="M490">
        <v>4.5</v>
      </c>
      <c r="N490">
        <v>27</v>
      </c>
      <c r="P490">
        <v>0</v>
      </c>
      <c r="Q490" t="s">
        <v>49</v>
      </c>
      <c r="R490">
        <v>24</v>
      </c>
      <c r="S490" t="s">
        <v>41</v>
      </c>
    </row>
    <row r="491" spans="1:19" x14ac:dyDescent="0.3">
      <c r="A491" t="s">
        <v>1420</v>
      </c>
      <c r="B491" s="2">
        <v>45428</v>
      </c>
      <c r="C491" t="s">
        <v>71</v>
      </c>
      <c r="D491" t="s">
        <v>92</v>
      </c>
      <c r="E491" t="s">
        <v>1421</v>
      </c>
      <c r="F491" t="s">
        <v>62</v>
      </c>
      <c r="G491" t="s">
        <v>227</v>
      </c>
      <c r="H491" t="s">
        <v>80</v>
      </c>
      <c r="I491" t="s">
        <v>26</v>
      </c>
      <c r="J491">
        <v>2</v>
      </c>
      <c r="K491">
        <v>332</v>
      </c>
      <c r="L491">
        <v>664</v>
      </c>
      <c r="M491">
        <v>4.2</v>
      </c>
      <c r="N491">
        <v>33</v>
      </c>
      <c r="O491">
        <v>999</v>
      </c>
      <c r="P491">
        <v>0</v>
      </c>
      <c r="Q491" t="s">
        <v>75</v>
      </c>
      <c r="R491">
        <v>28</v>
      </c>
      <c r="S491" t="s">
        <v>28</v>
      </c>
    </row>
    <row r="492" spans="1:19" x14ac:dyDescent="0.3">
      <c r="A492" t="s">
        <v>1422</v>
      </c>
      <c r="B492" s="2">
        <v>45334</v>
      </c>
      <c r="C492" t="s">
        <v>113</v>
      </c>
      <c r="D492" t="s">
        <v>44</v>
      </c>
      <c r="E492" t="s">
        <v>1423</v>
      </c>
      <c r="F492" t="s">
        <v>956</v>
      </c>
      <c r="G492" t="s">
        <v>1424</v>
      </c>
      <c r="H492" t="s">
        <v>80</v>
      </c>
      <c r="I492" t="s">
        <v>26</v>
      </c>
      <c r="J492">
        <v>1</v>
      </c>
      <c r="K492">
        <v>198</v>
      </c>
      <c r="L492">
        <v>198</v>
      </c>
      <c r="M492">
        <v>4.2</v>
      </c>
      <c r="N492">
        <v>38</v>
      </c>
      <c r="O492">
        <v>449</v>
      </c>
      <c r="P492">
        <v>0</v>
      </c>
      <c r="Q492" t="s">
        <v>27</v>
      </c>
      <c r="R492">
        <v>35</v>
      </c>
      <c r="S492" t="s">
        <v>28</v>
      </c>
    </row>
    <row r="493" spans="1:19" x14ac:dyDescent="0.3">
      <c r="A493" t="s">
        <v>1425</v>
      </c>
      <c r="B493" s="2">
        <v>45467</v>
      </c>
      <c r="C493" t="s">
        <v>30</v>
      </c>
      <c r="D493" t="s">
        <v>44</v>
      </c>
      <c r="E493" t="s">
        <v>1426</v>
      </c>
      <c r="F493" t="s">
        <v>62</v>
      </c>
      <c r="G493" t="s">
        <v>289</v>
      </c>
      <c r="H493" t="s">
        <v>48</v>
      </c>
      <c r="I493" t="s">
        <v>33</v>
      </c>
      <c r="J493">
        <v>1</v>
      </c>
      <c r="K493">
        <v>333</v>
      </c>
      <c r="L493">
        <v>333</v>
      </c>
      <c r="M493">
        <v>4.5</v>
      </c>
      <c r="N493">
        <v>35</v>
      </c>
      <c r="P493">
        <v>0</v>
      </c>
      <c r="Q493" t="s">
        <v>75</v>
      </c>
      <c r="R493">
        <v>18</v>
      </c>
      <c r="S493" t="s">
        <v>28</v>
      </c>
    </row>
    <row r="494" spans="1:19" x14ac:dyDescent="0.3">
      <c r="A494" t="s">
        <v>1427</v>
      </c>
      <c r="B494" s="2">
        <v>45330</v>
      </c>
      <c r="C494" t="s">
        <v>113</v>
      </c>
      <c r="D494" t="s">
        <v>92</v>
      </c>
      <c r="E494" t="s">
        <v>1428</v>
      </c>
      <c r="F494" t="s">
        <v>115</v>
      </c>
      <c r="G494" t="s">
        <v>1429</v>
      </c>
      <c r="H494" t="s">
        <v>53</v>
      </c>
      <c r="I494" t="s">
        <v>26</v>
      </c>
      <c r="J494">
        <v>2</v>
      </c>
      <c r="K494">
        <v>235</v>
      </c>
      <c r="L494">
        <v>470</v>
      </c>
      <c r="M494">
        <v>4.5</v>
      </c>
      <c r="N494">
        <v>33</v>
      </c>
      <c r="P494">
        <v>0</v>
      </c>
      <c r="Q494" t="s">
        <v>34</v>
      </c>
      <c r="R494">
        <v>20</v>
      </c>
      <c r="S494" t="s">
        <v>41</v>
      </c>
    </row>
    <row r="495" spans="1:19" x14ac:dyDescent="0.3">
      <c r="A495" t="s">
        <v>1430</v>
      </c>
      <c r="B495" s="2">
        <v>45512</v>
      </c>
      <c r="C495" t="s">
        <v>82</v>
      </c>
      <c r="D495" t="s">
        <v>92</v>
      </c>
      <c r="E495" t="s">
        <v>1431</v>
      </c>
      <c r="F495" t="s">
        <v>46</v>
      </c>
      <c r="G495" t="s">
        <v>1432</v>
      </c>
      <c r="H495" t="s">
        <v>48</v>
      </c>
      <c r="I495" t="s">
        <v>33</v>
      </c>
      <c r="J495">
        <v>4</v>
      </c>
      <c r="K495">
        <v>211</v>
      </c>
      <c r="L495">
        <v>844</v>
      </c>
      <c r="M495">
        <v>4.0999999999999996</v>
      </c>
      <c r="N495">
        <v>39</v>
      </c>
      <c r="O495">
        <v>499</v>
      </c>
      <c r="P495">
        <v>0</v>
      </c>
      <c r="Q495" t="s">
        <v>75</v>
      </c>
      <c r="R495">
        <v>49</v>
      </c>
      <c r="S495" t="s">
        <v>28</v>
      </c>
    </row>
    <row r="496" spans="1:19" x14ac:dyDescent="0.3">
      <c r="A496" t="s">
        <v>1433</v>
      </c>
      <c r="B496" s="2">
        <v>45461</v>
      </c>
      <c r="C496" t="s">
        <v>30</v>
      </c>
      <c r="D496" t="s">
        <v>36</v>
      </c>
      <c r="E496" t="s">
        <v>1434</v>
      </c>
      <c r="F496" t="s">
        <v>62</v>
      </c>
      <c r="G496" t="s">
        <v>1435</v>
      </c>
      <c r="H496" t="s">
        <v>64</v>
      </c>
      <c r="I496" t="s">
        <v>26</v>
      </c>
      <c r="J496">
        <v>4</v>
      </c>
      <c r="K496">
        <v>389</v>
      </c>
      <c r="L496">
        <v>1556</v>
      </c>
      <c r="M496">
        <v>4.5</v>
      </c>
      <c r="N496">
        <v>36</v>
      </c>
      <c r="O496">
        <v>1000</v>
      </c>
      <c r="P496">
        <v>10</v>
      </c>
      <c r="Q496" t="s">
        <v>75</v>
      </c>
      <c r="R496">
        <v>21</v>
      </c>
      <c r="S496" t="s">
        <v>41</v>
      </c>
    </row>
    <row r="497" spans="1:19" x14ac:dyDescent="0.3">
      <c r="A497" t="s">
        <v>1436</v>
      </c>
      <c r="B497" s="2">
        <v>45317</v>
      </c>
      <c r="C497" t="s">
        <v>43</v>
      </c>
      <c r="D497" t="s">
        <v>21</v>
      </c>
      <c r="E497" t="s">
        <v>1437</v>
      </c>
      <c r="F497" t="s">
        <v>62</v>
      </c>
      <c r="G497" t="s">
        <v>154</v>
      </c>
      <c r="H497" t="s">
        <v>80</v>
      </c>
      <c r="I497" t="s">
        <v>26</v>
      </c>
      <c r="J497">
        <v>4</v>
      </c>
      <c r="K497">
        <v>530</v>
      </c>
      <c r="L497">
        <v>2120</v>
      </c>
      <c r="M497">
        <v>4.4000000000000004</v>
      </c>
      <c r="N497">
        <v>38</v>
      </c>
      <c r="O497">
        <v>449</v>
      </c>
      <c r="P497">
        <v>0</v>
      </c>
      <c r="Q497" t="s">
        <v>27</v>
      </c>
      <c r="R497">
        <v>30</v>
      </c>
      <c r="S497" t="s">
        <v>41</v>
      </c>
    </row>
    <row r="498" spans="1:19" x14ac:dyDescent="0.3">
      <c r="A498" t="s">
        <v>1438</v>
      </c>
      <c r="B498" s="2">
        <v>45390</v>
      </c>
      <c r="C498" t="s">
        <v>20</v>
      </c>
      <c r="D498" t="s">
        <v>44</v>
      </c>
      <c r="E498" t="s">
        <v>1439</v>
      </c>
      <c r="F498" t="s">
        <v>46</v>
      </c>
      <c r="G498" t="s">
        <v>1440</v>
      </c>
      <c r="H498" t="s">
        <v>80</v>
      </c>
      <c r="I498" t="s">
        <v>26</v>
      </c>
      <c r="J498">
        <v>4</v>
      </c>
      <c r="K498">
        <v>500</v>
      </c>
      <c r="L498">
        <v>2000</v>
      </c>
      <c r="M498">
        <v>4.3</v>
      </c>
      <c r="N498">
        <v>39</v>
      </c>
      <c r="O498">
        <v>449</v>
      </c>
      <c r="P498">
        <v>0</v>
      </c>
      <c r="Q498" t="s">
        <v>49</v>
      </c>
      <c r="R498">
        <v>23</v>
      </c>
      <c r="S498" t="s">
        <v>28</v>
      </c>
    </row>
    <row r="499" spans="1:19" x14ac:dyDescent="0.3">
      <c r="A499" t="s">
        <v>1441</v>
      </c>
      <c r="B499" s="2">
        <v>45341</v>
      </c>
      <c r="C499" t="s">
        <v>113</v>
      </c>
      <c r="D499" t="s">
        <v>44</v>
      </c>
      <c r="E499" t="s">
        <v>1442</v>
      </c>
      <c r="F499" t="s">
        <v>115</v>
      </c>
      <c r="G499" t="s">
        <v>1443</v>
      </c>
      <c r="H499" t="s">
        <v>80</v>
      </c>
      <c r="I499" t="s">
        <v>26</v>
      </c>
      <c r="J499">
        <v>2</v>
      </c>
      <c r="K499">
        <v>287</v>
      </c>
      <c r="L499">
        <v>574</v>
      </c>
      <c r="M499">
        <v>4.0999999999999996</v>
      </c>
      <c r="N499">
        <v>38</v>
      </c>
      <c r="O499">
        <v>499</v>
      </c>
      <c r="P499">
        <v>0</v>
      </c>
      <c r="Q499" t="s">
        <v>49</v>
      </c>
      <c r="R499">
        <v>43</v>
      </c>
      <c r="S499" t="s">
        <v>28</v>
      </c>
    </row>
    <row r="500" spans="1:19" x14ac:dyDescent="0.3">
      <c r="A500" t="s">
        <v>1444</v>
      </c>
      <c r="B500" s="2">
        <v>45444</v>
      </c>
      <c r="C500" t="s">
        <v>30</v>
      </c>
      <c r="D500" t="s">
        <v>100</v>
      </c>
      <c r="E500" t="s">
        <v>1445</v>
      </c>
      <c r="F500" t="s">
        <v>102</v>
      </c>
      <c r="G500" t="s">
        <v>825</v>
      </c>
      <c r="H500" t="s">
        <v>80</v>
      </c>
      <c r="I500" t="s">
        <v>26</v>
      </c>
      <c r="J500">
        <v>4</v>
      </c>
      <c r="K500">
        <v>177</v>
      </c>
      <c r="L500">
        <v>708</v>
      </c>
      <c r="M500">
        <v>4.4000000000000004</v>
      </c>
      <c r="N500">
        <v>38</v>
      </c>
      <c r="O500">
        <v>1500</v>
      </c>
      <c r="P500">
        <v>10</v>
      </c>
      <c r="Q500" t="s">
        <v>75</v>
      </c>
      <c r="R500">
        <v>49</v>
      </c>
      <c r="S500" t="s">
        <v>41</v>
      </c>
    </row>
    <row r="501" spans="1:19" x14ac:dyDescent="0.3">
      <c r="A501" t="s">
        <v>1446</v>
      </c>
      <c r="B501" s="2">
        <v>45443</v>
      </c>
      <c r="C501" t="s">
        <v>71</v>
      </c>
      <c r="D501" t="s">
        <v>21</v>
      </c>
      <c r="E501" t="s">
        <v>1447</v>
      </c>
      <c r="F501" t="s">
        <v>192</v>
      </c>
      <c r="G501" t="s">
        <v>1448</v>
      </c>
      <c r="H501" t="s">
        <v>25</v>
      </c>
      <c r="I501" t="s">
        <v>26</v>
      </c>
      <c r="J501">
        <v>3</v>
      </c>
      <c r="K501">
        <v>403</v>
      </c>
      <c r="L501">
        <v>1209</v>
      </c>
      <c r="M501">
        <v>4.4000000000000004</v>
      </c>
      <c r="N501">
        <v>59</v>
      </c>
      <c r="O501">
        <v>999</v>
      </c>
      <c r="P501">
        <v>0</v>
      </c>
      <c r="Q501" t="s">
        <v>75</v>
      </c>
      <c r="R501">
        <v>31</v>
      </c>
      <c r="S501" t="s">
        <v>41</v>
      </c>
    </row>
    <row r="502" spans="1:19" x14ac:dyDescent="0.3">
      <c r="A502" t="s">
        <v>1449</v>
      </c>
      <c r="B502" s="2">
        <v>45304</v>
      </c>
      <c r="C502" t="s">
        <v>43</v>
      </c>
      <c r="D502" t="s">
        <v>100</v>
      </c>
      <c r="E502" t="s">
        <v>1450</v>
      </c>
      <c r="F502" t="s">
        <v>192</v>
      </c>
      <c r="G502" t="s">
        <v>893</v>
      </c>
      <c r="H502" t="s">
        <v>80</v>
      </c>
      <c r="I502" t="s">
        <v>26</v>
      </c>
      <c r="J502">
        <v>4</v>
      </c>
      <c r="K502">
        <v>145</v>
      </c>
      <c r="L502">
        <v>580</v>
      </c>
      <c r="M502">
        <v>4.5999999999999996</v>
      </c>
      <c r="N502">
        <v>56</v>
      </c>
      <c r="P502">
        <v>0</v>
      </c>
      <c r="Q502" t="s">
        <v>49</v>
      </c>
      <c r="R502">
        <v>22</v>
      </c>
      <c r="S502" t="s">
        <v>41</v>
      </c>
    </row>
    <row r="503" spans="1:19" x14ac:dyDescent="0.3">
      <c r="A503" t="s">
        <v>1451</v>
      </c>
      <c r="B503" s="2">
        <v>45351</v>
      </c>
      <c r="C503" t="s">
        <v>113</v>
      </c>
      <c r="D503" t="s">
        <v>92</v>
      </c>
      <c r="E503" t="s">
        <v>1452</v>
      </c>
      <c r="F503" t="s">
        <v>713</v>
      </c>
      <c r="G503" t="s">
        <v>1453</v>
      </c>
      <c r="H503" t="s">
        <v>80</v>
      </c>
      <c r="I503" t="s">
        <v>26</v>
      </c>
      <c r="J503">
        <v>1</v>
      </c>
      <c r="K503">
        <v>488</v>
      </c>
      <c r="L503">
        <v>488</v>
      </c>
      <c r="M503">
        <v>4.3</v>
      </c>
      <c r="N503">
        <v>43</v>
      </c>
      <c r="P503">
        <v>0</v>
      </c>
      <c r="Q503" t="s">
        <v>49</v>
      </c>
      <c r="R503">
        <v>33</v>
      </c>
      <c r="S503" t="s">
        <v>41</v>
      </c>
    </row>
    <row r="504" spans="1:19" x14ac:dyDescent="0.3">
      <c r="A504" t="s">
        <v>1454</v>
      </c>
      <c r="B504" s="2">
        <v>45426</v>
      </c>
      <c r="C504" t="s">
        <v>71</v>
      </c>
      <c r="D504" t="s">
        <v>36</v>
      </c>
      <c r="E504" t="s">
        <v>1455</v>
      </c>
      <c r="F504" t="s">
        <v>62</v>
      </c>
      <c r="G504" t="s">
        <v>80</v>
      </c>
      <c r="H504" t="s">
        <v>80</v>
      </c>
      <c r="I504" t="s">
        <v>26</v>
      </c>
      <c r="J504">
        <v>4</v>
      </c>
      <c r="K504">
        <v>566</v>
      </c>
      <c r="L504">
        <v>2264</v>
      </c>
      <c r="M504">
        <v>4.2</v>
      </c>
      <c r="N504">
        <v>41</v>
      </c>
      <c r="P504">
        <v>0</v>
      </c>
      <c r="Q504" t="s">
        <v>27</v>
      </c>
      <c r="R504">
        <v>32</v>
      </c>
      <c r="S504" t="s">
        <v>41</v>
      </c>
    </row>
    <row r="505" spans="1:19" x14ac:dyDescent="0.3">
      <c r="A505" t="s">
        <v>1456</v>
      </c>
      <c r="B505" s="2">
        <v>45348</v>
      </c>
      <c r="C505" t="s">
        <v>113</v>
      </c>
      <c r="D505" t="s">
        <v>44</v>
      </c>
      <c r="E505" t="s">
        <v>1457</v>
      </c>
      <c r="F505" t="s">
        <v>956</v>
      </c>
      <c r="G505" t="s">
        <v>1458</v>
      </c>
      <c r="H505" t="s">
        <v>53</v>
      </c>
      <c r="I505" t="s">
        <v>26</v>
      </c>
      <c r="J505">
        <v>2</v>
      </c>
      <c r="K505">
        <v>185</v>
      </c>
      <c r="L505">
        <v>370</v>
      </c>
      <c r="M505">
        <v>4.3</v>
      </c>
      <c r="N505">
        <v>46</v>
      </c>
      <c r="P505">
        <v>0</v>
      </c>
      <c r="Q505" t="s">
        <v>34</v>
      </c>
      <c r="R505">
        <v>32</v>
      </c>
      <c r="S505" t="s">
        <v>41</v>
      </c>
    </row>
    <row r="506" spans="1:19" x14ac:dyDescent="0.3">
      <c r="A506" t="s">
        <v>1459</v>
      </c>
      <c r="B506" s="2">
        <v>45327</v>
      </c>
      <c r="C506" t="s">
        <v>113</v>
      </c>
      <c r="D506" t="s">
        <v>44</v>
      </c>
      <c r="E506" t="s">
        <v>1460</v>
      </c>
      <c r="F506" t="s">
        <v>192</v>
      </c>
      <c r="G506" t="s">
        <v>1461</v>
      </c>
      <c r="H506" t="s">
        <v>53</v>
      </c>
      <c r="I506" t="s">
        <v>26</v>
      </c>
      <c r="J506">
        <v>1</v>
      </c>
      <c r="K506">
        <v>528</v>
      </c>
      <c r="L506">
        <v>528</v>
      </c>
      <c r="M506">
        <v>4.4000000000000004</v>
      </c>
      <c r="N506">
        <v>44</v>
      </c>
      <c r="O506">
        <v>800</v>
      </c>
      <c r="P506">
        <v>15</v>
      </c>
      <c r="Q506" t="s">
        <v>75</v>
      </c>
      <c r="R506">
        <v>47</v>
      </c>
      <c r="S506" t="s">
        <v>28</v>
      </c>
    </row>
    <row r="507" spans="1:19" x14ac:dyDescent="0.3">
      <c r="A507" t="s">
        <v>1462</v>
      </c>
      <c r="B507" s="2">
        <v>45464</v>
      </c>
      <c r="C507" t="s">
        <v>30</v>
      </c>
      <c r="D507" t="s">
        <v>21</v>
      </c>
      <c r="E507" t="s">
        <v>1463</v>
      </c>
      <c r="F507" t="s">
        <v>192</v>
      </c>
      <c r="G507" t="s">
        <v>79</v>
      </c>
      <c r="H507" t="s">
        <v>80</v>
      </c>
      <c r="I507" t="s">
        <v>26</v>
      </c>
      <c r="J507">
        <v>2</v>
      </c>
      <c r="K507">
        <v>367</v>
      </c>
      <c r="L507">
        <v>734</v>
      </c>
      <c r="M507">
        <v>4.5</v>
      </c>
      <c r="N507">
        <v>46</v>
      </c>
      <c r="O507">
        <v>999</v>
      </c>
      <c r="P507">
        <v>0</v>
      </c>
      <c r="Q507" t="s">
        <v>49</v>
      </c>
      <c r="R507">
        <v>21</v>
      </c>
      <c r="S507" t="s">
        <v>41</v>
      </c>
    </row>
    <row r="508" spans="1:19" x14ac:dyDescent="0.3">
      <c r="A508" t="s">
        <v>1464</v>
      </c>
      <c r="B508" s="2">
        <v>45311</v>
      </c>
      <c r="C508" t="s">
        <v>43</v>
      </c>
      <c r="D508" t="s">
        <v>100</v>
      </c>
      <c r="E508" t="s">
        <v>1465</v>
      </c>
      <c r="F508" t="s">
        <v>578</v>
      </c>
      <c r="G508" t="s">
        <v>1466</v>
      </c>
      <c r="H508" t="s">
        <v>48</v>
      </c>
      <c r="I508" t="s">
        <v>33</v>
      </c>
      <c r="J508">
        <v>2</v>
      </c>
      <c r="K508">
        <v>373</v>
      </c>
      <c r="L508">
        <v>746</v>
      </c>
      <c r="M508">
        <v>4.5999999999999996</v>
      </c>
      <c r="N508">
        <v>53</v>
      </c>
      <c r="O508">
        <v>1500</v>
      </c>
      <c r="P508">
        <v>10</v>
      </c>
      <c r="Q508" t="s">
        <v>75</v>
      </c>
      <c r="R508">
        <v>25</v>
      </c>
      <c r="S508" t="s">
        <v>41</v>
      </c>
    </row>
    <row r="509" spans="1:19" x14ac:dyDescent="0.3">
      <c r="A509" t="s">
        <v>1467</v>
      </c>
      <c r="B509" s="2">
        <v>45356</v>
      </c>
      <c r="C509" t="s">
        <v>55</v>
      </c>
      <c r="D509" t="s">
        <v>36</v>
      </c>
      <c r="E509" t="s">
        <v>1468</v>
      </c>
      <c r="F509" t="s">
        <v>1469</v>
      </c>
      <c r="G509" t="s">
        <v>1470</v>
      </c>
      <c r="H509" t="s">
        <v>48</v>
      </c>
      <c r="I509" t="s">
        <v>33</v>
      </c>
      <c r="J509">
        <v>1</v>
      </c>
      <c r="K509">
        <v>506</v>
      </c>
      <c r="L509">
        <v>506</v>
      </c>
      <c r="M509">
        <v>3.9</v>
      </c>
      <c r="N509">
        <v>44</v>
      </c>
      <c r="O509">
        <v>599</v>
      </c>
      <c r="P509">
        <v>0</v>
      </c>
      <c r="Q509" t="s">
        <v>75</v>
      </c>
      <c r="R509">
        <v>44</v>
      </c>
      <c r="S509" t="s">
        <v>41</v>
      </c>
    </row>
    <row r="510" spans="1:19" x14ac:dyDescent="0.3">
      <c r="A510" t="s">
        <v>1471</v>
      </c>
      <c r="B510" s="2">
        <v>45299</v>
      </c>
      <c r="C510" t="s">
        <v>43</v>
      </c>
      <c r="D510" t="s">
        <v>44</v>
      </c>
      <c r="E510" t="s">
        <v>1472</v>
      </c>
      <c r="F510" t="s">
        <v>115</v>
      </c>
      <c r="G510" t="s">
        <v>1473</v>
      </c>
      <c r="H510" t="s">
        <v>80</v>
      </c>
      <c r="I510" t="s">
        <v>26</v>
      </c>
      <c r="J510">
        <v>2</v>
      </c>
      <c r="K510">
        <v>575</v>
      </c>
      <c r="L510">
        <v>1150</v>
      </c>
      <c r="M510">
        <v>4.2</v>
      </c>
      <c r="N510">
        <v>43</v>
      </c>
      <c r="O510">
        <v>999</v>
      </c>
      <c r="P510">
        <v>0</v>
      </c>
      <c r="Q510" t="s">
        <v>49</v>
      </c>
      <c r="R510">
        <v>33</v>
      </c>
      <c r="S510" t="s">
        <v>41</v>
      </c>
    </row>
    <row r="511" spans="1:19" x14ac:dyDescent="0.3">
      <c r="A511" t="s">
        <v>1474</v>
      </c>
      <c r="B511" s="2">
        <v>45529</v>
      </c>
      <c r="C511" t="s">
        <v>82</v>
      </c>
      <c r="D511" t="s">
        <v>60</v>
      </c>
      <c r="E511" t="s">
        <v>1475</v>
      </c>
      <c r="F511" t="s">
        <v>517</v>
      </c>
      <c r="G511" t="s">
        <v>1476</v>
      </c>
      <c r="H511" t="s">
        <v>80</v>
      </c>
      <c r="I511" t="s">
        <v>26</v>
      </c>
      <c r="J511">
        <v>2</v>
      </c>
      <c r="K511">
        <v>163</v>
      </c>
      <c r="L511">
        <v>326</v>
      </c>
      <c r="M511">
        <v>4.2</v>
      </c>
      <c r="N511">
        <v>48</v>
      </c>
      <c r="O511">
        <v>100</v>
      </c>
      <c r="P511">
        <v>20</v>
      </c>
      <c r="Q511" t="s">
        <v>27</v>
      </c>
      <c r="R511">
        <v>45</v>
      </c>
      <c r="S511" t="s">
        <v>28</v>
      </c>
    </row>
    <row r="512" spans="1:19" x14ac:dyDescent="0.3">
      <c r="A512" t="s">
        <v>1477</v>
      </c>
      <c r="B512" s="2">
        <v>45435</v>
      </c>
      <c r="C512" t="s">
        <v>71</v>
      </c>
      <c r="D512" t="s">
        <v>92</v>
      </c>
      <c r="E512" t="s">
        <v>1478</v>
      </c>
      <c r="F512" t="s">
        <v>78</v>
      </c>
      <c r="G512" t="s">
        <v>1479</v>
      </c>
      <c r="H512" t="s">
        <v>48</v>
      </c>
      <c r="I512" t="s">
        <v>33</v>
      </c>
      <c r="J512">
        <v>4</v>
      </c>
      <c r="K512">
        <v>216</v>
      </c>
      <c r="L512">
        <v>864</v>
      </c>
      <c r="M512">
        <v>4.5</v>
      </c>
      <c r="N512">
        <v>58</v>
      </c>
      <c r="P512">
        <v>0</v>
      </c>
      <c r="Q512" t="s">
        <v>75</v>
      </c>
      <c r="R512">
        <v>33</v>
      </c>
      <c r="S512" t="s">
        <v>28</v>
      </c>
    </row>
    <row r="513" spans="1:19" x14ac:dyDescent="0.3">
      <c r="A513" t="s">
        <v>1480</v>
      </c>
      <c r="B513" s="2">
        <v>45433</v>
      </c>
      <c r="C513" t="s">
        <v>71</v>
      </c>
      <c r="D513" t="s">
        <v>36</v>
      </c>
      <c r="E513" t="s">
        <v>1481</v>
      </c>
      <c r="F513" t="s">
        <v>956</v>
      </c>
      <c r="G513" t="s">
        <v>221</v>
      </c>
      <c r="H513" t="s">
        <v>80</v>
      </c>
      <c r="I513" t="s">
        <v>26</v>
      </c>
      <c r="J513">
        <v>3</v>
      </c>
      <c r="K513">
        <v>161</v>
      </c>
      <c r="L513">
        <v>483</v>
      </c>
      <c r="M513">
        <v>4.4000000000000004</v>
      </c>
      <c r="N513">
        <v>45</v>
      </c>
      <c r="P513">
        <v>0</v>
      </c>
      <c r="Q513" t="s">
        <v>27</v>
      </c>
      <c r="R513">
        <v>47</v>
      </c>
      <c r="S513" t="s">
        <v>41</v>
      </c>
    </row>
    <row r="514" spans="1:19" x14ac:dyDescent="0.3">
      <c r="A514" t="s">
        <v>1482</v>
      </c>
      <c r="B514" s="2">
        <v>45495</v>
      </c>
      <c r="C514" t="s">
        <v>59</v>
      </c>
      <c r="D514" t="s">
        <v>44</v>
      </c>
      <c r="E514" t="s">
        <v>1483</v>
      </c>
      <c r="F514" t="s">
        <v>62</v>
      </c>
      <c r="G514" t="s">
        <v>1484</v>
      </c>
      <c r="H514" t="s">
        <v>48</v>
      </c>
      <c r="I514" t="s">
        <v>33</v>
      </c>
      <c r="J514">
        <v>2</v>
      </c>
      <c r="K514">
        <v>346</v>
      </c>
      <c r="L514">
        <v>692</v>
      </c>
      <c r="M514">
        <v>4.4000000000000004</v>
      </c>
      <c r="N514">
        <v>51</v>
      </c>
      <c r="O514">
        <v>999</v>
      </c>
      <c r="P514">
        <v>0</v>
      </c>
      <c r="Q514" t="s">
        <v>49</v>
      </c>
      <c r="R514">
        <v>21</v>
      </c>
      <c r="S514" t="s">
        <v>41</v>
      </c>
    </row>
    <row r="515" spans="1:19" x14ac:dyDescent="0.3">
      <c r="A515" t="s">
        <v>1485</v>
      </c>
      <c r="B515" s="2">
        <v>45406</v>
      </c>
      <c r="C515" t="s">
        <v>20</v>
      </c>
      <c r="D515" t="s">
        <v>72</v>
      </c>
      <c r="E515" t="s">
        <v>1486</v>
      </c>
      <c r="F515" t="s">
        <v>78</v>
      </c>
      <c r="G515" t="s">
        <v>1487</v>
      </c>
      <c r="H515" t="s">
        <v>80</v>
      </c>
      <c r="I515" t="s">
        <v>26</v>
      </c>
      <c r="J515">
        <v>2</v>
      </c>
      <c r="K515">
        <v>381</v>
      </c>
      <c r="L515">
        <v>762</v>
      </c>
      <c r="M515">
        <v>4.3</v>
      </c>
      <c r="N515">
        <v>52</v>
      </c>
      <c r="O515">
        <v>499</v>
      </c>
      <c r="P515">
        <v>0</v>
      </c>
      <c r="Q515" t="s">
        <v>34</v>
      </c>
      <c r="R515">
        <v>30</v>
      </c>
      <c r="S515" t="s">
        <v>41</v>
      </c>
    </row>
    <row r="516" spans="1:19" x14ac:dyDescent="0.3">
      <c r="A516" t="s">
        <v>1488</v>
      </c>
      <c r="B516" s="2">
        <v>45506</v>
      </c>
      <c r="C516" t="s">
        <v>82</v>
      </c>
      <c r="D516" t="s">
        <v>21</v>
      </c>
      <c r="E516" t="s">
        <v>1489</v>
      </c>
      <c r="F516" t="s">
        <v>824</v>
      </c>
      <c r="G516" t="s">
        <v>373</v>
      </c>
      <c r="H516" t="s">
        <v>80</v>
      </c>
      <c r="I516" t="s">
        <v>26</v>
      </c>
      <c r="J516">
        <v>2</v>
      </c>
      <c r="K516">
        <v>286</v>
      </c>
      <c r="L516">
        <v>572</v>
      </c>
      <c r="M516">
        <v>4.2</v>
      </c>
      <c r="N516">
        <v>55</v>
      </c>
      <c r="O516">
        <v>449</v>
      </c>
      <c r="P516">
        <v>0</v>
      </c>
      <c r="Q516" t="s">
        <v>34</v>
      </c>
      <c r="R516">
        <v>43</v>
      </c>
      <c r="S516" t="s">
        <v>28</v>
      </c>
    </row>
    <row r="517" spans="1:19" x14ac:dyDescent="0.3">
      <c r="A517" t="s">
        <v>1490</v>
      </c>
      <c r="B517" s="2">
        <v>45434</v>
      </c>
      <c r="C517" t="s">
        <v>71</v>
      </c>
      <c r="D517" t="s">
        <v>72</v>
      </c>
      <c r="E517" t="s">
        <v>1491</v>
      </c>
      <c r="F517" t="s">
        <v>62</v>
      </c>
      <c r="G517" t="s">
        <v>1492</v>
      </c>
      <c r="H517" t="s">
        <v>80</v>
      </c>
      <c r="I517" t="s">
        <v>26</v>
      </c>
      <c r="J517">
        <v>4</v>
      </c>
      <c r="K517">
        <v>555</v>
      </c>
      <c r="L517">
        <v>2220</v>
      </c>
      <c r="M517">
        <v>4.4000000000000004</v>
      </c>
      <c r="N517">
        <v>50</v>
      </c>
      <c r="O517">
        <v>999</v>
      </c>
      <c r="P517">
        <v>0</v>
      </c>
      <c r="Q517" t="s">
        <v>75</v>
      </c>
      <c r="R517">
        <v>45</v>
      </c>
      <c r="S517" t="s">
        <v>28</v>
      </c>
    </row>
    <row r="518" spans="1:19" x14ac:dyDescent="0.3">
      <c r="A518" t="s">
        <v>1493</v>
      </c>
      <c r="B518" s="2">
        <v>45383</v>
      </c>
      <c r="C518" t="s">
        <v>20</v>
      </c>
      <c r="D518" t="s">
        <v>44</v>
      </c>
      <c r="E518" t="s">
        <v>1494</v>
      </c>
      <c r="F518" t="s">
        <v>192</v>
      </c>
      <c r="G518" t="s">
        <v>1495</v>
      </c>
      <c r="H518" t="s">
        <v>80</v>
      </c>
      <c r="I518" t="s">
        <v>26</v>
      </c>
      <c r="J518">
        <v>3</v>
      </c>
      <c r="K518">
        <v>398</v>
      </c>
      <c r="L518">
        <v>1194</v>
      </c>
      <c r="M518">
        <v>4</v>
      </c>
      <c r="N518">
        <v>51</v>
      </c>
      <c r="O518">
        <v>449</v>
      </c>
      <c r="P518">
        <v>0</v>
      </c>
      <c r="Q518" t="s">
        <v>49</v>
      </c>
      <c r="R518">
        <v>49</v>
      </c>
      <c r="S518" t="s">
        <v>28</v>
      </c>
    </row>
    <row r="519" spans="1:19" x14ac:dyDescent="0.3">
      <c r="A519" t="s">
        <v>1496</v>
      </c>
      <c r="B519" s="2">
        <v>45389</v>
      </c>
      <c r="C519" t="s">
        <v>20</v>
      </c>
      <c r="D519" t="s">
        <v>60</v>
      </c>
      <c r="E519" t="s">
        <v>1497</v>
      </c>
      <c r="F519" t="s">
        <v>87</v>
      </c>
      <c r="G519" t="s">
        <v>1498</v>
      </c>
      <c r="H519" t="s">
        <v>64</v>
      </c>
      <c r="I519" t="s">
        <v>26</v>
      </c>
      <c r="J519">
        <v>1</v>
      </c>
      <c r="K519">
        <v>208</v>
      </c>
      <c r="L519">
        <v>208</v>
      </c>
      <c r="M519">
        <v>4.5999999999999996</v>
      </c>
      <c r="N519">
        <v>46</v>
      </c>
      <c r="P519">
        <v>0</v>
      </c>
      <c r="Q519" t="s">
        <v>27</v>
      </c>
      <c r="R519">
        <v>30</v>
      </c>
      <c r="S519" t="s">
        <v>28</v>
      </c>
    </row>
    <row r="520" spans="1:19" x14ac:dyDescent="0.3">
      <c r="A520" t="s">
        <v>1499</v>
      </c>
      <c r="B520" s="2">
        <v>45357</v>
      </c>
      <c r="C520" t="s">
        <v>55</v>
      </c>
      <c r="D520" t="s">
        <v>72</v>
      </c>
      <c r="E520" t="s">
        <v>1500</v>
      </c>
      <c r="F520" t="s">
        <v>78</v>
      </c>
      <c r="G520" t="s">
        <v>1501</v>
      </c>
      <c r="H520" t="s">
        <v>80</v>
      </c>
      <c r="I520" t="s">
        <v>26</v>
      </c>
      <c r="J520">
        <v>4</v>
      </c>
      <c r="K520">
        <v>498</v>
      </c>
      <c r="L520">
        <v>1992</v>
      </c>
      <c r="M520">
        <v>4.4000000000000004</v>
      </c>
      <c r="N520">
        <v>57</v>
      </c>
      <c r="O520">
        <v>899</v>
      </c>
      <c r="P520">
        <v>0</v>
      </c>
      <c r="Q520" t="s">
        <v>75</v>
      </c>
      <c r="R520">
        <v>19</v>
      </c>
      <c r="S520" t="s">
        <v>28</v>
      </c>
    </row>
    <row r="521" spans="1:19" x14ac:dyDescent="0.3">
      <c r="A521" t="s">
        <v>1502</v>
      </c>
      <c r="B521" s="2">
        <v>45323</v>
      </c>
      <c r="C521" t="s">
        <v>113</v>
      </c>
      <c r="D521" t="s">
        <v>92</v>
      </c>
      <c r="E521" t="s">
        <v>1503</v>
      </c>
      <c r="F521" t="s">
        <v>450</v>
      </c>
      <c r="G521" t="s">
        <v>1504</v>
      </c>
      <c r="H521" t="s">
        <v>80</v>
      </c>
      <c r="I521" t="s">
        <v>26</v>
      </c>
      <c r="J521">
        <v>4</v>
      </c>
      <c r="K521">
        <v>297</v>
      </c>
      <c r="L521">
        <v>1188</v>
      </c>
      <c r="M521">
        <v>4.4000000000000004</v>
      </c>
      <c r="N521">
        <v>50</v>
      </c>
      <c r="P521">
        <v>0</v>
      </c>
      <c r="Q521" t="s">
        <v>49</v>
      </c>
      <c r="R521">
        <v>48</v>
      </c>
      <c r="S521" t="s">
        <v>28</v>
      </c>
    </row>
    <row r="522" spans="1:19" x14ac:dyDescent="0.3">
      <c r="A522" t="s">
        <v>1505</v>
      </c>
      <c r="B522" s="2">
        <v>45506</v>
      </c>
      <c r="C522" t="s">
        <v>82</v>
      </c>
      <c r="D522" t="s">
        <v>21</v>
      </c>
      <c r="E522" t="s">
        <v>1506</v>
      </c>
      <c r="F522" t="s">
        <v>192</v>
      </c>
      <c r="G522" t="s">
        <v>1507</v>
      </c>
      <c r="H522" t="s">
        <v>40</v>
      </c>
      <c r="I522" t="s">
        <v>26</v>
      </c>
      <c r="J522">
        <v>3</v>
      </c>
      <c r="K522">
        <v>546</v>
      </c>
      <c r="L522">
        <v>1638</v>
      </c>
      <c r="M522">
        <v>4.3</v>
      </c>
      <c r="N522">
        <v>61</v>
      </c>
      <c r="P522">
        <v>0</v>
      </c>
      <c r="Q522" t="s">
        <v>49</v>
      </c>
      <c r="R522">
        <v>20</v>
      </c>
      <c r="S522" t="s">
        <v>41</v>
      </c>
    </row>
    <row r="523" spans="1:19" x14ac:dyDescent="0.3">
      <c r="A523" t="s">
        <v>1508</v>
      </c>
      <c r="B523" s="2">
        <v>45482</v>
      </c>
      <c r="C523" t="s">
        <v>59</v>
      </c>
      <c r="D523" t="s">
        <v>36</v>
      </c>
      <c r="E523" t="s">
        <v>1509</v>
      </c>
      <c r="F523" t="s">
        <v>1510</v>
      </c>
      <c r="G523" t="s">
        <v>154</v>
      </c>
      <c r="H523" t="s">
        <v>80</v>
      </c>
      <c r="I523" t="s">
        <v>26</v>
      </c>
      <c r="J523">
        <v>3</v>
      </c>
      <c r="K523">
        <v>522</v>
      </c>
      <c r="L523">
        <v>1566</v>
      </c>
      <c r="M523">
        <v>4.3</v>
      </c>
      <c r="N523">
        <v>44</v>
      </c>
      <c r="P523">
        <v>0</v>
      </c>
      <c r="Q523" t="s">
        <v>27</v>
      </c>
      <c r="R523">
        <v>39</v>
      </c>
      <c r="S523" t="s">
        <v>28</v>
      </c>
    </row>
    <row r="524" spans="1:19" x14ac:dyDescent="0.3">
      <c r="A524" t="s">
        <v>1511</v>
      </c>
      <c r="B524" s="2">
        <v>45377</v>
      </c>
      <c r="C524" t="s">
        <v>55</v>
      </c>
      <c r="D524" t="s">
        <v>36</v>
      </c>
      <c r="E524" t="s">
        <v>1512</v>
      </c>
      <c r="F524" t="s">
        <v>78</v>
      </c>
      <c r="G524" t="s">
        <v>1513</v>
      </c>
      <c r="H524" t="s">
        <v>80</v>
      </c>
      <c r="I524" t="s">
        <v>26</v>
      </c>
      <c r="J524">
        <v>4</v>
      </c>
      <c r="K524">
        <v>316</v>
      </c>
      <c r="L524">
        <v>1264</v>
      </c>
      <c r="M524">
        <v>4.4000000000000004</v>
      </c>
      <c r="N524">
        <v>57</v>
      </c>
      <c r="P524">
        <v>0</v>
      </c>
      <c r="Q524" t="s">
        <v>75</v>
      </c>
      <c r="R524">
        <v>25</v>
      </c>
      <c r="S524" t="s">
        <v>28</v>
      </c>
    </row>
    <row r="525" spans="1:19" x14ac:dyDescent="0.3">
      <c r="A525" t="s">
        <v>1514</v>
      </c>
      <c r="B525" s="2">
        <v>45342</v>
      </c>
      <c r="C525" t="s">
        <v>113</v>
      </c>
      <c r="D525" t="s">
        <v>36</v>
      </c>
      <c r="E525" t="s">
        <v>1515</v>
      </c>
      <c r="F525" t="s">
        <v>115</v>
      </c>
      <c r="G525" t="s">
        <v>1516</v>
      </c>
      <c r="H525" t="s">
        <v>80</v>
      </c>
      <c r="I525" t="s">
        <v>26</v>
      </c>
      <c r="J525">
        <v>1</v>
      </c>
      <c r="K525">
        <v>426</v>
      </c>
      <c r="L525">
        <v>426</v>
      </c>
      <c r="M525">
        <v>4.5</v>
      </c>
      <c r="N525">
        <v>42</v>
      </c>
      <c r="P525">
        <v>0</v>
      </c>
      <c r="Q525" t="s">
        <v>49</v>
      </c>
      <c r="R525">
        <v>41</v>
      </c>
      <c r="S525" t="s">
        <v>41</v>
      </c>
    </row>
    <row r="526" spans="1:19" x14ac:dyDescent="0.3">
      <c r="A526" t="s">
        <v>1517</v>
      </c>
      <c r="B526" s="2">
        <v>45444</v>
      </c>
      <c r="C526" t="s">
        <v>30</v>
      </c>
      <c r="D526" t="s">
        <v>100</v>
      </c>
      <c r="E526" t="s">
        <v>1518</v>
      </c>
      <c r="F526" t="s">
        <v>192</v>
      </c>
      <c r="G526" t="s">
        <v>1519</v>
      </c>
      <c r="H526" t="s">
        <v>80</v>
      </c>
      <c r="I526" t="s">
        <v>26</v>
      </c>
      <c r="J526">
        <v>4</v>
      </c>
      <c r="K526">
        <v>386</v>
      </c>
      <c r="L526">
        <v>1544</v>
      </c>
      <c r="M526">
        <v>4.4000000000000004</v>
      </c>
      <c r="N526">
        <v>61</v>
      </c>
      <c r="P526">
        <v>0</v>
      </c>
      <c r="Q526" t="s">
        <v>49</v>
      </c>
      <c r="R526">
        <v>32</v>
      </c>
      <c r="S526" t="s">
        <v>28</v>
      </c>
    </row>
    <row r="527" spans="1:19" x14ac:dyDescent="0.3">
      <c r="A527" t="s">
        <v>1520</v>
      </c>
      <c r="B527" s="2">
        <v>45477</v>
      </c>
      <c r="C527" t="s">
        <v>59</v>
      </c>
      <c r="D527" t="s">
        <v>92</v>
      </c>
      <c r="E527" t="s">
        <v>1521</v>
      </c>
      <c r="F527" t="s">
        <v>62</v>
      </c>
      <c r="G527" t="s">
        <v>221</v>
      </c>
      <c r="H527" t="s">
        <v>80</v>
      </c>
      <c r="I527" t="s">
        <v>26</v>
      </c>
      <c r="J527">
        <v>3</v>
      </c>
      <c r="K527">
        <v>387</v>
      </c>
      <c r="L527">
        <v>1161</v>
      </c>
      <c r="M527">
        <v>4.4000000000000004</v>
      </c>
      <c r="N527">
        <v>43</v>
      </c>
      <c r="P527">
        <v>0</v>
      </c>
      <c r="Q527" t="s">
        <v>49</v>
      </c>
      <c r="R527">
        <v>28</v>
      </c>
      <c r="S527" t="s">
        <v>41</v>
      </c>
    </row>
    <row r="528" spans="1:19" x14ac:dyDescent="0.3">
      <c r="A528" t="s">
        <v>1522</v>
      </c>
      <c r="B528" s="2">
        <v>45354</v>
      </c>
      <c r="C528" t="s">
        <v>55</v>
      </c>
      <c r="D528" t="s">
        <v>60</v>
      </c>
      <c r="E528" t="s">
        <v>1523</v>
      </c>
      <c r="F528" t="s">
        <v>78</v>
      </c>
      <c r="G528" t="s">
        <v>80</v>
      </c>
      <c r="H528" t="s">
        <v>80</v>
      </c>
      <c r="I528" t="s">
        <v>26</v>
      </c>
      <c r="J528">
        <v>1</v>
      </c>
      <c r="K528">
        <v>193</v>
      </c>
      <c r="L528">
        <v>193</v>
      </c>
      <c r="M528">
        <v>4.2</v>
      </c>
      <c r="N528">
        <v>41</v>
      </c>
      <c r="P528">
        <v>0</v>
      </c>
      <c r="Q528" t="s">
        <v>27</v>
      </c>
      <c r="R528">
        <v>48</v>
      </c>
      <c r="S528" t="s">
        <v>28</v>
      </c>
    </row>
    <row r="529" spans="1:19" x14ac:dyDescent="0.3">
      <c r="A529" t="s">
        <v>1524</v>
      </c>
      <c r="B529" s="2">
        <v>45481</v>
      </c>
      <c r="C529" t="s">
        <v>59</v>
      </c>
      <c r="D529" t="s">
        <v>44</v>
      </c>
      <c r="E529" t="s">
        <v>1525</v>
      </c>
      <c r="F529" t="s">
        <v>192</v>
      </c>
      <c r="G529" t="s">
        <v>1526</v>
      </c>
      <c r="H529" t="s">
        <v>80</v>
      </c>
      <c r="I529" t="s">
        <v>26</v>
      </c>
      <c r="J529">
        <v>3</v>
      </c>
      <c r="K529">
        <v>127</v>
      </c>
      <c r="L529">
        <v>381</v>
      </c>
      <c r="M529">
        <v>4.3</v>
      </c>
      <c r="N529">
        <v>61</v>
      </c>
      <c r="P529">
        <v>0</v>
      </c>
      <c r="Q529" t="s">
        <v>75</v>
      </c>
      <c r="R529">
        <v>26</v>
      </c>
      <c r="S529" t="s">
        <v>41</v>
      </c>
    </row>
    <row r="530" spans="1:19" x14ac:dyDescent="0.3">
      <c r="A530" t="s">
        <v>1527</v>
      </c>
      <c r="B530" s="2">
        <v>45416</v>
      </c>
      <c r="C530" t="s">
        <v>71</v>
      </c>
      <c r="D530" t="s">
        <v>100</v>
      </c>
      <c r="E530" t="s">
        <v>1528</v>
      </c>
      <c r="F530" t="s">
        <v>62</v>
      </c>
      <c r="G530" t="s">
        <v>227</v>
      </c>
      <c r="H530" t="s">
        <v>80</v>
      </c>
      <c r="I530" t="s">
        <v>26</v>
      </c>
      <c r="J530">
        <v>1</v>
      </c>
      <c r="K530">
        <v>527</v>
      </c>
      <c r="L530">
        <v>527</v>
      </c>
      <c r="M530">
        <v>4.4000000000000004</v>
      </c>
      <c r="N530">
        <v>44</v>
      </c>
      <c r="O530">
        <v>1300</v>
      </c>
      <c r="P530">
        <v>10</v>
      </c>
      <c r="Q530" t="s">
        <v>75</v>
      </c>
      <c r="R530">
        <v>24</v>
      </c>
      <c r="S530" t="s">
        <v>41</v>
      </c>
    </row>
    <row r="531" spans="1:19" x14ac:dyDescent="0.3">
      <c r="A531" t="s">
        <v>1529</v>
      </c>
      <c r="B531" s="2">
        <v>45441</v>
      </c>
      <c r="C531" t="s">
        <v>71</v>
      </c>
      <c r="D531" t="s">
        <v>72</v>
      </c>
      <c r="E531" t="s">
        <v>1530</v>
      </c>
      <c r="F531" t="s">
        <v>115</v>
      </c>
      <c r="G531" t="s">
        <v>1531</v>
      </c>
      <c r="H531" t="s">
        <v>80</v>
      </c>
      <c r="I531" t="s">
        <v>26</v>
      </c>
      <c r="J531">
        <v>2</v>
      </c>
      <c r="K531">
        <v>595</v>
      </c>
      <c r="L531">
        <v>1190</v>
      </c>
      <c r="M531">
        <v>4</v>
      </c>
      <c r="N531">
        <v>47</v>
      </c>
      <c r="O531">
        <v>249</v>
      </c>
      <c r="P531">
        <v>0</v>
      </c>
      <c r="Q531" t="s">
        <v>75</v>
      </c>
      <c r="R531">
        <v>30</v>
      </c>
      <c r="S531" t="s">
        <v>41</v>
      </c>
    </row>
    <row r="532" spans="1:19" x14ac:dyDescent="0.3">
      <c r="A532" t="s">
        <v>1532</v>
      </c>
      <c r="B532" s="2">
        <v>45349</v>
      </c>
      <c r="C532" t="s">
        <v>113</v>
      </c>
      <c r="D532" t="s">
        <v>36</v>
      </c>
      <c r="E532" t="s">
        <v>1533</v>
      </c>
      <c r="F532" t="s">
        <v>115</v>
      </c>
      <c r="G532" t="s">
        <v>1534</v>
      </c>
      <c r="H532" t="s">
        <v>80</v>
      </c>
      <c r="I532" t="s">
        <v>26</v>
      </c>
      <c r="J532">
        <v>3</v>
      </c>
      <c r="K532">
        <v>416</v>
      </c>
      <c r="L532">
        <v>1248</v>
      </c>
      <c r="M532">
        <v>4.5</v>
      </c>
      <c r="N532">
        <v>42</v>
      </c>
      <c r="P532">
        <v>0</v>
      </c>
      <c r="Q532" t="s">
        <v>75</v>
      </c>
      <c r="R532">
        <v>19</v>
      </c>
      <c r="S532" t="s">
        <v>41</v>
      </c>
    </row>
    <row r="533" spans="1:19" x14ac:dyDescent="0.3">
      <c r="A533" t="s">
        <v>1535</v>
      </c>
      <c r="B533" s="2">
        <v>45349</v>
      </c>
      <c r="C533" t="s">
        <v>113</v>
      </c>
      <c r="D533" t="s">
        <v>36</v>
      </c>
      <c r="E533" t="s">
        <v>1536</v>
      </c>
      <c r="F533" t="s">
        <v>78</v>
      </c>
      <c r="G533" t="s">
        <v>673</v>
      </c>
      <c r="H533" t="s">
        <v>80</v>
      </c>
      <c r="I533" t="s">
        <v>26</v>
      </c>
      <c r="J533">
        <v>3</v>
      </c>
      <c r="K533">
        <v>283</v>
      </c>
      <c r="L533">
        <v>849</v>
      </c>
      <c r="M533">
        <v>4.4000000000000004</v>
      </c>
      <c r="N533">
        <v>48</v>
      </c>
      <c r="P533">
        <v>0</v>
      </c>
      <c r="Q533" t="s">
        <v>34</v>
      </c>
      <c r="R533">
        <v>25</v>
      </c>
      <c r="S533" t="s">
        <v>41</v>
      </c>
    </row>
    <row r="534" spans="1:19" x14ac:dyDescent="0.3">
      <c r="A534" t="s">
        <v>1537</v>
      </c>
      <c r="B534" s="2">
        <v>45377</v>
      </c>
      <c r="C534" t="s">
        <v>55</v>
      </c>
      <c r="D534" t="s">
        <v>36</v>
      </c>
      <c r="E534" t="s">
        <v>1538</v>
      </c>
      <c r="F534" t="s">
        <v>925</v>
      </c>
      <c r="G534" t="s">
        <v>64</v>
      </c>
      <c r="H534" t="s">
        <v>64</v>
      </c>
      <c r="I534" t="s">
        <v>26</v>
      </c>
      <c r="J534">
        <v>4</v>
      </c>
      <c r="K534">
        <v>204</v>
      </c>
      <c r="L534">
        <v>816</v>
      </c>
      <c r="M534">
        <v>4.5999999999999996</v>
      </c>
      <c r="N534">
        <v>54</v>
      </c>
      <c r="O534">
        <v>40</v>
      </c>
      <c r="P534">
        <v>10</v>
      </c>
      <c r="Q534" t="s">
        <v>34</v>
      </c>
      <c r="R534">
        <v>24</v>
      </c>
      <c r="S534" t="s">
        <v>28</v>
      </c>
    </row>
    <row r="535" spans="1:19" x14ac:dyDescent="0.3">
      <c r="A535" t="s">
        <v>1539</v>
      </c>
      <c r="B535" s="2">
        <v>45340</v>
      </c>
      <c r="C535" t="s">
        <v>113</v>
      </c>
      <c r="D535" t="s">
        <v>60</v>
      </c>
      <c r="E535" t="s">
        <v>1540</v>
      </c>
      <c r="F535" t="s">
        <v>192</v>
      </c>
      <c r="G535" t="s">
        <v>1541</v>
      </c>
      <c r="H535" t="s">
        <v>53</v>
      </c>
      <c r="I535" t="s">
        <v>26</v>
      </c>
      <c r="J535">
        <v>3</v>
      </c>
      <c r="K535">
        <v>191</v>
      </c>
      <c r="L535">
        <v>573</v>
      </c>
      <c r="M535">
        <v>4.3</v>
      </c>
      <c r="N535">
        <v>44</v>
      </c>
      <c r="P535">
        <v>0</v>
      </c>
      <c r="Q535" t="s">
        <v>75</v>
      </c>
      <c r="R535">
        <v>41</v>
      </c>
      <c r="S535" t="s">
        <v>28</v>
      </c>
    </row>
    <row r="536" spans="1:19" x14ac:dyDescent="0.3">
      <c r="A536" t="s">
        <v>1542</v>
      </c>
      <c r="B536" s="2">
        <v>45471</v>
      </c>
      <c r="C536" t="s">
        <v>30</v>
      </c>
      <c r="D536" t="s">
        <v>21</v>
      </c>
      <c r="E536" t="s">
        <v>1543</v>
      </c>
      <c r="F536" t="s">
        <v>1544</v>
      </c>
      <c r="G536" t="s">
        <v>1545</v>
      </c>
      <c r="H536" t="s">
        <v>80</v>
      </c>
      <c r="I536" t="s">
        <v>26</v>
      </c>
      <c r="J536">
        <v>3</v>
      </c>
      <c r="K536">
        <v>174</v>
      </c>
      <c r="L536">
        <v>522</v>
      </c>
      <c r="M536">
        <v>4.2</v>
      </c>
      <c r="N536">
        <v>53</v>
      </c>
      <c r="O536">
        <v>800</v>
      </c>
      <c r="P536">
        <v>15</v>
      </c>
      <c r="Q536" t="s">
        <v>27</v>
      </c>
      <c r="R536">
        <v>29</v>
      </c>
      <c r="S536" t="s">
        <v>41</v>
      </c>
    </row>
    <row r="537" spans="1:19" x14ac:dyDescent="0.3">
      <c r="A537" t="s">
        <v>1546</v>
      </c>
      <c r="B537" s="2">
        <v>45461</v>
      </c>
      <c r="C537" t="s">
        <v>30</v>
      </c>
      <c r="D537" t="s">
        <v>36</v>
      </c>
      <c r="E537" t="s">
        <v>1547</v>
      </c>
      <c r="F537" t="s">
        <v>115</v>
      </c>
      <c r="G537" t="s">
        <v>825</v>
      </c>
      <c r="H537" t="s">
        <v>80</v>
      </c>
      <c r="I537" t="s">
        <v>26</v>
      </c>
      <c r="J537">
        <v>2</v>
      </c>
      <c r="K537">
        <v>512</v>
      </c>
      <c r="L537">
        <v>1024</v>
      </c>
      <c r="M537">
        <v>4.5</v>
      </c>
      <c r="N537">
        <v>52</v>
      </c>
      <c r="O537">
        <v>449</v>
      </c>
      <c r="P537">
        <v>0</v>
      </c>
      <c r="Q537" t="s">
        <v>34</v>
      </c>
      <c r="R537">
        <v>36</v>
      </c>
      <c r="S537" t="s">
        <v>41</v>
      </c>
    </row>
    <row r="538" spans="1:19" x14ac:dyDescent="0.3">
      <c r="A538" t="s">
        <v>1548</v>
      </c>
      <c r="B538" s="2">
        <v>45361</v>
      </c>
      <c r="C538" t="s">
        <v>55</v>
      </c>
      <c r="D538" t="s">
        <v>60</v>
      </c>
      <c r="E538" t="s">
        <v>1549</v>
      </c>
      <c r="F538" t="s">
        <v>1550</v>
      </c>
      <c r="G538" t="s">
        <v>1534</v>
      </c>
      <c r="H538" t="s">
        <v>80</v>
      </c>
      <c r="I538" t="s">
        <v>26</v>
      </c>
      <c r="J538">
        <v>3</v>
      </c>
      <c r="K538">
        <v>166</v>
      </c>
      <c r="L538">
        <v>498</v>
      </c>
      <c r="M538">
        <v>4.5</v>
      </c>
      <c r="N538">
        <v>56</v>
      </c>
      <c r="O538">
        <v>900</v>
      </c>
      <c r="P538">
        <v>10</v>
      </c>
      <c r="Q538" t="s">
        <v>49</v>
      </c>
      <c r="R538">
        <v>24</v>
      </c>
      <c r="S538" t="s">
        <v>41</v>
      </c>
    </row>
    <row r="539" spans="1:19" x14ac:dyDescent="0.3">
      <c r="A539" t="s">
        <v>1551</v>
      </c>
      <c r="B539" s="2">
        <v>45306</v>
      </c>
      <c r="C539" t="s">
        <v>43</v>
      </c>
      <c r="D539" t="s">
        <v>44</v>
      </c>
      <c r="E539" t="s">
        <v>1552</v>
      </c>
      <c r="F539" t="s">
        <v>450</v>
      </c>
      <c r="G539" t="s">
        <v>1553</v>
      </c>
      <c r="H539" t="s">
        <v>48</v>
      </c>
      <c r="I539" t="s">
        <v>33</v>
      </c>
      <c r="J539">
        <v>2</v>
      </c>
      <c r="K539">
        <v>518</v>
      </c>
      <c r="L539">
        <v>1036</v>
      </c>
      <c r="M539">
        <v>4.4000000000000004</v>
      </c>
      <c r="N539">
        <v>50</v>
      </c>
      <c r="P539">
        <v>0</v>
      </c>
      <c r="Q539" t="s">
        <v>34</v>
      </c>
      <c r="R539">
        <v>27</v>
      </c>
      <c r="S539" t="s">
        <v>28</v>
      </c>
    </row>
    <row r="540" spans="1:19" x14ac:dyDescent="0.3">
      <c r="A540" t="s">
        <v>1554</v>
      </c>
      <c r="B540" s="2">
        <v>45345</v>
      </c>
      <c r="C540" t="s">
        <v>113</v>
      </c>
      <c r="D540" t="s">
        <v>21</v>
      </c>
      <c r="E540" t="s">
        <v>1555</v>
      </c>
      <c r="F540" t="s">
        <v>746</v>
      </c>
      <c r="G540" t="s">
        <v>1556</v>
      </c>
      <c r="H540" t="s">
        <v>80</v>
      </c>
      <c r="I540" t="s">
        <v>26</v>
      </c>
      <c r="J540">
        <v>2</v>
      </c>
      <c r="K540">
        <v>551</v>
      </c>
      <c r="L540">
        <v>1102</v>
      </c>
      <c r="M540">
        <v>4.4000000000000004</v>
      </c>
      <c r="N540">
        <v>52</v>
      </c>
      <c r="P540">
        <v>0</v>
      </c>
      <c r="Q540" t="s">
        <v>49</v>
      </c>
      <c r="R540">
        <v>46</v>
      </c>
      <c r="S540" t="s">
        <v>41</v>
      </c>
    </row>
    <row r="541" spans="1:19" x14ac:dyDescent="0.3">
      <c r="A541" t="s">
        <v>1557</v>
      </c>
      <c r="B541" s="2">
        <v>45526</v>
      </c>
      <c r="C541" t="s">
        <v>82</v>
      </c>
      <c r="D541" t="s">
        <v>92</v>
      </c>
      <c r="E541" t="s">
        <v>1558</v>
      </c>
      <c r="F541" t="s">
        <v>824</v>
      </c>
      <c r="G541" t="s">
        <v>1559</v>
      </c>
      <c r="H541" t="s">
        <v>48</v>
      </c>
      <c r="I541" t="s">
        <v>33</v>
      </c>
      <c r="J541">
        <v>2</v>
      </c>
      <c r="K541">
        <v>357</v>
      </c>
      <c r="L541">
        <v>714</v>
      </c>
      <c r="M541">
        <v>4.0999999999999996</v>
      </c>
      <c r="N541">
        <v>46</v>
      </c>
      <c r="O541">
        <v>900</v>
      </c>
      <c r="P541">
        <v>10</v>
      </c>
      <c r="Q541" t="s">
        <v>75</v>
      </c>
      <c r="R541">
        <v>42</v>
      </c>
      <c r="S541" t="s">
        <v>41</v>
      </c>
    </row>
    <row r="542" spans="1:19" x14ac:dyDescent="0.3">
      <c r="A542" t="s">
        <v>1560</v>
      </c>
      <c r="B542" s="2">
        <v>45479</v>
      </c>
      <c r="C542" t="s">
        <v>59</v>
      </c>
      <c r="D542" t="s">
        <v>100</v>
      </c>
      <c r="E542" t="s">
        <v>1561</v>
      </c>
      <c r="F542" t="s">
        <v>78</v>
      </c>
      <c r="G542" t="s">
        <v>1562</v>
      </c>
      <c r="H542" t="s">
        <v>48</v>
      </c>
      <c r="I542" t="s">
        <v>33</v>
      </c>
      <c r="J542">
        <v>2</v>
      </c>
      <c r="K542">
        <v>223</v>
      </c>
      <c r="L542">
        <v>446</v>
      </c>
      <c r="M542">
        <v>4.2</v>
      </c>
      <c r="N542">
        <v>55</v>
      </c>
      <c r="O542">
        <v>749</v>
      </c>
      <c r="P542">
        <v>0</v>
      </c>
      <c r="Q542" t="s">
        <v>34</v>
      </c>
      <c r="R542">
        <v>33</v>
      </c>
      <c r="S542" t="s">
        <v>41</v>
      </c>
    </row>
    <row r="543" spans="1:19" x14ac:dyDescent="0.3">
      <c r="A543" t="s">
        <v>1563</v>
      </c>
      <c r="B543" s="2">
        <v>45392</v>
      </c>
      <c r="C543" t="s">
        <v>20</v>
      </c>
      <c r="D543" t="s">
        <v>72</v>
      </c>
      <c r="E543" t="s">
        <v>1564</v>
      </c>
      <c r="F543" t="s">
        <v>1565</v>
      </c>
      <c r="G543" t="s">
        <v>1566</v>
      </c>
      <c r="H543" t="s">
        <v>80</v>
      </c>
      <c r="I543" t="s">
        <v>26</v>
      </c>
      <c r="J543">
        <v>1</v>
      </c>
      <c r="K543">
        <v>329</v>
      </c>
      <c r="L543">
        <v>329</v>
      </c>
      <c r="M543">
        <v>4.3</v>
      </c>
      <c r="N543">
        <v>56</v>
      </c>
      <c r="O543">
        <v>1000</v>
      </c>
      <c r="P543">
        <v>10</v>
      </c>
      <c r="Q543" t="s">
        <v>27</v>
      </c>
      <c r="R543">
        <v>20</v>
      </c>
      <c r="S543" t="s">
        <v>41</v>
      </c>
    </row>
    <row r="544" spans="1:19" x14ac:dyDescent="0.3">
      <c r="A544" t="s">
        <v>1567</v>
      </c>
      <c r="B544" s="2">
        <v>45516</v>
      </c>
      <c r="C544" t="s">
        <v>82</v>
      </c>
      <c r="D544" t="s">
        <v>44</v>
      </c>
      <c r="E544" t="s">
        <v>1568</v>
      </c>
      <c r="F544" t="s">
        <v>684</v>
      </c>
      <c r="G544" t="s">
        <v>227</v>
      </c>
      <c r="H544" t="s">
        <v>80</v>
      </c>
      <c r="I544" t="s">
        <v>26</v>
      </c>
      <c r="J544">
        <v>4</v>
      </c>
      <c r="K544">
        <v>161</v>
      </c>
      <c r="L544">
        <v>644</v>
      </c>
      <c r="M544">
        <v>4.2</v>
      </c>
      <c r="N544">
        <v>51</v>
      </c>
      <c r="O544">
        <v>999</v>
      </c>
      <c r="P544">
        <v>0</v>
      </c>
      <c r="Q544" t="s">
        <v>34</v>
      </c>
      <c r="R544">
        <v>47</v>
      </c>
      <c r="S544" t="s">
        <v>28</v>
      </c>
    </row>
    <row r="545" spans="1:19" x14ac:dyDescent="0.3">
      <c r="A545" t="s">
        <v>1569</v>
      </c>
      <c r="B545" s="2">
        <v>45299</v>
      </c>
      <c r="C545" t="s">
        <v>43</v>
      </c>
      <c r="D545" t="s">
        <v>44</v>
      </c>
      <c r="E545" t="s">
        <v>1570</v>
      </c>
      <c r="F545" t="s">
        <v>824</v>
      </c>
      <c r="G545" t="s">
        <v>1571</v>
      </c>
      <c r="H545" t="s">
        <v>40</v>
      </c>
      <c r="I545" t="s">
        <v>26</v>
      </c>
      <c r="J545">
        <v>1</v>
      </c>
      <c r="K545">
        <v>435</v>
      </c>
      <c r="L545">
        <v>435</v>
      </c>
      <c r="M545">
        <v>4.4000000000000004</v>
      </c>
      <c r="N545">
        <v>56</v>
      </c>
      <c r="P545">
        <v>0</v>
      </c>
      <c r="Q545" t="s">
        <v>34</v>
      </c>
      <c r="R545">
        <v>27</v>
      </c>
      <c r="S545" t="s">
        <v>41</v>
      </c>
    </row>
    <row r="546" spans="1:19" x14ac:dyDescent="0.3">
      <c r="A546" t="s">
        <v>1572</v>
      </c>
      <c r="B546" s="2">
        <v>45344</v>
      </c>
      <c r="C546" t="s">
        <v>113</v>
      </c>
      <c r="D546" t="s">
        <v>92</v>
      </c>
      <c r="E546" t="s">
        <v>1573</v>
      </c>
      <c r="F546" t="s">
        <v>450</v>
      </c>
      <c r="G546" t="s">
        <v>1574</v>
      </c>
      <c r="H546" t="s">
        <v>53</v>
      </c>
      <c r="I546" t="s">
        <v>26</v>
      </c>
      <c r="J546">
        <v>3</v>
      </c>
      <c r="K546">
        <v>587</v>
      </c>
      <c r="L546">
        <v>1761</v>
      </c>
      <c r="M546">
        <v>4.0999999999999996</v>
      </c>
      <c r="N546">
        <v>43</v>
      </c>
      <c r="P546">
        <v>0</v>
      </c>
      <c r="Q546" t="s">
        <v>34</v>
      </c>
      <c r="R546">
        <v>23</v>
      </c>
      <c r="S546" t="s">
        <v>41</v>
      </c>
    </row>
    <row r="547" spans="1:19" x14ac:dyDescent="0.3">
      <c r="A547" t="s">
        <v>1575</v>
      </c>
      <c r="B547" s="2">
        <v>45351</v>
      </c>
      <c r="C547" t="s">
        <v>113</v>
      </c>
      <c r="D547" t="s">
        <v>92</v>
      </c>
      <c r="E547" t="s">
        <v>1576</v>
      </c>
      <c r="F547" t="s">
        <v>62</v>
      </c>
      <c r="G547" t="s">
        <v>1577</v>
      </c>
      <c r="H547" t="s">
        <v>80</v>
      </c>
      <c r="I547" t="s">
        <v>26</v>
      </c>
      <c r="J547">
        <v>1</v>
      </c>
      <c r="K547">
        <v>573</v>
      </c>
      <c r="L547">
        <v>573</v>
      </c>
      <c r="M547">
        <v>4.0999999999999996</v>
      </c>
      <c r="N547">
        <v>48</v>
      </c>
      <c r="O547">
        <v>449</v>
      </c>
      <c r="P547">
        <v>0</v>
      </c>
      <c r="Q547" t="s">
        <v>75</v>
      </c>
      <c r="R547">
        <v>35</v>
      </c>
      <c r="S547" t="s">
        <v>28</v>
      </c>
    </row>
    <row r="548" spans="1:19" x14ac:dyDescent="0.3">
      <c r="A548" t="s">
        <v>1578</v>
      </c>
      <c r="B548" s="2">
        <v>45527</v>
      </c>
      <c r="C548" t="s">
        <v>82</v>
      </c>
      <c r="D548" t="s">
        <v>21</v>
      </c>
      <c r="E548" t="s">
        <v>1579</v>
      </c>
      <c r="F548" t="s">
        <v>78</v>
      </c>
      <c r="G548" t="s">
        <v>373</v>
      </c>
      <c r="H548" t="s">
        <v>80</v>
      </c>
      <c r="I548" t="s">
        <v>26</v>
      </c>
      <c r="J548">
        <v>1</v>
      </c>
      <c r="K548">
        <v>387</v>
      </c>
      <c r="L548">
        <v>387</v>
      </c>
      <c r="M548">
        <v>4.2</v>
      </c>
      <c r="N548">
        <v>48</v>
      </c>
      <c r="O548">
        <v>1200</v>
      </c>
      <c r="P548">
        <v>10</v>
      </c>
      <c r="Q548" t="s">
        <v>27</v>
      </c>
      <c r="R548">
        <v>35</v>
      </c>
      <c r="S548" t="s">
        <v>41</v>
      </c>
    </row>
    <row r="549" spans="1:19" x14ac:dyDescent="0.3">
      <c r="A549" t="s">
        <v>1580</v>
      </c>
      <c r="B549" s="2">
        <v>45399</v>
      </c>
      <c r="C549" t="s">
        <v>20</v>
      </c>
      <c r="D549" t="s">
        <v>72</v>
      </c>
      <c r="E549" t="s">
        <v>1581</v>
      </c>
      <c r="F549" t="s">
        <v>115</v>
      </c>
      <c r="G549" t="s">
        <v>1582</v>
      </c>
      <c r="H549" t="s">
        <v>64</v>
      </c>
      <c r="I549" t="s">
        <v>26</v>
      </c>
      <c r="J549">
        <v>3</v>
      </c>
      <c r="K549">
        <v>505</v>
      </c>
      <c r="L549">
        <v>1515</v>
      </c>
      <c r="M549">
        <v>4.3</v>
      </c>
      <c r="N549">
        <v>51</v>
      </c>
      <c r="P549">
        <v>0</v>
      </c>
      <c r="Q549" t="s">
        <v>34</v>
      </c>
      <c r="R549">
        <v>22</v>
      </c>
      <c r="S549" t="s">
        <v>41</v>
      </c>
    </row>
    <row r="550" spans="1:19" x14ac:dyDescent="0.3">
      <c r="A550" t="s">
        <v>1583</v>
      </c>
      <c r="B550" s="2">
        <v>45296</v>
      </c>
      <c r="C550" t="s">
        <v>43</v>
      </c>
      <c r="D550" t="s">
        <v>21</v>
      </c>
      <c r="E550" t="s">
        <v>1584</v>
      </c>
      <c r="F550" t="s">
        <v>137</v>
      </c>
      <c r="G550" t="s">
        <v>1585</v>
      </c>
      <c r="H550" t="s">
        <v>48</v>
      </c>
      <c r="I550" t="s">
        <v>33</v>
      </c>
      <c r="J550">
        <v>3</v>
      </c>
      <c r="K550">
        <v>382</v>
      </c>
      <c r="L550">
        <v>1146</v>
      </c>
      <c r="M550">
        <v>4.4000000000000004</v>
      </c>
      <c r="N550">
        <v>49</v>
      </c>
      <c r="P550">
        <v>0</v>
      </c>
      <c r="Q550" t="s">
        <v>27</v>
      </c>
      <c r="R550">
        <v>38</v>
      </c>
      <c r="S550" t="s">
        <v>28</v>
      </c>
    </row>
    <row r="551" spans="1:19" x14ac:dyDescent="0.3">
      <c r="A551" t="s">
        <v>1586</v>
      </c>
      <c r="B551" s="2">
        <v>45394</v>
      </c>
      <c r="C551" t="s">
        <v>20</v>
      </c>
      <c r="D551" t="s">
        <v>21</v>
      </c>
      <c r="E551" t="s">
        <v>1587</v>
      </c>
      <c r="F551" t="s">
        <v>925</v>
      </c>
      <c r="G551" t="s">
        <v>154</v>
      </c>
      <c r="H551" t="s">
        <v>80</v>
      </c>
      <c r="I551" t="s">
        <v>26</v>
      </c>
      <c r="J551">
        <v>3</v>
      </c>
      <c r="K551">
        <v>455</v>
      </c>
      <c r="L551">
        <v>1365</v>
      </c>
      <c r="M551">
        <v>4.4000000000000004</v>
      </c>
      <c r="N551">
        <v>51</v>
      </c>
      <c r="P551">
        <v>0</v>
      </c>
      <c r="Q551" t="s">
        <v>75</v>
      </c>
      <c r="R551">
        <v>46</v>
      </c>
      <c r="S551" t="s">
        <v>28</v>
      </c>
    </row>
    <row r="552" spans="1:19" x14ac:dyDescent="0.3">
      <c r="A552" t="s">
        <v>1588</v>
      </c>
      <c r="B552" s="2">
        <v>45487</v>
      </c>
      <c r="C552" t="s">
        <v>59</v>
      </c>
      <c r="D552" t="s">
        <v>60</v>
      </c>
      <c r="E552" t="s">
        <v>1589</v>
      </c>
      <c r="F552" t="s">
        <v>78</v>
      </c>
      <c r="G552" t="s">
        <v>1590</v>
      </c>
      <c r="H552" t="s">
        <v>80</v>
      </c>
      <c r="I552" t="s">
        <v>26</v>
      </c>
      <c r="J552">
        <v>1</v>
      </c>
      <c r="K552">
        <v>506</v>
      </c>
      <c r="L552">
        <v>506</v>
      </c>
      <c r="M552">
        <v>4.3</v>
      </c>
      <c r="N552">
        <v>48</v>
      </c>
      <c r="O552">
        <v>449</v>
      </c>
      <c r="P552">
        <v>0</v>
      </c>
      <c r="Q552" t="s">
        <v>49</v>
      </c>
      <c r="R552">
        <v>24</v>
      </c>
      <c r="S552" t="s">
        <v>28</v>
      </c>
    </row>
    <row r="553" spans="1:19" x14ac:dyDescent="0.3">
      <c r="A553" t="s">
        <v>1591</v>
      </c>
      <c r="B553" s="2">
        <v>45297</v>
      </c>
      <c r="C553" t="s">
        <v>43</v>
      </c>
      <c r="D553" t="s">
        <v>100</v>
      </c>
      <c r="E553" t="s">
        <v>1592</v>
      </c>
      <c r="F553" t="s">
        <v>157</v>
      </c>
      <c r="G553" t="s">
        <v>1593</v>
      </c>
      <c r="H553" t="s">
        <v>80</v>
      </c>
      <c r="I553" t="s">
        <v>26</v>
      </c>
      <c r="J553">
        <v>1</v>
      </c>
      <c r="K553">
        <v>484</v>
      </c>
      <c r="L553">
        <v>484</v>
      </c>
      <c r="M553">
        <v>4.4000000000000004</v>
      </c>
      <c r="N553">
        <v>49</v>
      </c>
      <c r="O553">
        <v>600</v>
      </c>
      <c r="P553">
        <v>10</v>
      </c>
      <c r="Q553" t="s">
        <v>34</v>
      </c>
      <c r="R553">
        <v>45</v>
      </c>
      <c r="S553" t="s">
        <v>41</v>
      </c>
    </row>
    <row r="554" spans="1:19" x14ac:dyDescent="0.3">
      <c r="A554" t="s">
        <v>1594</v>
      </c>
      <c r="B554" s="2">
        <v>45400</v>
      </c>
      <c r="C554" t="s">
        <v>20</v>
      </c>
      <c r="D554" t="s">
        <v>92</v>
      </c>
      <c r="E554" t="s">
        <v>1595</v>
      </c>
      <c r="F554" t="s">
        <v>78</v>
      </c>
      <c r="G554" t="s">
        <v>227</v>
      </c>
      <c r="H554" t="s">
        <v>80</v>
      </c>
      <c r="I554" t="s">
        <v>26</v>
      </c>
      <c r="J554">
        <v>3</v>
      </c>
      <c r="K554">
        <v>378</v>
      </c>
      <c r="L554">
        <v>1134</v>
      </c>
      <c r="M554">
        <v>4.0999999999999996</v>
      </c>
      <c r="N554">
        <v>43</v>
      </c>
      <c r="O554">
        <v>1300</v>
      </c>
      <c r="P554">
        <v>10</v>
      </c>
      <c r="Q554" t="s">
        <v>27</v>
      </c>
      <c r="R554">
        <v>19</v>
      </c>
      <c r="S554" t="s">
        <v>41</v>
      </c>
    </row>
    <row r="555" spans="1:19" x14ac:dyDescent="0.3">
      <c r="A555" t="s">
        <v>1596</v>
      </c>
      <c r="B555" s="2">
        <v>45515</v>
      </c>
      <c r="C555" t="s">
        <v>82</v>
      </c>
      <c r="D555" t="s">
        <v>60</v>
      </c>
      <c r="E555" t="s">
        <v>1597</v>
      </c>
      <c r="F555" t="s">
        <v>1598</v>
      </c>
      <c r="G555" t="s">
        <v>1599</v>
      </c>
      <c r="H555" t="s">
        <v>64</v>
      </c>
      <c r="I555" t="s">
        <v>26</v>
      </c>
      <c r="J555">
        <v>4</v>
      </c>
      <c r="K555">
        <v>402</v>
      </c>
      <c r="L555">
        <v>1608</v>
      </c>
      <c r="M555">
        <v>4.4000000000000004</v>
      </c>
      <c r="N555">
        <v>52</v>
      </c>
      <c r="O555">
        <v>900</v>
      </c>
      <c r="P555">
        <v>10</v>
      </c>
      <c r="Q555" t="s">
        <v>27</v>
      </c>
      <c r="R555">
        <v>28</v>
      </c>
      <c r="S555" t="s">
        <v>28</v>
      </c>
    </row>
    <row r="556" spans="1:19" x14ac:dyDescent="0.3">
      <c r="A556" t="s">
        <v>1600</v>
      </c>
      <c r="B556" s="2">
        <v>45407</v>
      </c>
      <c r="C556" t="s">
        <v>20</v>
      </c>
      <c r="D556" t="s">
        <v>92</v>
      </c>
      <c r="E556" t="s">
        <v>1601</v>
      </c>
      <c r="F556" t="s">
        <v>62</v>
      </c>
      <c r="G556" t="s">
        <v>1602</v>
      </c>
      <c r="H556" t="s">
        <v>80</v>
      </c>
      <c r="I556" t="s">
        <v>26</v>
      </c>
      <c r="J556">
        <v>4</v>
      </c>
      <c r="K556">
        <v>233</v>
      </c>
      <c r="L556">
        <v>932</v>
      </c>
      <c r="M556">
        <v>4.4000000000000004</v>
      </c>
      <c r="N556">
        <v>49</v>
      </c>
      <c r="P556">
        <v>0</v>
      </c>
      <c r="Q556" t="s">
        <v>75</v>
      </c>
      <c r="R556">
        <v>47</v>
      </c>
      <c r="S556" t="s">
        <v>28</v>
      </c>
    </row>
    <row r="557" spans="1:19" x14ac:dyDescent="0.3">
      <c r="A557" t="s">
        <v>1603</v>
      </c>
      <c r="B557" s="2">
        <v>45385</v>
      </c>
      <c r="C557" t="s">
        <v>20</v>
      </c>
      <c r="D557" t="s">
        <v>72</v>
      </c>
      <c r="E557" t="s">
        <v>1604</v>
      </c>
      <c r="F557" t="s">
        <v>102</v>
      </c>
      <c r="G557" t="s">
        <v>1605</v>
      </c>
      <c r="H557" t="s">
        <v>40</v>
      </c>
      <c r="I557" t="s">
        <v>26</v>
      </c>
      <c r="J557">
        <v>2</v>
      </c>
      <c r="K557">
        <v>482</v>
      </c>
      <c r="L557">
        <v>964</v>
      </c>
      <c r="M557">
        <v>4.5</v>
      </c>
      <c r="N557">
        <v>43</v>
      </c>
      <c r="P557">
        <v>0</v>
      </c>
      <c r="Q557" t="s">
        <v>34</v>
      </c>
      <c r="R557">
        <v>30</v>
      </c>
      <c r="S557" t="s">
        <v>28</v>
      </c>
    </row>
    <row r="558" spans="1:19" x14ac:dyDescent="0.3">
      <c r="A558" t="s">
        <v>1606</v>
      </c>
      <c r="B558" s="2">
        <v>45338</v>
      </c>
      <c r="C558" t="s">
        <v>113</v>
      </c>
      <c r="D558" t="s">
        <v>21</v>
      </c>
      <c r="E558" t="s">
        <v>1607</v>
      </c>
      <c r="F558" t="s">
        <v>62</v>
      </c>
      <c r="G558" t="s">
        <v>1608</v>
      </c>
      <c r="H558" t="s">
        <v>64</v>
      </c>
      <c r="I558" t="s">
        <v>26</v>
      </c>
      <c r="J558">
        <v>3</v>
      </c>
      <c r="K558">
        <v>159</v>
      </c>
      <c r="L558">
        <v>477</v>
      </c>
      <c r="M558">
        <v>4.5</v>
      </c>
      <c r="N558">
        <v>43</v>
      </c>
      <c r="O558">
        <v>999</v>
      </c>
      <c r="P558">
        <v>0</v>
      </c>
      <c r="Q558" t="s">
        <v>49</v>
      </c>
      <c r="R558">
        <v>40</v>
      </c>
      <c r="S558" t="s">
        <v>41</v>
      </c>
    </row>
    <row r="559" spans="1:19" x14ac:dyDescent="0.3">
      <c r="A559" t="s">
        <v>1609</v>
      </c>
      <c r="B559" s="2">
        <v>45390</v>
      </c>
      <c r="C559" t="s">
        <v>20</v>
      </c>
      <c r="D559" t="s">
        <v>44</v>
      </c>
      <c r="E559" t="s">
        <v>1610</v>
      </c>
      <c r="F559" t="s">
        <v>450</v>
      </c>
      <c r="G559" t="s">
        <v>825</v>
      </c>
      <c r="H559" t="s">
        <v>80</v>
      </c>
      <c r="I559" t="s">
        <v>26</v>
      </c>
      <c r="J559">
        <v>2</v>
      </c>
      <c r="K559">
        <v>536</v>
      </c>
      <c r="L559">
        <v>1072</v>
      </c>
      <c r="M559">
        <v>4.4000000000000004</v>
      </c>
      <c r="N559">
        <v>44</v>
      </c>
      <c r="P559">
        <v>0</v>
      </c>
      <c r="Q559" t="s">
        <v>27</v>
      </c>
      <c r="R559">
        <v>22</v>
      </c>
      <c r="S559" t="s">
        <v>41</v>
      </c>
    </row>
    <row r="560" spans="1:19" x14ac:dyDescent="0.3">
      <c r="A560" t="s">
        <v>1611</v>
      </c>
      <c r="B560" s="2">
        <v>45346</v>
      </c>
      <c r="C560" t="s">
        <v>113</v>
      </c>
      <c r="D560" t="s">
        <v>100</v>
      </c>
      <c r="E560" t="s">
        <v>1612</v>
      </c>
      <c r="F560" t="s">
        <v>78</v>
      </c>
      <c r="G560" t="s">
        <v>1613</v>
      </c>
      <c r="H560" t="s">
        <v>53</v>
      </c>
      <c r="I560" t="s">
        <v>26</v>
      </c>
      <c r="J560">
        <v>4</v>
      </c>
      <c r="K560">
        <v>339</v>
      </c>
      <c r="L560">
        <v>1356</v>
      </c>
      <c r="M560">
        <v>4.3</v>
      </c>
      <c r="N560">
        <v>45</v>
      </c>
      <c r="O560">
        <v>700</v>
      </c>
      <c r="P560">
        <v>10</v>
      </c>
      <c r="Q560" t="s">
        <v>34</v>
      </c>
      <c r="R560">
        <v>47</v>
      </c>
      <c r="S560" t="s">
        <v>28</v>
      </c>
    </row>
    <row r="561" spans="1:19" x14ac:dyDescent="0.3">
      <c r="A561" t="s">
        <v>1614</v>
      </c>
      <c r="B561" s="2">
        <v>45459</v>
      </c>
      <c r="C561" t="s">
        <v>30</v>
      </c>
      <c r="D561" t="s">
        <v>60</v>
      </c>
      <c r="E561" t="s">
        <v>1615</v>
      </c>
      <c r="F561" t="s">
        <v>450</v>
      </c>
      <c r="G561" t="s">
        <v>1616</v>
      </c>
      <c r="H561" t="s">
        <v>48</v>
      </c>
      <c r="I561" t="s">
        <v>33</v>
      </c>
      <c r="J561">
        <v>2</v>
      </c>
      <c r="K561">
        <v>248</v>
      </c>
      <c r="L561">
        <v>496</v>
      </c>
      <c r="M561">
        <v>4.2</v>
      </c>
      <c r="N561">
        <v>46</v>
      </c>
      <c r="P561">
        <v>0</v>
      </c>
      <c r="Q561" t="s">
        <v>49</v>
      </c>
      <c r="R561">
        <v>23</v>
      </c>
      <c r="S561" t="s">
        <v>41</v>
      </c>
    </row>
    <row r="562" spans="1:19" x14ac:dyDescent="0.3">
      <c r="A562" t="s">
        <v>1617</v>
      </c>
      <c r="B562" s="2">
        <v>45343</v>
      </c>
      <c r="C562" t="s">
        <v>113</v>
      </c>
      <c r="D562" t="s">
        <v>72</v>
      </c>
      <c r="E562" t="s">
        <v>1618</v>
      </c>
      <c r="F562" t="s">
        <v>87</v>
      </c>
      <c r="G562" t="s">
        <v>825</v>
      </c>
      <c r="H562" t="s">
        <v>80</v>
      </c>
      <c r="I562" t="s">
        <v>26</v>
      </c>
      <c r="J562">
        <v>3</v>
      </c>
      <c r="K562">
        <v>127</v>
      </c>
      <c r="L562">
        <v>381</v>
      </c>
      <c r="M562">
        <v>3.9</v>
      </c>
      <c r="N562">
        <v>43</v>
      </c>
      <c r="O562">
        <v>999</v>
      </c>
      <c r="P562">
        <v>0</v>
      </c>
      <c r="Q562" t="s">
        <v>27</v>
      </c>
      <c r="R562">
        <v>41</v>
      </c>
      <c r="S562" t="s">
        <v>28</v>
      </c>
    </row>
    <row r="563" spans="1:19" x14ac:dyDescent="0.3">
      <c r="A563" t="s">
        <v>1619</v>
      </c>
      <c r="B563" s="2">
        <v>45435</v>
      </c>
      <c r="C563" t="s">
        <v>71</v>
      </c>
      <c r="D563" t="s">
        <v>92</v>
      </c>
      <c r="E563" t="s">
        <v>1620</v>
      </c>
      <c r="F563" t="s">
        <v>78</v>
      </c>
      <c r="G563" t="s">
        <v>1621</v>
      </c>
      <c r="H563" t="s">
        <v>80</v>
      </c>
      <c r="I563" t="s">
        <v>26</v>
      </c>
      <c r="J563">
        <v>3</v>
      </c>
      <c r="K563">
        <v>220</v>
      </c>
      <c r="L563">
        <v>660</v>
      </c>
      <c r="M563">
        <v>4.4000000000000004</v>
      </c>
      <c r="N563">
        <v>53</v>
      </c>
      <c r="O563">
        <v>900</v>
      </c>
      <c r="P563">
        <v>10</v>
      </c>
      <c r="Q563" t="s">
        <v>27</v>
      </c>
      <c r="R563">
        <v>43</v>
      </c>
      <c r="S563" t="s">
        <v>41</v>
      </c>
    </row>
    <row r="564" spans="1:19" x14ac:dyDescent="0.3">
      <c r="A564" t="s">
        <v>1622</v>
      </c>
      <c r="B564" s="2">
        <v>45304</v>
      </c>
      <c r="C564" t="s">
        <v>43</v>
      </c>
      <c r="D564" t="s">
        <v>100</v>
      </c>
      <c r="E564" t="s">
        <v>1623</v>
      </c>
      <c r="F564" t="s">
        <v>192</v>
      </c>
      <c r="G564" t="s">
        <v>1624</v>
      </c>
      <c r="H564" t="s">
        <v>48</v>
      </c>
      <c r="I564" t="s">
        <v>33</v>
      </c>
      <c r="J564">
        <v>3</v>
      </c>
      <c r="K564">
        <v>535</v>
      </c>
      <c r="L564">
        <v>1605</v>
      </c>
      <c r="M564">
        <v>4.0999999999999996</v>
      </c>
      <c r="N564">
        <v>57</v>
      </c>
      <c r="P564">
        <v>0</v>
      </c>
      <c r="Q564" t="s">
        <v>49</v>
      </c>
      <c r="R564">
        <v>46</v>
      </c>
      <c r="S564" t="s">
        <v>41</v>
      </c>
    </row>
    <row r="565" spans="1:19" x14ac:dyDescent="0.3">
      <c r="A565" t="s">
        <v>1625</v>
      </c>
      <c r="B565" s="2">
        <v>45405</v>
      </c>
      <c r="C565" t="s">
        <v>20</v>
      </c>
      <c r="D565" t="s">
        <v>36</v>
      </c>
      <c r="E565" t="s">
        <v>1626</v>
      </c>
      <c r="F565" t="s">
        <v>157</v>
      </c>
      <c r="G565" t="s">
        <v>227</v>
      </c>
      <c r="H565" t="s">
        <v>80</v>
      </c>
      <c r="I565" t="s">
        <v>26</v>
      </c>
      <c r="J565">
        <v>1</v>
      </c>
      <c r="K565">
        <v>499</v>
      </c>
      <c r="L565">
        <v>499</v>
      </c>
      <c r="M565">
        <v>4</v>
      </c>
      <c r="N565">
        <v>40</v>
      </c>
      <c r="O565">
        <v>749</v>
      </c>
      <c r="P565">
        <v>0</v>
      </c>
      <c r="Q565" t="s">
        <v>49</v>
      </c>
      <c r="R565">
        <v>31</v>
      </c>
      <c r="S565" t="s">
        <v>41</v>
      </c>
    </row>
    <row r="566" spans="1:19" x14ac:dyDescent="0.3">
      <c r="A566" t="s">
        <v>1627</v>
      </c>
      <c r="B566" s="2">
        <v>45415</v>
      </c>
      <c r="C566" t="s">
        <v>71</v>
      </c>
      <c r="D566" t="s">
        <v>21</v>
      </c>
      <c r="E566" t="s">
        <v>1628</v>
      </c>
      <c r="F566" t="s">
        <v>115</v>
      </c>
      <c r="G566" t="s">
        <v>1629</v>
      </c>
      <c r="H566" t="s">
        <v>53</v>
      </c>
      <c r="I566" t="s">
        <v>26</v>
      </c>
      <c r="J566">
        <v>2</v>
      </c>
      <c r="K566">
        <v>295</v>
      </c>
      <c r="L566">
        <v>590</v>
      </c>
      <c r="M566">
        <v>4.5</v>
      </c>
      <c r="N566">
        <v>40</v>
      </c>
      <c r="O566">
        <v>500</v>
      </c>
      <c r="P566">
        <v>20</v>
      </c>
      <c r="Q566" t="s">
        <v>75</v>
      </c>
      <c r="R566">
        <v>29</v>
      </c>
      <c r="S566" t="s">
        <v>41</v>
      </c>
    </row>
    <row r="567" spans="1:19" x14ac:dyDescent="0.3">
      <c r="A567" t="s">
        <v>1630</v>
      </c>
      <c r="B567" s="2">
        <v>45397</v>
      </c>
      <c r="C567" t="s">
        <v>20</v>
      </c>
      <c r="D567" t="s">
        <v>44</v>
      </c>
      <c r="E567" t="s">
        <v>1631</v>
      </c>
      <c r="F567" t="s">
        <v>78</v>
      </c>
      <c r="G567" t="s">
        <v>1632</v>
      </c>
      <c r="H567" t="s">
        <v>64</v>
      </c>
      <c r="I567" t="s">
        <v>26</v>
      </c>
      <c r="J567">
        <v>4</v>
      </c>
      <c r="K567">
        <v>226</v>
      </c>
      <c r="L567">
        <v>904</v>
      </c>
      <c r="M567">
        <v>4.4000000000000004</v>
      </c>
      <c r="N567">
        <v>50</v>
      </c>
      <c r="O567">
        <v>800</v>
      </c>
      <c r="P567">
        <v>10</v>
      </c>
      <c r="Q567" t="s">
        <v>34</v>
      </c>
      <c r="R567">
        <v>21</v>
      </c>
      <c r="S567" t="s">
        <v>28</v>
      </c>
    </row>
    <row r="568" spans="1:19" x14ac:dyDescent="0.3">
      <c r="A568" t="s">
        <v>1633</v>
      </c>
      <c r="B568" s="2">
        <v>45449</v>
      </c>
      <c r="C568" t="s">
        <v>30</v>
      </c>
      <c r="D568" t="s">
        <v>92</v>
      </c>
      <c r="E568" t="s">
        <v>1634</v>
      </c>
      <c r="F568" t="s">
        <v>115</v>
      </c>
      <c r="G568" t="s">
        <v>1635</v>
      </c>
      <c r="H568" t="s">
        <v>80</v>
      </c>
      <c r="I568" t="s">
        <v>26</v>
      </c>
      <c r="J568">
        <v>4</v>
      </c>
      <c r="K568">
        <v>220</v>
      </c>
      <c r="L568">
        <v>880</v>
      </c>
      <c r="M568">
        <v>3.8</v>
      </c>
      <c r="N568">
        <v>34</v>
      </c>
      <c r="P568">
        <v>0</v>
      </c>
      <c r="Q568" t="s">
        <v>34</v>
      </c>
      <c r="R568">
        <v>46</v>
      </c>
      <c r="S568" t="s">
        <v>41</v>
      </c>
    </row>
    <row r="569" spans="1:19" x14ac:dyDescent="0.3">
      <c r="A569" t="s">
        <v>1636</v>
      </c>
      <c r="B569" s="2">
        <v>45438</v>
      </c>
      <c r="C569" t="s">
        <v>71</v>
      </c>
      <c r="D569" t="s">
        <v>60</v>
      </c>
      <c r="E569" t="s">
        <v>1637</v>
      </c>
      <c r="F569" t="s">
        <v>517</v>
      </c>
      <c r="G569" t="s">
        <v>1638</v>
      </c>
      <c r="H569" t="s">
        <v>80</v>
      </c>
      <c r="I569" t="s">
        <v>26</v>
      </c>
      <c r="J569">
        <v>4</v>
      </c>
      <c r="K569">
        <v>379</v>
      </c>
      <c r="L569">
        <v>1516</v>
      </c>
      <c r="M569">
        <v>4.2</v>
      </c>
      <c r="N569">
        <v>38</v>
      </c>
      <c r="O569">
        <v>150</v>
      </c>
      <c r="P569">
        <v>30</v>
      </c>
      <c r="Q569" t="s">
        <v>75</v>
      </c>
      <c r="R569">
        <v>40</v>
      </c>
      <c r="S569" t="s">
        <v>41</v>
      </c>
    </row>
    <row r="570" spans="1:19" x14ac:dyDescent="0.3">
      <c r="A570" t="s">
        <v>1639</v>
      </c>
      <c r="B570" s="2">
        <v>45436</v>
      </c>
      <c r="C570" t="s">
        <v>71</v>
      </c>
      <c r="D570" t="s">
        <v>21</v>
      </c>
      <c r="E570" t="s">
        <v>1640</v>
      </c>
      <c r="F570" t="s">
        <v>713</v>
      </c>
      <c r="G570" t="s">
        <v>1641</v>
      </c>
      <c r="H570" t="s">
        <v>64</v>
      </c>
      <c r="I570" t="s">
        <v>26</v>
      </c>
      <c r="J570">
        <v>1</v>
      </c>
      <c r="K570">
        <v>597</v>
      </c>
      <c r="L570">
        <v>597</v>
      </c>
      <c r="M570">
        <v>3.8</v>
      </c>
      <c r="N570">
        <v>36</v>
      </c>
      <c r="O570">
        <v>100</v>
      </c>
      <c r="P570">
        <v>10</v>
      </c>
      <c r="Q570" t="s">
        <v>27</v>
      </c>
      <c r="R570">
        <v>23</v>
      </c>
      <c r="S570" t="s">
        <v>28</v>
      </c>
    </row>
    <row r="571" spans="1:19" x14ac:dyDescent="0.3">
      <c r="A571" t="s">
        <v>1642</v>
      </c>
      <c r="B571" s="2">
        <v>45411</v>
      </c>
      <c r="C571" t="s">
        <v>20</v>
      </c>
      <c r="D571" t="s">
        <v>44</v>
      </c>
      <c r="E571" t="s">
        <v>1643</v>
      </c>
      <c r="F571" t="s">
        <v>517</v>
      </c>
      <c r="G571" t="s">
        <v>1644</v>
      </c>
      <c r="H571" t="s">
        <v>48</v>
      </c>
      <c r="I571" t="s">
        <v>33</v>
      </c>
      <c r="J571">
        <v>1</v>
      </c>
      <c r="K571">
        <v>573</v>
      </c>
      <c r="L571">
        <v>573</v>
      </c>
      <c r="M571">
        <v>4</v>
      </c>
      <c r="N571">
        <v>38</v>
      </c>
      <c r="O571">
        <v>150</v>
      </c>
      <c r="P571">
        <v>30</v>
      </c>
      <c r="Q571" t="s">
        <v>49</v>
      </c>
      <c r="R571">
        <v>49</v>
      </c>
      <c r="S571" t="s">
        <v>41</v>
      </c>
    </row>
    <row r="572" spans="1:19" x14ac:dyDescent="0.3">
      <c r="A572" t="s">
        <v>1645</v>
      </c>
      <c r="B572" s="2">
        <v>45354</v>
      </c>
      <c r="C572" t="s">
        <v>55</v>
      </c>
      <c r="D572" t="s">
        <v>60</v>
      </c>
      <c r="E572" t="s">
        <v>1646</v>
      </c>
      <c r="F572" t="s">
        <v>115</v>
      </c>
      <c r="G572" t="s">
        <v>1647</v>
      </c>
      <c r="H572" t="s">
        <v>40</v>
      </c>
      <c r="I572" t="s">
        <v>26</v>
      </c>
      <c r="J572">
        <v>3</v>
      </c>
      <c r="K572">
        <v>485</v>
      </c>
      <c r="L572">
        <v>1455</v>
      </c>
      <c r="M572">
        <v>4.3</v>
      </c>
      <c r="N572">
        <v>39</v>
      </c>
      <c r="P572">
        <v>0</v>
      </c>
      <c r="Q572" t="s">
        <v>49</v>
      </c>
      <c r="R572">
        <v>27</v>
      </c>
      <c r="S572" t="s">
        <v>28</v>
      </c>
    </row>
    <row r="573" spans="1:19" x14ac:dyDescent="0.3">
      <c r="A573" t="s">
        <v>1648</v>
      </c>
      <c r="B573" s="2">
        <v>45310</v>
      </c>
      <c r="C573" t="s">
        <v>43</v>
      </c>
      <c r="D573" t="s">
        <v>21</v>
      </c>
      <c r="E573" t="s">
        <v>1649</v>
      </c>
      <c r="F573" t="s">
        <v>517</v>
      </c>
      <c r="G573" t="s">
        <v>1650</v>
      </c>
      <c r="H573" t="s">
        <v>64</v>
      </c>
      <c r="I573" t="s">
        <v>26</v>
      </c>
      <c r="J573">
        <v>4</v>
      </c>
      <c r="K573">
        <v>365</v>
      </c>
      <c r="L573">
        <v>1460</v>
      </c>
      <c r="M573">
        <v>4.4000000000000004</v>
      </c>
      <c r="N573">
        <v>38</v>
      </c>
      <c r="P573">
        <v>0</v>
      </c>
      <c r="Q573" t="s">
        <v>49</v>
      </c>
      <c r="R573">
        <v>35</v>
      </c>
      <c r="S573" t="s">
        <v>28</v>
      </c>
    </row>
    <row r="574" spans="1:19" x14ac:dyDescent="0.3">
      <c r="A574" t="s">
        <v>1651</v>
      </c>
      <c r="B574" s="2">
        <v>45383</v>
      </c>
      <c r="C574" t="s">
        <v>20</v>
      </c>
      <c r="D574" t="s">
        <v>44</v>
      </c>
      <c r="E574" t="s">
        <v>1652</v>
      </c>
      <c r="F574" t="s">
        <v>115</v>
      </c>
      <c r="G574" t="s">
        <v>1653</v>
      </c>
      <c r="H574" t="s">
        <v>64</v>
      </c>
      <c r="I574" t="s">
        <v>26</v>
      </c>
      <c r="J574">
        <v>1</v>
      </c>
      <c r="K574">
        <v>394</v>
      </c>
      <c r="L574">
        <v>394</v>
      </c>
      <c r="M574">
        <v>4.0999999999999996</v>
      </c>
      <c r="N574">
        <v>37</v>
      </c>
      <c r="P574">
        <v>0</v>
      </c>
      <c r="Q574" t="s">
        <v>27</v>
      </c>
      <c r="R574">
        <v>32</v>
      </c>
      <c r="S574" t="s">
        <v>41</v>
      </c>
    </row>
    <row r="575" spans="1:19" x14ac:dyDescent="0.3">
      <c r="A575" t="s">
        <v>1654</v>
      </c>
      <c r="B575" s="2">
        <v>45349</v>
      </c>
      <c r="C575" t="s">
        <v>113</v>
      </c>
      <c r="D575" t="s">
        <v>36</v>
      </c>
      <c r="E575" t="s">
        <v>1655</v>
      </c>
      <c r="F575" t="s">
        <v>62</v>
      </c>
      <c r="G575" t="s">
        <v>1656</v>
      </c>
      <c r="H575" t="s">
        <v>80</v>
      </c>
      <c r="I575" t="s">
        <v>26</v>
      </c>
      <c r="J575">
        <v>3</v>
      </c>
      <c r="K575">
        <v>151</v>
      </c>
      <c r="L575">
        <v>453</v>
      </c>
      <c r="M575">
        <v>4.2</v>
      </c>
      <c r="N575">
        <v>33</v>
      </c>
      <c r="P575">
        <v>0</v>
      </c>
      <c r="Q575" t="s">
        <v>49</v>
      </c>
      <c r="R575">
        <v>25</v>
      </c>
      <c r="S575" t="s">
        <v>41</v>
      </c>
    </row>
    <row r="576" spans="1:19" x14ac:dyDescent="0.3">
      <c r="A576" t="s">
        <v>1657</v>
      </c>
      <c r="B576" s="2">
        <v>45474</v>
      </c>
      <c r="C576" t="s">
        <v>59</v>
      </c>
      <c r="D576" t="s">
        <v>44</v>
      </c>
      <c r="E576" t="s">
        <v>1658</v>
      </c>
      <c r="F576" t="s">
        <v>102</v>
      </c>
      <c r="G576" t="s">
        <v>1659</v>
      </c>
      <c r="H576" t="s">
        <v>80</v>
      </c>
      <c r="I576" t="s">
        <v>26</v>
      </c>
      <c r="J576">
        <v>4</v>
      </c>
      <c r="K576">
        <v>256</v>
      </c>
      <c r="L576">
        <v>1024</v>
      </c>
      <c r="M576">
        <v>4.4000000000000004</v>
      </c>
      <c r="N576">
        <v>38</v>
      </c>
      <c r="P576">
        <v>0</v>
      </c>
      <c r="Q576" t="s">
        <v>49</v>
      </c>
      <c r="R576">
        <v>43</v>
      </c>
      <c r="S576" t="s">
        <v>28</v>
      </c>
    </row>
    <row r="577" spans="1:19" x14ac:dyDescent="0.3">
      <c r="A577" t="s">
        <v>1660</v>
      </c>
      <c r="B577" s="2">
        <v>45381</v>
      </c>
      <c r="C577" t="s">
        <v>55</v>
      </c>
      <c r="D577" t="s">
        <v>100</v>
      </c>
      <c r="E577" t="s">
        <v>1661</v>
      </c>
      <c r="F577" t="s">
        <v>192</v>
      </c>
      <c r="G577" t="s">
        <v>1662</v>
      </c>
      <c r="H577" t="s">
        <v>53</v>
      </c>
      <c r="I577" t="s">
        <v>26</v>
      </c>
      <c r="J577">
        <v>2</v>
      </c>
      <c r="K577">
        <v>131</v>
      </c>
      <c r="L577">
        <v>262</v>
      </c>
      <c r="M577">
        <v>4</v>
      </c>
      <c r="N577">
        <v>63</v>
      </c>
      <c r="P577">
        <v>0</v>
      </c>
      <c r="Q577" t="s">
        <v>75</v>
      </c>
      <c r="R577">
        <v>49</v>
      </c>
      <c r="S577" t="s">
        <v>28</v>
      </c>
    </row>
    <row r="578" spans="1:19" x14ac:dyDescent="0.3">
      <c r="A578" t="s">
        <v>1663</v>
      </c>
      <c r="B578" s="2">
        <v>45520</v>
      </c>
      <c r="C578" t="s">
        <v>82</v>
      </c>
      <c r="D578" t="s">
        <v>21</v>
      </c>
      <c r="E578" t="s">
        <v>1664</v>
      </c>
      <c r="F578" t="s">
        <v>78</v>
      </c>
      <c r="G578" t="s">
        <v>1665</v>
      </c>
      <c r="H578" t="s">
        <v>80</v>
      </c>
      <c r="I578" t="s">
        <v>26</v>
      </c>
      <c r="J578">
        <v>3</v>
      </c>
      <c r="K578">
        <v>514</v>
      </c>
      <c r="L578">
        <v>1542</v>
      </c>
      <c r="M578">
        <v>4.5</v>
      </c>
      <c r="N578">
        <v>41</v>
      </c>
      <c r="P578">
        <v>0</v>
      </c>
      <c r="Q578" t="s">
        <v>27</v>
      </c>
      <c r="R578">
        <v>26</v>
      </c>
      <c r="S578" t="s">
        <v>28</v>
      </c>
    </row>
    <row r="579" spans="1:19" x14ac:dyDescent="0.3">
      <c r="A579" t="s">
        <v>1666</v>
      </c>
      <c r="B579" s="2">
        <v>45509</v>
      </c>
      <c r="C579" t="s">
        <v>82</v>
      </c>
      <c r="D579" t="s">
        <v>44</v>
      </c>
      <c r="E579" t="s">
        <v>1667</v>
      </c>
      <c r="F579" t="s">
        <v>87</v>
      </c>
      <c r="G579" t="s">
        <v>418</v>
      </c>
      <c r="H579" t="s">
        <v>80</v>
      </c>
      <c r="I579" t="s">
        <v>26</v>
      </c>
      <c r="J579">
        <v>1</v>
      </c>
      <c r="K579">
        <v>421</v>
      </c>
      <c r="L579">
        <v>421</v>
      </c>
      <c r="P579">
        <v>0</v>
      </c>
      <c r="Q579" t="s">
        <v>34</v>
      </c>
      <c r="R579">
        <v>22</v>
      </c>
      <c r="S579" t="s">
        <v>41</v>
      </c>
    </row>
    <row r="580" spans="1:19" x14ac:dyDescent="0.3">
      <c r="A580" t="s">
        <v>1668</v>
      </c>
      <c r="B580" s="2">
        <v>45408</v>
      </c>
      <c r="C580" t="s">
        <v>20</v>
      </c>
      <c r="D580" t="s">
        <v>21</v>
      </c>
      <c r="E580" t="s">
        <v>1669</v>
      </c>
      <c r="F580" t="s">
        <v>78</v>
      </c>
      <c r="G580" t="s">
        <v>1670</v>
      </c>
      <c r="H580" t="s">
        <v>40</v>
      </c>
      <c r="I580" t="s">
        <v>26</v>
      </c>
      <c r="J580">
        <v>1</v>
      </c>
      <c r="K580">
        <v>494</v>
      </c>
      <c r="L580">
        <v>494</v>
      </c>
      <c r="M580">
        <v>4.3</v>
      </c>
      <c r="N580">
        <v>60</v>
      </c>
      <c r="O580">
        <v>749</v>
      </c>
      <c r="P580">
        <v>0</v>
      </c>
      <c r="Q580" t="s">
        <v>75</v>
      </c>
      <c r="R580">
        <v>27</v>
      </c>
      <c r="S580" t="s">
        <v>28</v>
      </c>
    </row>
    <row r="581" spans="1:19" x14ac:dyDescent="0.3">
      <c r="A581" t="s">
        <v>1671</v>
      </c>
      <c r="B581" s="2">
        <v>45353</v>
      </c>
      <c r="C581" t="s">
        <v>55</v>
      </c>
      <c r="D581" t="s">
        <v>100</v>
      </c>
      <c r="E581" t="s">
        <v>1672</v>
      </c>
      <c r="F581" t="s">
        <v>78</v>
      </c>
      <c r="G581" t="s">
        <v>1673</v>
      </c>
      <c r="H581" t="s">
        <v>80</v>
      </c>
      <c r="I581" t="s">
        <v>26</v>
      </c>
      <c r="J581">
        <v>3</v>
      </c>
      <c r="K581">
        <v>135</v>
      </c>
      <c r="L581">
        <v>405</v>
      </c>
      <c r="M581">
        <v>3.9</v>
      </c>
      <c r="N581">
        <v>56</v>
      </c>
      <c r="P581">
        <v>0</v>
      </c>
      <c r="Q581" t="s">
        <v>75</v>
      </c>
      <c r="R581">
        <v>37</v>
      </c>
      <c r="S581" t="s">
        <v>28</v>
      </c>
    </row>
    <row r="582" spans="1:19" x14ac:dyDescent="0.3">
      <c r="A582" t="s">
        <v>1674</v>
      </c>
      <c r="B582" s="2">
        <v>45314</v>
      </c>
      <c r="C582" t="s">
        <v>43</v>
      </c>
      <c r="D582" t="s">
        <v>36</v>
      </c>
      <c r="E582" t="s">
        <v>1675</v>
      </c>
      <c r="F582" t="s">
        <v>87</v>
      </c>
      <c r="G582" t="s">
        <v>1676</v>
      </c>
      <c r="H582" t="s">
        <v>80</v>
      </c>
      <c r="I582" t="s">
        <v>26</v>
      </c>
      <c r="J582">
        <v>3</v>
      </c>
      <c r="K582">
        <v>248</v>
      </c>
      <c r="L582">
        <v>744</v>
      </c>
      <c r="M582">
        <v>4.5</v>
      </c>
      <c r="N582">
        <v>66</v>
      </c>
      <c r="P582">
        <v>0</v>
      </c>
      <c r="Q582" t="s">
        <v>34</v>
      </c>
      <c r="R582">
        <v>23</v>
      </c>
      <c r="S582" t="s">
        <v>28</v>
      </c>
    </row>
    <row r="583" spans="1:19" x14ac:dyDescent="0.3">
      <c r="A583" t="s">
        <v>1677</v>
      </c>
      <c r="B583" s="2">
        <v>45418</v>
      </c>
      <c r="C583" t="s">
        <v>71</v>
      </c>
      <c r="D583" t="s">
        <v>44</v>
      </c>
      <c r="E583" t="s">
        <v>1678</v>
      </c>
      <c r="F583" t="s">
        <v>102</v>
      </c>
      <c r="G583" t="s">
        <v>201</v>
      </c>
      <c r="H583" t="s">
        <v>80</v>
      </c>
      <c r="I583" t="s">
        <v>26</v>
      </c>
      <c r="J583">
        <v>1</v>
      </c>
      <c r="K583">
        <v>182</v>
      </c>
      <c r="L583">
        <v>182</v>
      </c>
      <c r="M583">
        <v>4.3</v>
      </c>
      <c r="N583">
        <v>40</v>
      </c>
      <c r="O583">
        <v>700</v>
      </c>
      <c r="P583">
        <v>20</v>
      </c>
      <c r="Q583" t="s">
        <v>75</v>
      </c>
      <c r="R583">
        <v>33</v>
      </c>
      <c r="S583" t="s">
        <v>41</v>
      </c>
    </row>
    <row r="584" spans="1:19" x14ac:dyDescent="0.3">
      <c r="A584" t="s">
        <v>1679</v>
      </c>
      <c r="B584" s="2">
        <v>45428</v>
      </c>
      <c r="C584" t="s">
        <v>71</v>
      </c>
      <c r="D584" t="s">
        <v>92</v>
      </c>
      <c r="E584" t="s">
        <v>1680</v>
      </c>
      <c r="F584" t="s">
        <v>824</v>
      </c>
      <c r="G584" t="s">
        <v>1681</v>
      </c>
      <c r="H584" t="s">
        <v>80</v>
      </c>
      <c r="I584" t="s">
        <v>26</v>
      </c>
      <c r="J584">
        <v>2</v>
      </c>
      <c r="K584">
        <v>228</v>
      </c>
      <c r="L584">
        <v>456</v>
      </c>
      <c r="M584">
        <v>4.2</v>
      </c>
      <c r="N584">
        <v>59</v>
      </c>
      <c r="O584">
        <v>800</v>
      </c>
      <c r="P584">
        <v>15</v>
      </c>
      <c r="Q584" t="s">
        <v>27</v>
      </c>
      <c r="R584">
        <v>41</v>
      </c>
      <c r="S584" t="s">
        <v>28</v>
      </c>
    </row>
    <row r="585" spans="1:19" x14ac:dyDescent="0.3">
      <c r="A585" t="s">
        <v>1682</v>
      </c>
      <c r="B585" s="2">
        <v>45431</v>
      </c>
      <c r="C585" t="s">
        <v>71</v>
      </c>
      <c r="D585" t="s">
        <v>60</v>
      </c>
      <c r="E585" t="s">
        <v>1683</v>
      </c>
      <c r="F585" t="s">
        <v>956</v>
      </c>
      <c r="G585" t="s">
        <v>1684</v>
      </c>
      <c r="H585" t="s">
        <v>53</v>
      </c>
      <c r="I585" t="s">
        <v>26</v>
      </c>
      <c r="J585">
        <v>4</v>
      </c>
      <c r="K585">
        <v>494</v>
      </c>
      <c r="L585">
        <v>1976</v>
      </c>
      <c r="M585">
        <v>4.0999999999999996</v>
      </c>
      <c r="N585">
        <v>54</v>
      </c>
      <c r="O585">
        <v>999</v>
      </c>
      <c r="P585">
        <v>0</v>
      </c>
      <c r="Q585" t="s">
        <v>49</v>
      </c>
      <c r="R585">
        <v>44</v>
      </c>
      <c r="S585" t="s">
        <v>41</v>
      </c>
    </row>
    <row r="586" spans="1:19" x14ac:dyDescent="0.3">
      <c r="A586" t="s">
        <v>1685</v>
      </c>
      <c r="B586" s="2">
        <v>45420</v>
      </c>
      <c r="C586" t="s">
        <v>71</v>
      </c>
      <c r="D586" t="s">
        <v>72</v>
      </c>
      <c r="E586" t="s">
        <v>1686</v>
      </c>
      <c r="F586" t="s">
        <v>62</v>
      </c>
      <c r="G586" t="s">
        <v>1687</v>
      </c>
      <c r="H586" t="s">
        <v>48</v>
      </c>
      <c r="I586" t="s">
        <v>33</v>
      </c>
      <c r="J586">
        <v>2</v>
      </c>
      <c r="K586">
        <v>140</v>
      </c>
      <c r="L586">
        <v>280</v>
      </c>
      <c r="M586">
        <v>3.7</v>
      </c>
      <c r="N586">
        <v>44</v>
      </c>
      <c r="O586">
        <v>150</v>
      </c>
      <c r="P586">
        <v>30</v>
      </c>
      <c r="Q586" t="s">
        <v>27</v>
      </c>
      <c r="R586">
        <v>48</v>
      </c>
      <c r="S586" t="s">
        <v>41</v>
      </c>
    </row>
    <row r="587" spans="1:19" x14ac:dyDescent="0.3">
      <c r="A587" t="s">
        <v>1688</v>
      </c>
      <c r="B587" s="2">
        <v>45349</v>
      </c>
      <c r="C587" t="s">
        <v>113</v>
      </c>
      <c r="D587" t="s">
        <v>36</v>
      </c>
      <c r="E587" t="s">
        <v>1689</v>
      </c>
      <c r="F587" t="s">
        <v>46</v>
      </c>
      <c r="G587" t="s">
        <v>227</v>
      </c>
      <c r="H587" t="s">
        <v>80</v>
      </c>
      <c r="I587" t="s">
        <v>26</v>
      </c>
      <c r="J587">
        <v>3</v>
      </c>
      <c r="K587">
        <v>277</v>
      </c>
      <c r="L587">
        <v>831</v>
      </c>
      <c r="M587">
        <v>4.2</v>
      </c>
      <c r="N587">
        <v>49</v>
      </c>
      <c r="O587">
        <v>125</v>
      </c>
      <c r="P587">
        <v>25</v>
      </c>
      <c r="Q587" t="s">
        <v>34</v>
      </c>
      <c r="R587">
        <v>20</v>
      </c>
      <c r="S587" t="s">
        <v>28</v>
      </c>
    </row>
    <row r="588" spans="1:19" x14ac:dyDescent="0.3">
      <c r="A588" t="s">
        <v>1690</v>
      </c>
      <c r="B588" s="2">
        <v>45413</v>
      </c>
      <c r="C588" t="s">
        <v>71</v>
      </c>
      <c r="D588" t="s">
        <v>72</v>
      </c>
      <c r="E588" t="s">
        <v>1691</v>
      </c>
      <c r="F588" t="s">
        <v>78</v>
      </c>
      <c r="G588" t="s">
        <v>1692</v>
      </c>
      <c r="H588" t="s">
        <v>80</v>
      </c>
      <c r="I588" t="s">
        <v>26</v>
      </c>
      <c r="J588">
        <v>2</v>
      </c>
      <c r="K588">
        <v>388</v>
      </c>
      <c r="L588">
        <v>776</v>
      </c>
      <c r="M588">
        <v>4.2</v>
      </c>
      <c r="N588">
        <v>58</v>
      </c>
      <c r="O588">
        <v>449</v>
      </c>
      <c r="P588">
        <v>0</v>
      </c>
      <c r="Q588" t="s">
        <v>34</v>
      </c>
      <c r="R588">
        <v>27</v>
      </c>
      <c r="S588" t="s">
        <v>41</v>
      </c>
    </row>
    <row r="589" spans="1:19" x14ac:dyDescent="0.3">
      <c r="A589" t="s">
        <v>1693</v>
      </c>
      <c r="B589" s="2">
        <v>45292</v>
      </c>
      <c r="C589" t="s">
        <v>43</v>
      </c>
      <c r="D589" t="s">
        <v>44</v>
      </c>
      <c r="E589" t="s">
        <v>1694</v>
      </c>
      <c r="F589" t="s">
        <v>62</v>
      </c>
      <c r="G589" t="s">
        <v>1695</v>
      </c>
      <c r="H589" t="s">
        <v>80</v>
      </c>
      <c r="I589" t="s">
        <v>26</v>
      </c>
      <c r="J589">
        <v>1</v>
      </c>
      <c r="K589">
        <v>281</v>
      </c>
      <c r="L589">
        <v>281</v>
      </c>
      <c r="M589">
        <v>4.2</v>
      </c>
      <c r="N589">
        <v>41</v>
      </c>
      <c r="O589">
        <v>999</v>
      </c>
      <c r="P589">
        <v>0</v>
      </c>
      <c r="Q589" t="s">
        <v>75</v>
      </c>
      <c r="R589">
        <v>28</v>
      </c>
      <c r="S589" t="s">
        <v>28</v>
      </c>
    </row>
    <row r="590" spans="1:19" x14ac:dyDescent="0.3">
      <c r="A590" t="s">
        <v>1696</v>
      </c>
      <c r="B590" s="2">
        <v>45530</v>
      </c>
      <c r="C590" t="s">
        <v>82</v>
      </c>
      <c r="D590" t="s">
        <v>44</v>
      </c>
      <c r="E590" t="s">
        <v>1697</v>
      </c>
      <c r="F590" t="s">
        <v>78</v>
      </c>
      <c r="G590" t="s">
        <v>204</v>
      </c>
      <c r="H590" t="s">
        <v>80</v>
      </c>
      <c r="I590" t="s">
        <v>26</v>
      </c>
      <c r="J590">
        <v>3</v>
      </c>
      <c r="K590">
        <v>379</v>
      </c>
      <c r="L590">
        <v>1137</v>
      </c>
      <c r="M590">
        <v>4.4000000000000004</v>
      </c>
      <c r="N590">
        <v>55</v>
      </c>
      <c r="O590">
        <v>800</v>
      </c>
      <c r="P590">
        <v>10</v>
      </c>
      <c r="Q590" t="s">
        <v>27</v>
      </c>
      <c r="R590">
        <v>28</v>
      </c>
      <c r="S590" t="s">
        <v>41</v>
      </c>
    </row>
    <row r="591" spans="1:19" x14ac:dyDescent="0.3">
      <c r="A591" t="s">
        <v>1698</v>
      </c>
      <c r="B591" s="2">
        <v>45325</v>
      </c>
      <c r="C591" t="s">
        <v>113</v>
      </c>
      <c r="D591" t="s">
        <v>100</v>
      </c>
      <c r="E591" t="s">
        <v>1699</v>
      </c>
      <c r="F591" t="s">
        <v>115</v>
      </c>
      <c r="G591" t="s">
        <v>1659</v>
      </c>
      <c r="H591" t="s">
        <v>80</v>
      </c>
      <c r="I591" t="s">
        <v>26</v>
      </c>
      <c r="J591">
        <v>4</v>
      </c>
      <c r="K591">
        <v>531</v>
      </c>
      <c r="L591">
        <v>2124</v>
      </c>
      <c r="M591">
        <v>4.3</v>
      </c>
      <c r="N591">
        <v>45</v>
      </c>
      <c r="P591">
        <v>0</v>
      </c>
      <c r="Q591" t="s">
        <v>27</v>
      </c>
      <c r="R591">
        <v>34</v>
      </c>
      <c r="S591" t="s">
        <v>41</v>
      </c>
    </row>
    <row r="592" spans="1:19" x14ac:dyDescent="0.3">
      <c r="A592" t="s">
        <v>1700</v>
      </c>
      <c r="B592" s="2">
        <v>45387</v>
      </c>
      <c r="C592" t="s">
        <v>20</v>
      </c>
      <c r="D592" t="s">
        <v>21</v>
      </c>
      <c r="E592" t="s">
        <v>1701</v>
      </c>
      <c r="F592" t="s">
        <v>925</v>
      </c>
      <c r="G592" t="s">
        <v>1702</v>
      </c>
      <c r="H592" t="s">
        <v>64</v>
      </c>
      <c r="I592" t="s">
        <v>26</v>
      </c>
      <c r="J592">
        <v>1</v>
      </c>
      <c r="K592">
        <v>221</v>
      </c>
      <c r="L592">
        <v>221</v>
      </c>
      <c r="M592">
        <v>4.4000000000000004</v>
      </c>
      <c r="N592">
        <v>43</v>
      </c>
      <c r="P592">
        <v>0</v>
      </c>
      <c r="Q592" t="s">
        <v>34</v>
      </c>
      <c r="R592">
        <v>49</v>
      </c>
      <c r="S592" t="s">
        <v>28</v>
      </c>
    </row>
    <row r="593" spans="1:19" x14ac:dyDescent="0.3">
      <c r="A593" t="s">
        <v>1703</v>
      </c>
      <c r="B593" s="2">
        <v>45417</v>
      </c>
      <c r="C593" t="s">
        <v>71</v>
      </c>
      <c r="D593" t="s">
        <v>60</v>
      </c>
      <c r="E593" t="s">
        <v>1704</v>
      </c>
      <c r="F593" t="s">
        <v>78</v>
      </c>
      <c r="G593" t="s">
        <v>1705</v>
      </c>
      <c r="H593" t="s">
        <v>80</v>
      </c>
      <c r="I593" t="s">
        <v>26</v>
      </c>
      <c r="J593">
        <v>1</v>
      </c>
      <c r="K593">
        <v>342</v>
      </c>
      <c r="L593">
        <v>342</v>
      </c>
      <c r="M593">
        <v>4.4000000000000004</v>
      </c>
      <c r="N593">
        <v>54</v>
      </c>
      <c r="P593">
        <v>0</v>
      </c>
      <c r="Q593" t="s">
        <v>27</v>
      </c>
      <c r="R593">
        <v>21</v>
      </c>
      <c r="S593" t="s">
        <v>28</v>
      </c>
    </row>
    <row r="594" spans="1:19" x14ac:dyDescent="0.3">
      <c r="A594" t="s">
        <v>1706</v>
      </c>
      <c r="B594" s="2">
        <v>45409</v>
      </c>
      <c r="C594" t="s">
        <v>20</v>
      </c>
      <c r="D594" t="s">
        <v>100</v>
      </c>
      <c r="E594" t="s">
        <v>1707</v>
      </c>
      <c r="F594" t="s">
        <v>102</v>
      </c>
      <c r="G594" t="s">
        <v>1708</v>
      </c>
      <c r="H594" t="s">
        <v>80</v>
      </c>
      <c r="I594" t="s">
        <v>26</v>
      </c>
      <c r="J594">
        <v>4</v>
      </c>
      <c r="K594">
        <v>178</v>
      </c>
      <c r="L594">
        <v>712</v>
      </c>
      <c r="M594">
        <v>4.0999999999999996</v>
      </c>
      <c r="N594">
        <v>49</v>
      </c>
      <c r="P594">
        <v>0</v>
      </c>
      <c r="Q594" t="s">
        <v>34</v>
      </c>
      <c r="R594">
        <v>48</v>
      </c>
      <c r="S594" t="s">
        <v>28</v>
      </c>
    </row>
    <row r="595" spans="1:19" x14ac:dyDescent="0.3">
      <c r="A595" t="s">
        <v>1709</v>
      </c>
      <c r="B595" s="2">
        <v>45339</v>
      </c>
      <c r="C595" t="s">
        <v>113</v>
      </c>
      <c r="D595" t="s">
        <v>100</v>
      </c>
      <c r="E595" t="s">
        <v>1710</v>
      </c>
      <c r="F595" t="s">
        <v>62</v>
      </c>
      <c r="G595" t="s">
        <v>1711</v>
      </c>
      <c r="H595" t="s">
        <v>80</v>
      </c>
      <c r="I595" t="s">
        <v>26</v>
      </c>
      <c r="J595">
        <v>4</v>
      </c>
      <c r="K595">
        <v>366</v>
      </c>
      <c r="L595">
        <v>1464</v>
      </c>
      <c r="M595">
        <v>4.4000000000000004</v>
      </c>
      <c r="N595">
        <v>51</v>
      </c>
      <c r="O595">
        <v>999</v>
      </c>
      <c r="P595">
        <v>0</v>
      </c>
      <c r="Q595" t="s">
        <v>27</v>
      </c>
      <c r="R595">
        <v>21</v>
      </c>
      <c r="S595" t="s">
        <v>41</v>
      </c>
    </row>
    <row r="596" spans="1:19" x14ac:dyDescent="0.3">
      <c r="A596" t="s">
        <v>1712</v>
      </c>
      <c r="B596" s="2">
        <v>45380</v>
      </c>
      <c r="C596" t="s">
        <v>55</v>
      </c>
      <c r="D596" t="s">
        <v>21</v>
      </c>
      <c r="E596" t="s">
        <v>1713</v>
      </c>
      <c r="F596" t="s">
        <v>956</v>
      </c>
      <c r="G596" t="s">
        <v>63</v>
      </c>
      <c r="H596" t="s">
        <v>64</v>
      </c>
      <c r="I596" t="s">
        <v>26</v>
      </c>
      <c r="J596">
        <v>2</v>
      </c>
      <c r="K596">
        <v>247</v>
      </c>
      <c r="L596">
        <v>494</v>
      </c>
      <c r="M596">
        <v>4</v>
      </c>
      <c r="N596">
        <v>41</v>
      </c>
      <c r="P596">
        <v>0</v>
      </c>
      <c r="Q596" t="s">
        <v>27</v>
      </c>
      <c r="R596">
        <v>34</v>
      </c>
      <c r="S596" t="s">
        <v>41</v>
      </c>
    </row>
    <row r="597" spans="1:19" x14ac:dyDescent="0.3">
      <c r="A597" t="s">
        <v>1714</v>
      </c>
      <c r="B597" s="2">
        <v>45523</v>
      </c>
      <c r="C597" t="s">
        <v>82</v>
      </c>
      <c r="D597" t="s">
        <v>44</v>
      </c>
      <c r="E597" t="s">
        <v>1715</v>
      </c>
      <c r="F597" t="s">
        <v>192</v>
      </c>
      <c r="G597" t="s">
        <v>1716</v>
      </c>
      <c r="H597" t="s">
        <v>80</v>
      </c>
      <c r="I597" t="s">
        <v>26</v>
      </c>
      <c r="J597">
        <v>3</v>
      </c>
      <c r="K597">
        <v>402</v>
      </c>
      <c r="L597">
        <v>1206</v>
      </c>
      <c r="M597">
        <v>4</v>
      </c>
      <c r="N597">
        <v>53</v>
      </c>
      <c r="O597">
        <v>200</v>
      </c>
      <c r="P597">
        <v>40</v>
      </c>
      <c r="Q597" t="s">
        <v>27</v>
      </c>
      <c r="R597">
        <v>26</v>
      </c>
      <c r="S597" t="s">
        <v>28</v>
      </c>
    </row>
    <row r="598" spans="1:19" x14ac:dyDescent="0.3">
      <c r="A598" t="s">
        <v>1717</v>
      </c>
      <c r="B598" s="2">
        <v>45528</v>
      </c>
      <c r="C598" t="s">
        <v>82</v>
      </c>
      <c r="D598" t="s">
        <v>100</v>
      </c>
      <c r="E598" t="s">
        <v>1718</v>
      </c>
      <c r="F598" t="s">
        <v>192</v>
      </c>
      <c r="G598" t="s">
        <v>1719</v>
      </c>
      <c r="H598" t="s">
        <v>80</v>
      </c>
      <c r="I598" t="s">
        <v>26</v>
      </c>
      <c r="J598">
        <v>4</v>
      </c>
      <c r="K598">
        <v>444</v>
      </c>
      <c r="L598">
        <v>1776</v>
      </c>
      <c r="M598">
        <v>4.4000000000000004</v>
      </c>
      <c r="N598">
        <v>47</v>
      </c>
      <c r="P598">
        <v>0</v>
      </c>
      <c r="Q598" t="s">
        <v>34</v>
      </c>
      <c r="R598">
        <v>36</v>
      </c>
      <c r="S598" t="s">
        <v>28</v>
      </c>
    </row>
    <row r="599" spans="1:19" x14ac:dyDescent="0.3">
      <c r="A599" t="s">
        <v>1720</v>
      </c>
      <c r="B599" s="2">
        <v>45408</v>
      </c>
      <c r="C599" t="s">
        <v>20</v>
      </c>
      <c r="D599" t="s">
        <v>21</v>
      </c>
      <c r="E599" t="s">
        <v>1721</v>
      </c>
      <c r="F599" t="s">
        <v>450</v>
      </c>
      <c r="G599" t="s">
        <v>201</v>
      </c>
      <c r="H599" t="s">
        <v>80</v>
      </c>
      <c r="I599" t="s">
        <v>26</v>
      </c>
      <c r="J599">
        <v>4</v>
      </c>
      <c r="K599">
        <v>144</v>
      </c>
      <c r="L599">
        <v>576</v>
      </c>
      <c r="M599">
        <v>4.3</v>
      </c>
      <c r="N599">
        <v>46</v>
      </c>
      <c r="P599">
        <v>0</v>
      </c>
      <c r="Q599" t="s">
        <v>75</v>
      </c>
      <c r="R599">
        <v>22</v>
      </c>
      <c r="S599" t="s">
        <v>41</v>
      </c>
    </row>
    <row r="600" spans="1:19" x14ac:dyDescent="0.3">
      <c r="A600" t="s">
        <v>1722</v>
      </c>
      <c r="B600" s="2">
        <v>45420</v>
      </c>
      <c r="C600" t="s">
        <v>71</v>
      </c>
      <c r="D600" t="s">
        <v>72</v>
      </c>
      <c r="E600" t="s">
        <v>1723</v>
      </c>
      <c r="F600" t="s">
        <v>824</v>
      </c>
      <c r="G600" t="s">
        <v>1724</v>
      </c>
      <c r="H600" t="s">
        <v>48</v>
      </c>
      <c r="I600" t="s">
        <v>33</v>
      </c>
      <c r="J600">
        <v>3</v>
      </c>
      <c r="K600">
        <v>250</v>
      </c>
      <c r="L600">
        <v>750</v>
      </c>
      <c r="M600">
        <v>4.0999999999999996</v>
      </c>
      <c r="N600">
        <v>53</v>
      </c>
      <c r="O600">
        <v>800</v>
      </c>
      <c r="P600">
        <v>15</v>
      </c>
      <c r="Q600" t="s">
        <v>27</v>
      </c>
      <c r="R600">
        <v>49</v>
      </c>
      <c r="S600" t="s">
        <v>41</v>
      </c>
    </row>
    <row r="601" spans="1:19" x14ac:dyDescent="0.3">
      <c r="A601" t="s">
        <v>1725</v>
      </c>
      <c r="B601" s="2">
        <v>45307</v>
      </c>
      <c r="C601" t="s">
        <v>43</v>
      </c>
      <c r="D601" t="s">
        <v>36</v>
      </c>
      <c r="E601" t="s">
        <v>1726</v>
      </c>
      <c r="F601" t="s">
        <v>192</v>
      </c>
      <c r="G601" t="s">
        <v>1727</v>
      </c>
      <c r="H601" t="s">
        <v>80</v>
      </c>
      <c r="I601" t="s">
        <v>26</v>
      </c>
      <c r="J601">
        <v>4</v>
      </c>
      <c r="K601">
        <v>472</v>
      </c>
      <c r="L601">
        <v>1888</v>
      </c>
      <c r="M601">
        <v>4.0999999999999996</v>
      </c>
      <c r="N601">
        <v>55</v>
      </c>
      <c r="O601">
        <v>1000</v>
      </c>
      <c r="P601">
        <v>10</v>
      </c>
      <c r="Q601" t="s">
        <v>34</v>
      </c>
      <c r="R601">
        <v>39</v>
      </c>
      <c r="S601" t="s">
        <v>41</v>
      </c>
    </row>
    <row r="602" spans="1:19" x14ac:dyDescent="0.3">
      <c r="A602" t="s">
        <v>1728</v>
      </c>
      <c r="B602" s="2">
        <v>45480</v>
      </c>
      <c r="C602" t="s">
        <v>59</v>
      </c>
      <c r="D602" t="s">
        <v>60</v>
      </c>
      <c r="E602" t="s">
        <v>1729</v>
      </c>
      <c r="F602" t="s">
        <v>62</v>
      </c>
      <c r="G602" t="s">
        <v>165</v>
      </c>
      <c r="H602" t="s">
        <v>80</v>
      </c>
      <c r="I602" t="s">
        <v>26</v>
      </c>
      <c r="J602">
        <v>4</v>
      </c>
      <c r="K602">
        <v>315</v>
      </c>
      <c r="L602">
        <v>1260</v>
      </c>
      <c r="M602">
        <v>4.4000000000000004</v>
      </c>
      <c r="N602">
        <v>51</v>
      </c>
      <c r="P602">
        <v>0</v>
      </c>
      <c r="Q602" t="s">
        <v>34</v>
      </c>
      <c r="R602">
        <v>41</v>
      </c>
      <c r="S602" t="s">
        <v>28</v>
      </c>
    </row>
    <row r="603" spans="1:19" x14ac:dyDescent="0.3">
      <c r="A603" t="s">
        <v>1730</v>
      </c>
      <c r="B603" s="2">
        <v>45522</v>
      </c>
      <c r="C603" t="s">
        <v>82</v>
      </c>
      <c r="D603" t="s">
        <v>60</v>
      </c>
      <c r="E603" t="s">
        <v>1731</v>
      </c>
      <c r="F603" t="s">
        <v>78</v>
      </c>
      <c r="G603" t="s">
        <v>204</v>
      </c>
      <c r="H603" t="s">
        <v>80</v>
      </c>
      <c r="I603" t="s">
        <v>26</v>
      </c>
      <c r="J603">
        <v>2</v>
      </c>
      <c r="K603">
        <v>400</v>
      </c>
      <c r="L603">
        <v>800</v>
      </c>
      <c r="M603">
        <v>4.0999999999999996</v>
      </c>
      <c r="N603">
        <v>81</v>
      </c>
      <c r="O603">
        <v>999</v>
      </c>
      <c r="P603">
        <v>0</v>
      </c>
      <c r="Q603" t="s">
        <v>27</v>
      </c>
      <c r="R603">
        <v>23</v>
      </c>
      <c r="S603" t="s">
        <v>41</v>
      </c>
    </row>
    <row r="604" spans="1:19" x14ac:dyDescent="0.3">
      <c r="A604" t="s">
        <v>1732</v>
      </c>
      <c r="B604" s="2">
        <v>45483</v>
      </c>
      <c r="C604" t="s">
        <v>59</v>
      </c>
      <c r="D604" t="s">
        <v>72</v>
      </c>
      <c r="E604" t="s">
        <v>1733</v>
      </c>
      <c r="F604" t="s">
        <v>1734</v>
      </c>
      <c r="G604" t="s">
        <v>109</v>
      </c>
      <c r="H604" t="s">
        <v>64</v>
      </c>
      <c r="I604" t="s">
        <v>26</v>
      </c>
      <c r="J604">
        <v>1</v>
      </c>
      <c r="K604">
        <v>523</v>
      </c>
      <c r="L604">
        <v>523</v>
      </c>
      <c r="M604">
        <v>4.7</v>
      </c>
      <c r="N604">
        <v>44</v>
      </c>
      <c r="O604">
        <v>349</v>
      </c>
      <c r="P604">
        <v>0</v>
      </c>
      <c r="Q604" t="s">
        <v>27</v>
      </c>
      <c r="R604">
        <v>20</v>
      </c>
      <c r="S604" t="s">
        <v>28</v>
      </c>
    </row>
    <row r="605" spans="1:19" x14ac:dyDescent="0.3">
      <c r="A605" t="s">
        <v>1735</v>
      </c>
      <c r="B605" s="2">
        <v>45482</v>
      </c>
      <c r="C605" t="s">
        <v>59</v>
      </c>
      <c r="D605" t="s">
        <v>36</v>
      </c>
      <c r="E605" t="s">
        <v>1736</v>
      </c>
      <c r="F605" t="s">
        <v>78</v>
      </c>
      <c r="G605" t="s">
        <v>1737</v>
      </c>
      <c r="H605" t="s">
        <v>64</v>
      </c>
      <c r="I605" t="s">
        <v>26</v>
      </c>
      <c r="J605">
        <v>1</v>
      </c>
      <c r="K605">
        <v>537</v>
      </c>
      <c r="L605">
        <v>537</v>
      </c>
      <c r="M605">
        <v>4.0999999999999996</v>
      </c>
      <c r="N605">
        <v>53</v>
      </c>
      <c r="O605">
        <v>449</v>
      </c>
      <c r="P605">
        <v>0</v>
      </c>
      <c r="Q605" t="s">
        <v>75</v>
      </c>
      <c r="R605">
        <v>39</v>
      </c>
      <c r="S605" t="s">
        <v>41</v>
      </c>
    </row>
    <row r="606" spans="1:19" x14ac:dyDescent="0.3">
      <c r="A606" t="s">
        <v>1738</v>
      </c>
      <c r="B606" s="2">
        <v>45360</v>
      </c>
      <c r="C606" t="s">
        <v>55</v>
      </c>
      <c r="D606" t="s">
        <v>100</v>
      </c>
      <c r="E606" t="s">
        <v>1739</v>
      </c>
      <c r="F606" t="s">
        <v>192</v>
      </c>
      <c r="G606" t="s">
        <v>919</v>
      </c>
      <c r="H606" t="s">
        <v>80</v>
      </c>
      <c r="I606" t="s">
        <v>26</v>
      </c>
      <c r="J606">
        <v>1</v>
      </c>
      <c r="K606">
        <v>273</v>
      </c>
      <c r="L606">
        <v>273</v>
      </c>
      <c r="M606">
        <v>4.4000000000000004</v>
      </c>
      <c r="N606">
        <v>54</v>
      </c>
      <c r="O606">
        <v>700</v>
      </c>
      <c r="P606">
        <v>10</v>
      </c>
      <c r="Q606" t="s">
        <v>34</v>
      </c>
      <c r="R606">
        <v>18</v>
      </c>
      <c r="S606" t="s">
        <v>41</v>
      </c>
    </row>
    <row r="607" spans="1:19" x14ac:dyDescent="0.3">
      <c r="A607" t="s">
        <v>1740</v>
      </c>
      <c r="B607" s="2">
        <v>45313</v>
      </c>
      <c r="C607" t="s">
        <v>43</v>
      </c>
      <c r="D607" t="s">
        <v>44</v>
      </c>
      <c r="E607" t="s">
        <v>1741</v>
      </c>
      <c r="F607" t="s">
        <v>87</v>
      </c>
      <c r="G607" t="s">
        <v>373</v>
      </c>
      <c r="H607" t="s">
        <v>80</v>
      </c>
      <c r="I607" t="s">
        <v>26</v>
      </c>
      <c r="J607">
        <v>1</v>
      </c>
      <c r="K607">
        <v>501</v>
      </c>
      <c r="L607">
        <v>501</v>
      </c>
      <c r="M607">
        <v>4.0999999999999996</v>
      </c>
      <c r="N607">
        <v>40</v>
      </c>
      <c r="P607">
        <v>0</v>
      </c>
      <c r="Q607" t="s">
        <v>34</v>
      </c>
      <c r="R607">
        <v>37</v>
      </c>
      <c r="S607" t="s">
        <v>28</v>
      </c>
    </row>
    <row r="608" spans="1:19" x14ac:dyDescent="0.3">
      <c r="A608" t="s">
        <v>1742</v>
      </c>
      <c r="B608" s="2">
        <v>45384</v>
      </c>
      <c r="C608" t="s">
        <v>20</v>
      </c>
      <c r="D608" t="s">
        <v>36</v>
      </c>
      <c r="E608" t="s">
        <v>1743</v>
      </c>
      <c r="F608" t="s">
        <v>192</v>
      </c>
      <c r="G608" t="s">
        <v>1744</v>
      </c>
      <c r="H608" t="s">
        <v>48</v>
      </c>
      <c r="I608" t="s">
        <v>33</v>
      </c>
      <c r="J608">
        <v>4</v>
      </c>
      <c r="K608">
        <v>252</v>
      </c>
      <c r="L608">
        <v>1008</v>
      </c>
      <c r="M608">
        <v>3.5</v>
      </c>
      <c r="N608">
        <v>28</v>
      </c>
      <c r="P608">
        <v>0</v>
      </c>
      <c r="Q608" t="s">
        <v>49</v>
      </c>
      <c r="R608">
        <v>39</v>
      </c>
      <c r="S608" t="s">
        <v>28</v>
      </c>
    </row>
    <row r="609" spans="1:19" x14ac:dyDescent="0.3">
      <c r="A609" t="s">
        <v>1745</v>
      </c>
      <c r="B609" s="2">
        <v>45486</v>
      </c>
      <c r="C609" t="s">
        <v>59</v>
      </c>
      <c r="D609" t="s">
        <v>100</v>
      </c>
      <c r="E609" t="s">
        <v>1746</v>
      </c>
      <c r="F609" t="s">
        <v>115</v>
      </c>
      <c r="G609" t="s">
        <v>392</v>
      </c>
      <c r="H609" t="s">
        <v>53</v>
      </c>
      <c r="I609" t="s">
        <v>26</v>
      </c>
      <c r="J609">
        <v>3</v>
      </c>
      <c r="K609">
        <v>346</v>
      </c>
      <c r="L609">
        <v>1038</v>
      </c>
      <c r="M609">
        <v>4.5</v>
      </c>
      <c r="N609">
        <v>29</v>
      </c>
      <c r="P609">
        <v>0</v>
      </c>
      <c r="Q609" t="s">
        <v>34</v>
      </c>
      <c r="R609">
        <v>33</v>
      </c>
      <c r="S609" t="s">
        <v>28</v>
      </c>
    </row>
    <row r="610" spans="1:19" x14ac:dyDescent="0.3">
      <c r="A610" t="s">
        <v>1747</v>
      </c>
      <c r="B610" s="2">
        <v>45367</v>
      </c>
      <c r="C610" t="s">
        <v>55</v>
      </c>
      <c r="D610" t="s">
        <v>100</v>
      </c>
      <c r="E610" t="s">
        <v>1748</v>
      </c>
      <c r="F610" t="s">
        <v>46</v>
      </c>
      <c r="G610" t="s">
        <v>1749</v>
      </c>
      <c r="H610" t="s">
        <v>80</v>
      </c>
      <c r="I610" t="s">
        <v>26</v>
      </c>
      <c r="J610">
        <v>3</v>
      </c>
      <c r="K610">
        <v>308</v>
      </c>
      <c r="L610">
        <v>924</v>
      </c>
      <c r="M610">
        <v>4.3</v>
      </c>
      <c r="N610">
        <v>14</v>
      </c>
      <c r="P610">
        <v>0</v>
      </c>
      <c r="Q610" t="s">
        <v>75</v>
      </c>
      <c r="R610">
        <v>40</v>
      </c>
      <c r="S610" t="s">
        <v>41</v>
      </c>
    </row>
    <row r="611" spans="1:19" x14ac:dyDescent="0.3">
      <c r="A611" t="s">
        <v>1750</v>
      </c>
      <c r="B611" s="2">
        <v>45445</v>
      </c>
      <c r="C611" t="s">
        <v>30</v>
      </c>
      <c r="D611" t="s">
        <v>60</v>
      </c>
      <c r="E611" t="s">
        <v>1751</v>
      </c>
      <c r="F611" t="s">
        <v>517</v>
      </c>
      <c r="G611" t="s">
        <v>80</v>
      </c>
      <c r="H611" t="s">
        <v>80</v>
      </c>
      <c r="I611" t="s">
        <v>26</v>
      </c>
      <c r="J611">
        <v>2</v>
      </c>
      <c r="K611">
        <v>595</v>
      </c>
      <c r="L611">
        <v>1190</v>
      </c>
      <c r="M611">
        <v>4.3</v>
      </c>
      <c r="N611">
        <v>46</v>
      </c>
      <c r="P611">
        <v>0</v>
      </c>
      <c r="Q611" t="s">
        <v>49</v>
      </c>
      <c r="R611">
        <v>28</v>
      </c>
      <c r="S611" t="s">
        <v>41</v>
      </c>
    </row>
    <row r="612" spans="1:19" x14ac:dyDescent="0.3">
      <c r="A612" t="s">
        <v>1752</v>
      </c>
      <c r="B612" s="2">
        <v>45435</v>
      </c>
      <c r="C612" t="s">
        <v>71</v>
      </c>
      <c r="D612" t="s">
        <v>92</v>
      </c>
      <c r="E612" t="s">
        <v>1753</v>
      </c>
      <c r="F612" t="s">
        <v>87</v>
      </c>
      <c r="G612" t="s">
        <v>1754</v>
      </c>
      <c r="H612" t="s">
        <v>80</v>
      </c>
      <c r="I612" t="s">
        <v>26</v>
      </c>
      <c r="J612">
        <v>2</v>
      </c>
      <c r="K612">
        <v>596</v>
      </c>
      <c r="L612">
        <v>1192</v>
      </c>
      <c r="M612">
        <v>4.4000000000000004</v>
      </c>
      <c r="N612">
        <v>51</v>
      </c>
      <c r="O612">
        <v>500</v>
      </c>
      <c r="P612">
        <v>15</v>
      </c>
      <c r="Q612" t="s">
        <v>49</v>
      </c>
      <c r="R612">
        <v>30</v>
      </c>
      <c r="S612" t="s">
        <v>41</v>
      </c>
    </row>
    <row r="613" spans="1:19" x14ac:dyDescent="0.3">
      <c r="A613" t="s">
        <v>1755</v>
      </c>
      <c r="B613" s="2">
        <v>45470</v>
      </c>
      <c r="C613" t="s">
        <v>30</v>
      </c>
      <c r="D613" t="s">
        <v>92</v>
      </c>
      <c r="E613" t="s">
        <v>1756</v>
      </c>
      <c r="F613" t="s">
        <v>115</v>
      </c>
      <c r="G613" t="s">
        <v>1757</v>
      </c>
      <c r="H613" t="s">
        <v>80</v>
      </c>
      <c r="I613" t="s">
        <v>26</v>
      </c>
      <c r="J613">
        <v>4</v>
      </c>
      <c r="K613">
        <v>384</v>
      </c>
      <c r="L613">
        <v>1536</v>
      </c>
      <c r="M613">
        <v>4.4000000000000004</v>
      </c>
      <c r="N613">
        <v>32</v>
      </c>
      <c r="P613">
        <v>0</v>
      </c>
      <c r="Q613" t="s">
        <v>49</v>
      </c>
      <c r="R613">
        <v>44</v>
      </c>
      <c r="S613" t="s">
        <v>28</v>
      </c>
    </row>
    <row r="614" spans="1:19" x14ac:dyDescent="0.3">
      <c r="A614" t="s">
        <v>1758</v>
      </c>
      <c r="B614" s="2">
        <v>45520</v>
      </c>
      <c r="C614" t="s">
        <v>82</v>
      </c>
      <c r="D614" t="s">
        <v>21</v>
      </c>
      <c r="E614" t="s">
        <v>1759</v>
      </c>
      <c r="F614" t="s">
        <v>62</v>
      </c>
      <c r="G614" t="s">
        <v>1760</v>
      </c>
      <c r="H614" t="s">
        <v>64</v>
      </c>
      <c r="I614" t="s">
        <v>26</v>
      </c>
      <c r="J614">
        <v>3</v>
      </c>
      <c r="K614">
        <v>491</v>
      </c>
      <c r="L614">
        <v>1473</v>
      </c>
      <c r="M614">
        <v>4.5</v>
      </c>
      <c r="N614">
        <v>30</v>
      </c>
      <c r="O614">
        <v>999</v>
      </c>
      <c r="P614">
        <v>0</v>
      </c>
      <c r="Q614" t="s">
        <v>27</v>
      </c>
      <c r="R614">
        <v>27</v>
      </c>
      <c r="S614" t="s">
        <v>41</v>
      </c>
    </row>
    <row r="615" spans="1:19" x14ac:dyDescent="0.3">
      <c r="A615" t="s">
        <v>1761</v>
      </c>
      <c r="B615" s="2">
        <v>45377</v>
      </c>
      <c r="C615" t="s">
        <v>55</v>
      </c>
      <c r="D615" t="s">
        <v>36</v>
      </c>
      <c r="E615" t="s">
        <v>1762</v>
      </c>
      <c r="F615" t="s">
        <v>517</v>
      </c>
      <c r="G615" t="s">
        <v>154</v>
      </c>
      <c r="H615" t="s">
        <v>80</v>
      </c>
      <c r="I615" t="s">
        <v>26</v>
      </c>
      <c r="J615">
        <v>3</v>
      </c>
      <c r="K615">
        <v>553</v>
      </c>
      <c r="L615">
        <v>1659</v>
      </c>
      <c r="M615">
        <v>4.2</v>
      </c>
      <c r="N615">
        <v>35</v>
      </c>
      <c r="O615">
        <v>449</v>
      </c>
      <c r="P615">
        <v>0</v>
      </c>
      <c r="Q615" t="s">
        <v>27</v>
      </c>
      <c r="R615">
        <v>20</v>
      </c>
      <c r="S615" t="s">
        <v>28</v>
      </c>
    </row>
    <row r="616" spans="1:19" x14ac:dyDescent="0.3">
      <c r="A616" t="s">
        <v>1763</v>
      </c>
      <c r="B616" s="2">
        <v>45476</v>
      </c>
      <c r="C616" t="s">
        <v>59</v>
      </c>
      <c r="D616" t="s">
        <v>72</v>
      </c>
      <c r="E616" t="s">
        <v>1764</v>
      </c>
      <c r="F616" t="s">
        <v>87</v>
      </c>
      <c r="G616" t="s">
        <v>1765</v>
      </c>
      <c r="H616" t="s">
        <v>64</v>
      </c>
      <c r="I616" t="s">
        <v>26</v>
      </c>
      <c r="J616">
        <v>1</v>
      </c>
      <c r="K616">
        <v>253</v>
      </c>
      <c r="L616">
        <v>253</v>
      </c>
      <c r="M616">
        <v>4.5999999999999996</v>
      </c>
      <c r="N616">
        <v>34</v>
      </c>
      <c r="P616">
        <v>0</v>
      </c>
      <c r="Q616" t="s">
        <v>34</v>
      </c>
      <c r="R616">
        <v>26</v>
      </c>
      <c r="S616" t="s">
        <v>28</v>
      </c>
    </row>
    <row r="617" spans="1:19" x14ac:dyDescent="0.3">
      <c r="A617" t="s">
        <v>1766</v>
      </c>
      <c r="B617" s="2">
        <v>45320</v>
      </c>
      <c r="C617" t="s">
        <v>43</v>
      </c>
      <c r="D617" t="s">
        <v>44</v>
      </c>
      <c r="E617" t="s">
        <v>1767</v>
      </c>
      <c r="F617" t="s">
        <v>115</v>
      </c>
      <c r="G617" t="s">
        <v>84</v>
      </c>
      <c r="H617" t="s">
        <v>64</v>
      </c>
      <c r="I617" t="s">
        <v>26</v>
      </c>
      <c r="J617">
        <v>4</v>
      </c>
      <c r="K617">
        <v>330</v>
      </c>
      <c r="L617">
        <v>1320</v>
      </c>
      <c r="M617">
        <v>3.8</v>
      </c>
      <c r="N617">
        <v>33</v>
      </c>
      <c r="P617">
        <v>0</v>
      </c>
      <c r="Q617" t="s">
        <v>49</v>
      </c>
      <c r="R617">
        <v>45</v>
      </c>
      <c r="S617" t="s">
        <v>28</v>
      </c>
    </row>
    <row r="618" spans="1:19" x14ac:dyDescent="0.3">
      <c r="A618" t="s">
        <v>1768</v>
      </c>
      <c r="B618" s="2">
        <v>45497</v>
      </c>
      <c r="C618" t="s">
        <v>59</v>
      </c>
      <c r="D618" t="s">
        <v>72</v>
      </c>
      <c r="E618" t="s">
        <v>1769</v>
      </c>
      <c r="F618" t="s">
        <v>62</v>
      </c>
      <c r="G618" t="s">
        <v>1770</v>
      </c>
      <c r="H618" t="s">
        <v>40</v>
      </c>
      <c r="I618" t="s">
        <v>33</v>
      </c>
      <c r="J618">
        <v>4</v>
      </c>
      <c r="K618">
        <v>179</v>
      </c>
      <c r="L618">
        <v>716</v>
      </c>
      <c r="M618">
        <v>4.3</v>
      </c>
      <c r="N618">
        <v>53</v>
      </c>
      <c r="P618">
        <v>0</v>
      </c>
      <c r="Q618" t="s">
        <v>75</v>
      </c>
      <c r="R618">
        <v>29</v>
      </c>
      <c r="S618" t="s">
        <v>41</v>
      </c>
    </row>
    <row r="619" spans="1:19" x14ac:dyDescent="0.3">
      <c r="A619" t="s">
        <v>1771</v>
      </c>
      <c r="B619" s="2">
        <v>45511</v>
      </c>
      <c r="C619" t="s">
        <v>82</v>
      </c>
      <c r="D619" t="s">
        <v>72</v>
      </c>
      <c r="E619" t="s">
        <v>1772</v>
      </c>
      <c r="F619" t="s">
        <v>713</v>
      </c>
      <c r="G619" t="s">
        <v>1773</v>
      </c>
      <c r="H619" t="s">
        <v>80</v>
      </c>
      <c r="I619" t="s">
        <v>26</v>
      </c>
      <c r="J619">
        <v>1</v>
      </c>
      <c r="K619">
        <v>547</v>
      </c>
      <c r="L619">
        <v>547</v>
      </c>
      <c r="M619">
        <v>4.2</v>
      </c>
      <c r="N619">
        <v>47</v>
      </c>
      <c r="P619">
        <v>0</v>
      </c>
      <c r="Q619" t="s">
        <v>27</v>
      </c>
      <c r="R619">
        <v>40</v>
      </c>
      <c r="S619" t="s">
        <v>41</v>
      </c>
    </row>
    <row r="620" spans="1:19" x14ac:dyDescent="0.3">
      <c r="A620" t="s">
        <v>1774</v>
      </c>
      <c r="B620" s="2">
        <v>45360</v>
      </c>
      <c r="C620" t="s">
        <v>55</v>
      </c>
      <c r="D620" t="s">
        <v>100</v>
      </c>
      <c r="E620" t="s">
        <v>1775</v>
      </c>
      <c r="F620" t="s">
        <v>62</v>
      </c>
      <c r="G620" t="s">
        <v>1776</v>
      </c>
      <c r="H620" t="s">
        <v>80</v>
      </c>
      <c r="I620" t="s">
        <v>26</v>
      </c>
      <c r="J620">
        <v>4</v>
      </c>
      <c r="K620">
        <v>496</v>
      </c>
      <c r="L620">
        <v>1984</v>
      </c>
      <c r="M620">
        <v>3.9</v>
      </c>
      <c r="N620">
        <v>44</v>
      </c>
      <c r="P620">
        <v>0</v>
      </c>
      <c r="Q620" t="s">
        <v>75</v>
      </c>
      <c r="R620">
        <v>31</v>
      </c>
      <c r="S620" t="s">
        <v>28</v>
      </c>
    </row>
    <row r="621" spans="1:19" x14ac:dyDescent="0.3">
      <c r="A621" t="s">
        <v>1777</v>
      </c>
      <c r="B621" s="2">
        <v>45338</v>
      </c>
      <c r="C621" t="s">
        <v>113</v>
      </c>
      <c r="D621" t="s">
        <v>21</v>
      </c>
      <c r="E621" t="s">
        <v>1778</v>
      </c>
      <c r="F621" t="s">
        <v>62</v>
      </c>
      <c r="G621" t="s">
        <v>1779</v>
      </c>
      <c r="H621" t="s">
        <v>40</v>
      </c>
      <c r="I621" t="s">
        <v>26</v>
      </c>
      <c r="J621">
        <v>4</v>
      </c>
      <c r="K621">
        <v>514</v>
      </c>
      <c r="L621">
        <v>2056</v>
      </c>
      <c r="M621">
        <v>4.5</v>
      </c>
      <c r="N621">
        <v>48</v>
      </c>
      <c r="P621">
        <v>0</v>
      </c>
      <c r="Q621" t="s">
        <v>75</v>
      </c>
      <c r="R621">
        <v>18</v>
      </c>
      <c r="S621" t="s">
        <v>41</v>
      </c>
    </row>
    <row r="622" spans="1:19" x14ac:dyDescent="0.3">
      <c r="A622" t="s">
        <v>1780</v>
      </c>
      <c r="B622" s="2">
        <v>45385</v>
      </c>
      <c r="C622" t="s">
        <v>20</v>
      </c>
      <c r="D622" t="s">
        <v>72</v>
      </c>
      <c r="E622" t="s">
        <v>1781</v>
      </c>
      <c r="F622" t="s">
        <v>450</v>
      </c>
      <c r="G622" t="s">
        <v>1782</v>
      </c>
      <c r="H622" t="s">
        <v>25</v>
      </c>
      <c r="I622" t="s">
        <v>26</v>
      </c>
      <c r="J622">
        <v>2</v>
      </c>
      <c r="K622">
        <v>569</v>
      </c>
      <c r="L622">
        <v>1138</v>
      </c>
      <c r="M622">
        <v>4.4000000000000004</v>
      </c>
      <c r="N622">
        <v>51</v>
      </c>
      <c r="O622">
        <v>999</v>
      </c>
      <c r="P622">
        <v>0</v>
      </c>
      <c r="Q622" t="s">
        <v>27</v>
      </c>
      <c r="R622">
        <v>35</v>
      </c>
      <c r="S622" t="s">
        <v>28</v>
      </c>
    </row>
    <row r="623" spans="1:19" x14ac:dyDescent="0.3">
      <c r="A623" t="s">
        <v>1783</v>
      </c>
      <c r="B623" s="2">
        <v>45529</v>
      </c>
      <c r="C623" t="s">
        <v>82</v>
      </c>
      <c r="D623" t="s">
        <v>60</v>
      </c>
      <c r="E623" t="s">
        <v>1784</v>
      </c>
      <c r="F623" t="s">
        <v>62</v>
      </c>
      <c r="G623" t="s">
        <v>210</v>
      </c>
      <c r="H623" t="s">
        <v>80</v>
      </c>
      <c r="I623" t="s">
        <v>26</v>
      </c>
      <c r="J623">
        <v>3</v>
      </c>
      <c r="K623">
        <v>550</v>
      </c>
      <c r="L623">
        <v>1650</v>
      </c>
      <c r="M623">
        <v>4.4000000000000004</v>
      </c>
      <c r="N623">
        <v>30</v>
      </c>
      <c r="P623">
        <v>0</v>
      </c>
      <c r="Q623" t="s">
        <v>27</v>
      </c>
      <c r="R623">
        <v>34</v>
      </c>
      <c r="S623" t="s">
        <v>28</v>
      </c>
    </row>
    <row r="624" spans="1:19" x14ac:dyDescent="0.3">
      <c r="A624" t="s">
        <v>1785</v>
      </c>
      <c r="B624" s="2">
        <v>45481</v>
      </c>
      <c r="C624" t="s">
        <v>59</v>
      </c>
      <c r="D624" t="s">
        <v>44</v>
      </c>
      <c r="E624" t="s">
        <v>1786</v>
      </c>
      <c r="F624" t="s">
        <v>46</v>
      </c>
      <c r="G624" t="s">
        <v>221</v>
      </c>
      <c r="H624" t="s">
        <v>80</v>
      </c>
      <c r="I624" t="s">
        <v>26</v>
      </c>
      <c r="J624">
        <v>4</v>
      </c>
      <c r="K624">
        <v>483</v>
      </c>
      <c r="L624">
        <v>1932</v>
      </c>
      <c r="M624">
        <v>4.0999999999999996</v>
      </c>
      <c r="N624">
        <v>36</v>
      </c>
      <c r="P624">
        <v>0</v>
      </c>
      <c r="Q624" t="s">
        <v>27</v>
      </c>
      <c r="R624">
        <v>44</v>
      </c>
      <c r="S624" t="s">
        <v>41</v>
      </c>
    </row>
    <row r="625" spans="1:19" x14ac:dyDescent="0.3">
      <c r="A625" t="s">
        <v>1787</v>
      </c>
      <c r="B625" s="2">
        <v>45488</v>
      </c>
      <c r="C625" t="s">
        <v>59</v>
      </c>
      <c r="D625" t="s">
        <v>44</v>
      </c>
      <c r="E625" t="s">
        <v>1788</v>
      </c>
      <c r="F625" t="s">
        <v>115</v>
      </c>
      <c r="G625" t="s">
        <v>1789</v>
      </c>
      <c r="H625" t="s">
        <v>80</v>
      </c>
      <c r="I625" t="s">
        <v>26</v>
      </c>
      <c r="J625">
        <v>2</v>
      </c>
      <c r="K625">
        <v>483</v>
      </c>
      <c r="L625">
        <v>966</v>
      </c>
      <c r="M625">
        <v>4.5999999999999996</v>
      </c>
      <c r="N625">
        <v>36</v>
      </c>
      <c r="O625">
        <v>999</v>
      </c>
      <c r="P625">
        <v>0</v>
      </c>
      <c r="Q625" t="s">
        <v>27</v>
      </c>
      <c r="R625">
        <v>26</v>
      </c>
      <c r="S625" t="s">
        <v>28</v>
      </c>
    </row>
    <row r="626" spans="1:19" x14ac:dyDescent="0.3">
      <c r="A626" t="s">
        <v>1790</v>
      </c>
      <c r="B626" s="2">
        <v>45495</v>
      </c>
      <c r="C626" t="s">
        <v>59</v>
      </c>
      <c r="D626" t="s">
        <v>44</v>
      </c>
      <c r="E626" t="s">
        <v>1791</v>
      </c>
      <c r="F626" t="s">
        <v>62</v>
      </c>
      <c r="G626" t="s">
        <v>227</v>
      </c>
      <c r="H626" t="s">
        <v>80</v>
      </c>
      <c r="I626" t="s">
        <v>26</v>
      </c>
      <c r="J626">
        <v>3</v>
      </c>
      <c r="K626">
        <v>576</v>
      </c>
      <c r="L626">
        <v>1728</v>
      </c>
      <c r="M626">
        <v>4.2</v>
      </c>
      <c r="N626">
        <v>33</v>
      </c>
      <c r="P626">
        <v>0</v>
      </c>
      <c r="Q626" t="s">
        <v>49</v>
      </c>
      <c r="R626">
        <v>26</v>
      </c>
      <c r="S626" t="s">
        <v>28</v>
      </c>
    </row>
    <row r="627" spans="1:19" x14ac:dyDescent="0.3">
      <c r="A627" t="s">
        <v>1792</v>
      </c>
      <c r="B627" s="2">
        <v>45435</v>
      </c>
      <c r="C627" t="s">
        <v>71</v>
      </c>
      <c r="D627" t="s">
        <v>92</v>
      </c>
      <c r="E627" t="s">
        <v>1793</v>
      </c>
      <c r="F627" t="s">
        <v>46</v>
      </c>
      <c r="G627" t="s">
        <v>1058</v>
      </c>
      <c r="H627" t="s">
        <v>80</v>
      </c>
      <c r="I627" t="s">
        <v>26</v>
      </c>
      <c r="J627">
        <v>1</v>
      </c>
      <c r="K627">
        <v>332</v>
      </c>
      <c r="L627">
        <v>332</v>
      </c>
      <c r="M627">
        <v>4.8</v>
      </c>
      <c r="N627">
        <v>34</v>
      </c>
      <c r="O627">
        <v>700</v>
      </c>
      <c r="P627">
        <v>10</v>
      </c>
      <c r="Q627" t="s">
        <v>49</v>
      </c>
      <c r="R627">
        <v>40</v>
      </c>
      <c r="S627" t="s">
        <v>41</v>
      </c>
    </row>
    <row r="628" spans="1:19" x14ac:dyDescent="0.3">
      <c r="A628" t="s">
        <v>1794</v>
      </c>
      <c r="B628" s="2">
        <v>45509</v>
      </c>
      <c r="C628" t="s">
        <v>82</v>
      </c>
      <c r="D628" t="s">
        <v>44</v>
      </c>
      <c r="E628" t="s">
        <v>1795</v>
      </c>
      <c r="F628" t="s">
        <v>1469</v>
      </c>
      <c r="G628" t="s">
        <v>1796</v>
      </c>
      <c r="H628" t="s">
        <v>80</v>
      </c>
      <c r="I628" t="s">
        <v>26</v>
      </c>
      <c r="J628">
        <v>2</v>
      </c>
      <c r="K628">
        <v>335</v>
      </c>
      <c r="L628">
        <v>670</v>
      </c>
      <c r="M628">
        <v>4.0999999999999996</v>
      </c>
      <c r="N628">
        <v>38</v>
      </c>
      <c r="P628">
        <v>0</v>
      </c>
      <c r="Q628" t="s">
        <v>49</v>
      </c>
      <c r="R628">
        <v>27</v>
      </c>
      <c r="S628" t="s">
        <v>28</v>
      </c>
    </row>
    <row r="629" spans="1:19" x14ac:dyDescent="0.3">
      <c r="A629" t="s">
        <v>1797</v>
      </c>
      <c r="B629" s="2">
        <v>45509</v>
      </c>
      <c r="C629" t="s">
        <v>82</v>
      </c>
      <c r="D629" t="s">
        <v>44</v>
      </c>
      <c r="E629" t="s">
        <v>1798</v>
      </c>
      <c r="F629" t="s">
        <v>78</v>
      </c>
      <c r="G629" t="s">
        <v>1799</v>
      </c>
      <c r="H629" t="s">
        <v>80</v>
      </c>
      <c r="I629" t="s">
        <v>26</v>
      </c>
      <c r="J629">
        <v>2</v>
      </c>
      <c r="K629">
        <v>345</v>
      </c>
      <c r="L629">
        <v>690</v>
      </c>
      <c r="M629">
        <v>4.3</v>
      </c>
      <c r="N629">
        <v>38</v>
      </c>
      <c r="O629">
        <v>900</v>
      </c>
      <c r="P629">
        <v>15</v>
      </c>
      <c r="Q629" t="s">
        <v>49</v>
      </c>
      <c r="R629">
        <v>36</v>
      </c>
      <c r="S629" t="s">
        <v>28</v>
      </c>
    </row>
    <row r="630" spans="1:19" x14ac:dyDescent="0.3">
      <c r="A630" t="s">
        <v>1800</v>
      </c>
      <c r="B630" s="2">
        <v>45467</v>
      </c>
      <c r="C630" t="s">
        <v>30</v>
      </c>
      <c r="D630" t="s">
        <v>44</v>
      </c>
      <c r="E630" t="s">
        <v>1801</v>
      </c>
      <c r="F630" t="s">
        <v>62</v>
      </c>
      <c r="G630" t="s">
        <v>825</v>
      </c>
      <c r="H630" t="s">
        <v>80</v>
      </c>
      <c r="I630" t="s">
        <v>26</v>
      </c>
      <c r="J630">
        <v>3</v>
      </c>
      <c r="K630">
        <v>589</v>
      </c>
      <c r="L630">
        <v>1767</v>
      </c>
      <c r="M630">
        <v>4.4000000000000004</v>
      </c>
      <c r="N630">
        <v>35</v>
      </c>
      <c r="O630">
        <v>999</v>
      </c>
      <c r="P630">
        <v>0</v>
      </c>
      <c r="Q630" t="s">
        <v>34</v>
      </c>
      <c r="R630">
        <v>46</v>
      </c>
      <c r="S630" t="s">
        <v>28</v>
      </c>
    </row>
    <row r="631" spans="1:19" x14ac:dyDescent="0.3">
      <c r="A631" t="s">
        <v>1802</v>
      </c>
      <c r="B631" s="2">
        <v>45376</v>
      </c>
      <c r="C631" t="s">
        <v>55</v>
      </c>
      <c r="D631" t="s">
        <v>44</v>
      </c>
      <c r="E631" t="s">
        <v>1803</v>
      </c>
      <c r="F631" t="s">
        <v>62</v>
      </c>
      <c r="G631" t="s">
        <v>227</v>
      </c>
      <c r="H631" t="s">
        <v>80</v>
      </c>
      <c r="I631" t="s">
        <v>26</v>
      </c>
      <c r="J631">
        <v>1</v>
      </c>
      <c r="K631">
        <v>250</v>
      </c>
      <c r="L631">
        <v>250</v>
      </c>
      <c r="M631">
        <v>4.3</v>
      </c>
      <c r="N631">
        <v>39</v>
      </c>
      <c r="P631">
        <v>0</v>
      </c>
      <c r="Q631" t="s">
        <v>49</v>
      </c>
      <c r="R631">
        <v>32</v>
      </c>
      <c r="S631" t="s">
        <v>28</v>
      </c>
    </row>
    <row r="632" spans="1:19" x14ac:dyDescent="0.3">
      <c r="A632" t="s">
        <v>1804</v>
      </c>
      <c r="B632" s="2">
        <v>45330</v>
      </c>
      <c r="C632" t="s">
        <v>113</v>
      </c>
      <c r="D632" t="s">
        <v>92</v>
      </c>
      <c r="E632" t="s">
        <v>1805</v>
      </c>
      <c r="F632" t="s">
        <v>62</v>
      </c>
      <c r="G632" t="s">
        <v>227</v>
      </c>
      <c r="H632" t="s">
        <v>80</v>
      </c>
      <c r="I632" t="s">
        <v>26</v>
      </c>
      <c r="J632">
        <v>2</v>
      </c>
      <c r="K632">
        <v>195</v>
      </c>
      <c r="L632">
        <v>390</v>
      </c>
      <c r="M632">
        <v>4.0999999999999996</v>
      </c>
      <c r="N632">
        <v>38</v>
      </c>
      <c r="P632">
        <v>0</v>
      </c>
      <c r="Q632" t="s">
        <v>27</v>
      </c>
      <c r="R632">
        <v>22</v>
      </c>
      <c r="S632" t="s">
        <v>28</v>
      </c>
    </row>
    <row r="633" spans="1:19" x14ac:dyDescent="0.3">
      <c r="A633" t="s">
        <v>1806</v>
      </c>
      <c r="B633" s="2">
        <v>45391</v>
      </c>
      <c r="C633" t="s">
        <v>20</v>
      </c>
      <c r="D633" t="s">
        <v>36</v>
      </c>
      <c r="E633" t="s">
        <v>1807</v>
      </c>
      <c r="F633" t="s">
        <v>1808</v>
      </c>
      <c r="G633" t="s">
        <v>1809</v>
      </c>
      <c r="H633" t="s">
        <v>80</v>
      </c>
      <c r="I633" t="s">
        <v>26</v>
      </c>
      <c r="J633">
        <v>4</v>
      </c>
      <c r="K633">
        <v>595</v>
      </c>
      <c r="L633">
        <v>2380</v>
      </c>
      <c r="M633">
        <v>4</v>
      </c>
      <c r="N633">
        <v>30</v>
      </c>
      <c r="P633">
        <v>0</v>
      </c>
      <c r="Q633" t="s">
        <v>75</v>
      </c>
      <c r="R633">
        <v>32</v>
      </c>
      <c r="S633" t="s">
        <v>28</v>
      </c>
    </row>
    <row r="634" spans="1:19" x14ac:dyDescent="0.3">
      <c r="A634" t="s">
        <v>1810</v>
      </c>
      <c r="B634" s="2">
        <v>45324</v>
      </c>
      <c r="C634" t="s">
        <v>113</v>
      </c>
      <c r="D634" t="s">
        <v>21</v>
      </c>
      <c r="E634" t="s">
        <v>1811</v>
      </c>
      <c r="F634" t="s">
        <v>713</v>
      </c>
      <c r="G634" t="s">
        <v>373</v>
      </c>
      <c r="H634" t="s">
        <v>80</v>
      </c>
      <c r="I634" t="s">
        <v>26</v>
      </c>
      <c r="J634">
        <v>4</v>
      </c>
      <c r="K634">
        <v>405</v>
      </c>
      <c r="L634">
        <v>1620</v>
      </c>
      <c r="M634">
        <v>4.3</v>
      </c>
      <c r="N634">
        <v>38</v>
      </c>
      <c r="P634">
        <v>0</v>
      </c>
      <c r="Q634" t="s">
        <v>49</v>
      </c>
      <c r="R634">
        <v>37</v>
      </c>
      <c r="S634" t="s">
        <v>28</v>
      </c>
    </row>
    <row r="635" spans="1:19" x14ac:dyDescent="0.3">
      <c r="A635" t="s">
        <v>1812</v>
      </c>
      <c r="B635" s="2">
        <v>45513</v>
      </c>
      <c r="C635" t="s">
        <v>82</v>
      </c>
      <c r="D635" t="s">
        <v>21</v>
      </c>
      <c r="E635" t="s">
        <v>1813</v>
      </c>
      <c r="F635" t="s">
        <v>115</v>
      </c>
      <c r="G635" t="s">
        <v>109</v>
      </c>
      <c r="H635" t="s">
        <v>64</v>
      </c>
      <c r="I635" t="s">
        <v>26</v>
      </c>
      <c r="J635">
        <v>4</v>
      </c>
      <c r="K635">
        <v>593</v>
      </c>
      <c r="L635">
        <v>2372</v>
      </c>
      <c r="M635">
        <v>4.4000000000000004</v>
      </c>
      <c r="N635">
        <v>31</v>
      </c>
      <c r="P635">
        <v>0</v>
      </c>
      <c r="Q635" t="s">
        <v>34</v>
      </c>
      <c r="R635">
        <v>49</v>
      </c>
      <c r="S635" t="s">
        <v>41</v>
      </c>
    </row>
    <row r="636" spans="1:19" x14ac:dyDescent="0.3">
      <c r="A636" t="s">
        <v>1814</v>
      </c>
      <c r="B636" s="2">
        <v>45392</v>
      </c>
      <c r="C636" t="s">
        <v>20</v>
      </c>
      <c r="D636" t="s">
        <v>72</v>
      </c>
      <c r="E636" t="s">
        <v>1815</v>
      </c>
      <c r="F636" t="s">
        <v>115</v>
      </c>
      <c r="G636" t="s">
        <v>1629</v>
      </c>
      <c r="H636" t="s">
        <v>53</v>
      </c>
      <c r="I636" t="s">
        <v>26</v>
      </c>
      <c r="J636">
        <v>1</v>
      </c>
      <c r="K636">
        <v>396</v>
      </c>
      <c r="L636">
        <v>396</v>
      </c>
      <c r="M636">
        <v>4.4000000000000004</v>
      </c>
      <c r="N636">
        <v>30</v>
      </c>
      <c r="P636">
        <v>0</v>
      </c>
      <c r="Q636" t="s">
        <v>27</v>
      </c>
      <c r="R636">
        <v>40</v>
      </c>
      <c r="S636" t="s">
        <v>41</v>
      </c>
    </row>
    <row r="637" spans="1:19" x14ac:dyDescent="0.3">
      <c r="A637" t="s">
        <v>1816</v>
      </c>
      <c r="B637" s="2">
        <v>45314</v>
      </c>
      <c r="C637" t="s">
        <v>43</v>
      </c>
      <c r="D637" t="s">
        <v>36</v>
      </c>
      <c r="E637" t="s">
        <v>1817</v>
      </c>
      <c r="F637" t="s">
        <v>62</v>
      </c>
      <c r="G637" t="s">
        <v>1818</v>
      </c>
      <c r="H637" t="s">
        <v>64</v>
      </c>
      <c r="I637" t="s">
        <v>26</v>
      </c>
      <c r="J637">
        <v>2</v>
      </c>
      <c r="K637">
        <v>275</v>
      </c>
      <c r="L637">
        <v>550</v>
      </c>
      <c r="M637">
        <v>4.3</v>
      </c>
      <c r="N637">
        <v>36</v>
      </c>
      <c r="P637">
        <v>0</v>
      </c>
      <c r="Q637" t="s">
        <v>75</v>
      </c>
      <c r="R637">
        <v>47</v>
      </c>
      <c r="S637" t="s">
        <v>28</v>
      </c>
    </row>
    <row r="638" spans="1:19" x14ac:dyDescent="0.3">
      <c r="A638" t="s">
        <v>1819</v>
      </c>
      <c r="B638" s="2">
        <v>45301</v>
      </c>
      <c r="C638" t="s">
        <v>43</v>
      </c>
      <c r="D638" t="s">
        <v>72</v>
      </c>
      <c r="E638" t="s">
        <v>1820</v>
      </c>
      <c r="F638" t="s">
        <v>192</v>
      </c>
      <c r="G638" t="s">
        <v>1821</v>
      </c>
      <c r="H638" t="s">
        <v>64</v>
      </c>
      <c r="I638" t="s">
        <v>26</v>
      </c>
      <c r="J638">
        <v>4</v>
      </c>
      <c r="K638">
        <v>367</v>
      </c>
      <c r="L638">
        <v>1468</v>
      </c>
      <c r="M638">
        <v>4.2</v>
      </c>
      <c r="N638">
        <v>49</v>
      </c>
      <c r="O638">
        <v>1099</v>
      </c>
      <c r="P638">
        <v>0</v>
      </c>
      <c r="Q638" t="s">
        <v>75</v>
      </c>
      <c r="R638">
        <v>42</v>
      </c>
      <c r="S638" t="s">
        <v>28</v>
      </c>
    </row>
    <row r="639" spans="1:19" x14ac:dyDescent="0.3">
      <c r="A639" t="s">
        <v>1822</v>
      </c>
      <c r="B639" s="2">
        <v>45360</v>
      </c>
      <c r="C639" t="s">
        <v>55</v>
      </c>
      <c r="D639" t="s">
        <v>100</v>
      </c>
      <c r="E639" t="s">
        <v>1823</v>
      </c>
      <c r="F639" t="s">
        <v>78</v>
      </c>
      <c r="G639" t="s">
        <v>1824</v>
      </c>
      <c r="H639" t="s">
        <v>40</v>
      </c>
      <c r="I639" t="s">
        <v>26</v>
      </c>
      <c r="J639">
        <v>1</v>
      </c>
      <c r="K639">
        <v>337</v>
      </c>
      <c r="L639">
        <v>337</v>
      </c>
      <c r="M639">
        <v>4.5</v>
      </c>
      <c r="N639">
        <v>55</v>
      </c>
      <c r="O639">
        <v>900</v>
      </c>
      <c r="P639">
        <v>15</v>
      </c>
      <c r="Q639" t="s">
        <v>49</v>
      </c>
      <c r="R639">
        <v>45</v>
      </c>
      <c r="S639" t="s">
        <v>41</v>
      </c>
    </row>
    <row r="640" spans="1:19" x14ac:dyDescent="0.3">
      <c r="A640" t="s">
        <v>1825</v>
      </c>
      <c r="B640" s="2">
        <v>45391</v>
      </c>
      <c r="C640" t="s">
        <v>20</v>
      </c>
      <c r="D640" t="s">
        <v>36</v>
      </c>
      <c r="E640" t="s">
        <v>1826</v>
      </c>
      <c r="F640" t="s">
        <v>192</v>
      </c>
      <c r="G640" t="s">
        <v>1719</v>
      </c>
      <c r="H640" t="s">
        <v>80</v>
      </c>
      <c r="I640" t="s">
        <v>26</v>
      </c>
      <c r="J640">
        <v>4</v>
      </c>
      <c r="K640">
        <v>309</v>
      </c>
      <c r="L640">
        <v>1236</v>
      </c>
      <c r="M640">
        <v>3.5</v>
      </c>
      <c r="N640">
        <v>59</v>
      </c>
      <c r="O640">
        <v>999</v>
      </c>
      <c r="P640">
        <v>0</v>
      </c>
      <c r="Q640" t="s">
        <v>75</v>
      </c>
      <c r="R640">
        <v>19</v>
      </c>
      <c r="S640" t="s">
        <v>41</v>
      </c>
    </row>
    <row r="641" spans="1:19" x14ac:dyDescent="0.3">
      <c r="A641" t="s">
        <v>1827</v>
      </c>
      <c r="B641" s="2">
        <v>45325</v>
      </c>
      <c r="C641" t="s">
        <v>113</v>
      </c>
      <c r="D641" t="s">
        <v>100</v>
      </c>
      <c r="E641" t="s">
        <v>1828</v>
      </c>
      <c r="F641" t="s">
        <v>192</v>
      </c>
      <c r="G641" t="s">
        <v>109</v>
      </c>
      <c r="H641" t="s">
        <v>64</v>
      </c>
      <c r="I641" t="s">
        <v>26</v>
      </c>
      <c r="J641">
        <v>3</v>
      </c>
      <c r="K641">
        <v>536</v>
      </c>
      <c r="L641">
        <v>1608</v>
      </c>
      <c r="M641">
        <v>4.5</v>
      </c>
      <c r="N641">
        <v>51</v>
      </c>
      <c r="P641">
        <v>0</v>
      </c>
      <c r="Q641" t="s">
        <v>49</v>
      </c>
      <c r="R641">
        <v>30</v>
      </c>
      <c r="S641" t="s">
        <v>41</v>
      </c>
    </row>
    <row r="642" spans="1:19" x14ac:dyDescent="0.3">
      <c r="A642" t="s">
        <v>1829</v>
      </c>
      <c r="B642" s="2">
        <v>45471</v>
      </c>
      <c r="C642" t="s">
        <v>30</v>
      </c>
      <c r="D642" t="s">
        <v>21</v>
      </c>
      <c r="E642" t="s">
        <v>1830</v>
      </c>
      <c r="F642" t="s">
        <v>1831</v>
      </c>
      <c r="G642" t="s">
        <v>48</v>
      </c>
      <c r="H642" t="s">
        <v>48</v>
      </c>
      <c r="I642" t="s">
        <v>33</v>
      </c>
      <c r="J642">
        <v>2</v>
      </c>
      <c r="K642">
        <v>588</v>
      </c>
      <c r="L642">
        <v>1176</v>
      </c>
      <c r="M642">
        <v>4.2</v>
      </c>
      <c r="N642">
        <v>44</v>
      </c>
      <c r="P642">
        <v>0</v>
      </c>
      <c r="Q642" t="s">
        <v>49</v>
      </c>
      <c r="R642">
        <v>41</v>
      </c>
      <c r="S642" t="s">
        <v>41</v>
      </c>
    </row>
    <row r="643" spans="1:19" x14ac:dyDescent="0.3">
      <c r="A643" t="s">
        <v>1832</v>
      </c>
      <c r="B643" s="2">
        <v>45514</v>
      </c>
      <c r="C643" t="s">
        <v>82</v>
      </c>
      <c r="D643" t="s">
        <v>100</v>
      </c>
      <c r="E643" t="s">
        <v>1833</v>
      </c>
      <c r="F643" t="s">
        <v>87</v>
      </c>
      <c r="G643" t="s">
        <v>1834</v>
      </c>
      <c r="H643" t="s">
        <v>80</v>
      </c>
      <c r="I643" t="s">
        <v>26</v>
      </c>
      <c r="J643">
        <v>2</v>
      </c>
      <c r="K643">
        <v>282</v>
      </c>
      <c r="L643">
        <v>564</v>
      </c>
      <c r="M643">
        <v>3.6</v>
      </c>
      <c r="N643">
        <v>42</v>
      </c>
      <c r="P643">
        <v>0</v>
      </c>
      <c r="Q643" t="s">
        <v>27</v>
      </c>
      <c r="R643">
        <v>33</v>
      </c>
      <c r="S643" t="s">
        <v>41</v>
      </c>
    </row>
    <row r="644" spans="1:19" x14ac:dyDescent="0.3">
      <c r="A644" t="s">
        <v>1835</v>
      </c>
      <c r="B644" s="2">
        <v>45429</v>
      </c>
      <c r="C644" t="s">
        <v>71</v>
      </c>
      <c r="D644" t="s">
        <v>21</v>
      </c>
      <c r="E644" t="s">
        <v>1836</v>
      </c>
      <c r="F644" t="s">
        <v>736</v>
      </c>
      <c r="G644" t="s">
        <v>1837</v>
      </c>
      <c r="H644" t="s">
        <v>48</v>
      </c>
      <c r="I644" t="s">
        <v>33</v>
      </c>
      <c r="J644">
        <v>1</v>
      </c>
      <c r="K644">
        <v>299</v>
      </c>
      <c r="L644">
        <v>299</v>
      </c>
      <c r="M644">
        <v>4.2</v>
      </c>
      <c r="N644">
        <v>57</v>
      </c>
      <c r="O644">
        <v>449</v>
      </c>
      <c r="P644">
        <v>0</v>
      </c>
      <c r="Q644" t="s">
        <v>27</v>
      </c>
      <c r="R644">
        <v>32</v>
      </c>
      <c r="S644" t="s">
        <v>28</v>
      </c>
    </row>
    <row r="645" spans="1:19" x14ac:dyDescent="0.3">
      <c r="A645" t="s">
        <v>1838</v>
      </c>
      <c r="B645" s="2">
        <v>45438</v>
      </c>
      <c r="C645" t="s">
        <v>71</v>
      </c>
      <c r="D645" t="s">
        <v>60</v>
      </c>
      <c r="E645" t="s">
        <v>1839</v>
      </c>
      <c r="F645" t="s">
        <v>62</v>
      </c>
      <c r="G645" t="s">
        <v>1840</v>
      </c>
      <c r="H645" t="s">
        <v>80</v>
      </c>
      <c r="I645" t="s">
        <v>26</v>
      </c>
      <c r="J645">
        <v>1</v>
      </c>
      <c r="K645">
        <v>153</v>
      </c>
      <c r="L645">
        <v>153</v>
      </c>
      <c r="M645">
        <v>4.5</v>
      </c>
      <c r="N645">
        <v>49</v>
      </c>
      <c r="P645">
        <v>0</v>
      </c>
      <c r="Q645" t="s">
        <v>34</v>
      </c>
      <c r="R645">
        <v>42</v>
      </c>
      <c r="S645" t="s">
        <v>41</v>
      </c>
    </row>
    <row r="646" spans="1:19" x14ac:dyDescent="0.3">
      <c r="A646" t="s">
        <v>1841</v>
      </c>
      <c r="B646" s="2">
        <v>45477</v>
      </c>
      <c r="C646" t="s">
        <v>59</v>
      </c>
      <c r="D646" t="s">
        <v>92</v>
      </c>
      <c r="E646" t="s">
        <v>1842</v>
      </c>
      <c r="F646" t="s">
        <v>115</v>
      </c>
      <c r="G646" t="s">
        <v>1843</v>
      </c>
      <c r="H646" t="s">
        <v>80</v>
      </c>
      <c r="I646" t="s">
        <v>26</v>
      </c>
      <c r="J646">
        <v>2</v>
      </c>
      <c r="K646">
        <v>160</v>
      </c>
      <c r="L646">
        <v>320</v>
      </c>
      <c r="M646">
        <v>3.8</v>
      </c>
      <c r="N646">
        <v>45</v>
      </c>
      <c r="P646">
        <v>0</v>
      </c>
      <c r="Q646" t="s">
        <v>27</v>
      </c>
      <c r="R646">
        <v>27</v>
      </c>
      <c r="S646" t="s">
        <v>41</v>
      </c>
    </row>
    <row r="647" spans="1:19" x14ac:dyDescent="0.3">
      <c r="A647" t="s">
        <v>1844</v>
      </c>
      <c r="B647" s="2">
        <v>45387</v>
      </c>
      <c r="C647" t="s">
        <v>20</v>
      </c>
      <c r="D647" t="s">
        <v>21</v>
      </c>
      <c r="E647" t="s">
        <v>1845</v>
      </c>
      <c r="F647" t="s">
        <v>824</v>
      </c>
      <c r="G647" t="s">
        <v>1846</v>
      </c>
      <c r="H647" t="s">
        <v>48</v>
      </c>
      <c r="I647" t="s">
        <v>33</v>
      </c>
      <c r="J647">
        <v>4</v>
      </c>
      <c r="K647">
        <v>426</v>
      </c>
      <c r="L647">
        <v>1704</v>
      </c>
      <c r="M647">
        <v>4.0999999999999996</v>
      </c>
      <c r="N647">
        <v>62</v>
      </c>
      <c r="O647">
        <v>900</v>
      </c>
      <c r="P647">
        <v>15</v>
      </c>
      <c r="Q647" t="s">
        <v>27</v>
      </c>
      <c r="R647">
        <v>31</v>
      </c>
      <c r="S647" t="s">
        <v>41</v>
      </c>
    </row>
    <row r="648" spans="1:19" x14ac:dyDescent="0.3">
      <c r="A648" t="s">
        <v>1847</v>
      </c>
      <c r="B648" s="2">
        <v>45292</v>
      </c>
      <c r="C648" t="s">
        <v>43</v>
      </c>
      <c r="D648" t="s">
        <v>44</v>
      </c>
      <c r="E648" t="s">
        <v>1848</v>
      </c>
      <c r="F648" t="s">
        <v>78</v>
      </c>
      <c r="G648" t="s">
        <v>1849</v>
      </c>
      <c r="H648" t="s">
        <v>80</v>
      </c>
      <c r="I648" t="s">
        <v>26</v>
      </c>
      <c r="J648">
        <v>4</v>
      </c>
      <c r="K648">
        <v>550</v>
      </c>
      <c r="L648">
        <v>2200</v>
      </c>
      <c r="M648">
        <v>4</v>
      </c>
      <c r="N648">
        <v>52</v>
      </c>
      <c r="P648">
        <v>0</v>
      </c>
      <c r="Q648" t="s">
        <v>49</v>
      </c>
      <c r="R648">
        <v>27</v>
      </c>
      <c r="S648" t="s">
        <v>28</v>
      </c>
    </row>
    <row r="649" spans="1:19" x14ac:dyDescent="0.3">
      <c r="A649" t="s">
        <v>1850</v>
      </c>
      <c r="B649" s="2">
        <v>45360</v>
      </c>
      <c r="C649" t="s">
        <v>55</v>
      </c>
      <c r="D649" t="s">
        <v>100</v>
      </c>
      <c r="E649" t="s">
        <v>1851</v>
      </c>
      <c r="F649" t="s">
        <v>78</v>
      </c>
      <c r="G649" t="s">
        <v>1852</v>
      </c>
      <c r="H649" t="s">
        <v>80</v>
      </c>
      <c r="I649" t="s">
        <v>26</v>
      </c>
      <c r="J649">
        <v>3</v>
      </c>
      <c r="K649">
        <v>457</v>
      </c>
      <c r="L649">
        <v>1371</v>
      </c>
      <c r="M649">
        <v>4.3</v>
      </c>
      <c r="N649">
        <v>51</v>
      </c>
      <c r="O649">
        <v>449</v>
      </c>
      <c r="P649">
        <v>0</v>
      </c>
      <c r="Q649" t="s">
        <v>27</v>
      </c>
      <c r="R649">
        <v>42</v>
      </c>
      <c r="S649" t="s">
        <v>28</v>
      </c>
    </row>
    <row r="650" spans="1:19" x14ac:dyDescent="0.3">
      <c r="A650" t="s">
        <v>1853</v>
      </c>
      <c r="B650" s="2">
        <v>45528</v>
      </c>
      <c r="C650" t="s">
        <v>82</v>
      </c>
      <c r="D650" t="s">
        <v>100</v>
      </c>
      <c r="E650" t="s">
        <v>1854</v>
      </c>
      <c r="F650" t="s">
        <v>578</v>
      </c>
      <c r="G650" t="s">
        <v>1855</v>
      </c>
      <c r="H650" t="s">
        <v>80</v>
      </c>
      <c r="I650" t="s">
        <v>26</v>
      </c>
      <c r="J650">
        <v>4</v>
      </c>
      <c r="K650">
        <v>433</v>
      </c>
      <c r="L650">
        <v>1732</v>
      </c>
      <c r="M650">
        <v>4.3</v>
      </c>
      <c r="N650">
        <v>53</v>
      </c>
      <c r="P650">
        <v>0</v>
      </c>
      <c r="Q650" t="s">
        <v>49</v>
      </c>
      <c r="R650">
        <v>31</v>
      </c>
      <c r="S650" t="s">
        <v>28</v>
      </c>
    </row>
    <row r="651" spans="1:19" x14ac:dyDescent="0.3">
      <c r="A651" t="s">
        <v>1856</v>
      </c>
      <c r="B651" s="2">
        <v>45295</v>
      </c>
      <c r="C651" t="s">
        <v>43</v>
      </c>
      <c r="D651" t="s">
        <v>92</v>
      </c>
      <c r="E651" t="s">
        <v>1857</v>
      </c>
      <c r="F651" t="s">
        <v>78</v>
      </c>
      <c r="G651" t="s">
        <v>1858</v>
      </c>
      <c r="H651" t="s">
        <v>64</v>
      </c>
      <c r="I651" t="s">
        <v>26</v>
      </c>
      <c r="J651">
        <v>1</v>
      </c>
      <c r="K651">
        <v>194</v>
      </c>
      <c r="L651">
        <v>194</v>
      </c>
      <c r="M651">
        <v>4.5999999999999996</v>
      </c>
      <c r="N651">
        <v>59</v>
      </c>
      <c r="O651">
        <v>249</v>
      </c>
      <c r="P651">
        <v>0</v>
      </c>
      <c r="Q651" t="s">
        <v>49</v>
      </c>
      <c r="R651">
        <v>43</v>
      </c>
      <c r="S651" t="s">
        <v>28</v>
      </c>
    </row>
    <row r="652" spans="1:19" x14ac:dyDescent="0.3">
      <c r="A652" t="s">
        <v>1859</v>
      </c>
      <c r="B652" s="2">
        <v>45307</v>
      </c>
      <c r="C652" t="s">
        <v>43</v>
      </c>
      <c r="D652" t="s">
        <v>36</v>
      </c>
      <c r="E652" t="s">
        <v>1860</v>
      </c>
      <c r="F652" t="s">
        <v>192</v>
      </c>
      <c r="G652" t="s">
        <v>1861</v>
      </c>
      <c r="H652" t="s">
        <v>53</v>
      </c>
      <c r="I652" t="s">
        <v>26</v>
      </c>
      <c r="J652">
        <v>1</v>
      </c>
      <c r="K652">
        <v>560</v>
      </c>
      <c r="L652">
        <v>560</v>
      </c>
      <c r="M652">
        <v>4.0999999999999996</v>
      </c>
      <c r="N652">
        <v>47</v>
      </c>
      <c r="P652">
        <v>0</v>
      </c>
      <c r="Q652" t="s">
        <v>27</v>
      </c>
      <c r="R652">
        <v>47</v>
      </c>
      <c r="S652" t="s">
        <v>28</v>
      </c>
    </row>
    <row r="653" spans="1:19" x14ac:dyDescent="0.3">
      <c r="A653" t="s">
        <v>1862</v>
      </c>
      <c r="B653" s="2">
        <v>45315</v>
      </c>
      <c r="C653" t="s">
        <v>43</v>
      </c>
      <c r="D653" t="s">
        <v>72</v>
      </c>
      <c r="E653" t="s">
        <v>1863</v>
      </c>
      <c r="F653" t="s">
        <v>46</v>
      </c>
      <c r="G653" t="s">
        <v>154</v>
      </c>
      <c r="H653" t="s">
        <v>80</v>
      </c>
      <c r="I653" t="s">
        <v>26</v>
      </c>
      <c r="J653">
        <v>4</v>
      </c>
      <c r="K653">
        <v>398</v>
      </c>
      <c r="L653">
        <v>1592</v>
      </c>
      <c r="M653">
        <v>4.0999999999999996</v>
      </c>
      <c r="N653">
        <v>43</v>
      </c>
      <c r="P653">
        <v>0</v>
      </c>
      <c r="Q653" t="s">
        <v>34</v>
      </c>
      <c r="R653">
        <v>40</v>
      </c>
      <c r="S653" t="s">
        <v>28</v>
      </c>
    </row>
    <row r="654" spans="1:19" x14ac:dyDescent="0.3">
      <c r="A654" t="s">
        <v>1864</v>
      </c>
      <c r="B654" s="2">
        <v>45371</v>
      </c>
      <c r="C654" t="s">
        <v>55</v>
      </c>
      <c r="D654" t="s">
        <v>72</v>
      </c>
      <c r="E654" t="s">
        <v>1865</v>
      </c>
      <c r="F654" t="s">
        <v>46</v>
      </c>
      <c r="G654" t="s">
        <v>161</v>
      </c>
      <c r="H654" t="s">
        <v>80</v>
      </c>
      <c r="I654" t="s">
        <v>26</v>
      </c>
      <c r="J654">
        <v>1</v>
      </c>
      <c r="K654">
        <v>295</v>
      </c>
      <c r="L654">
        <v>295</v>
      </c>
      <c r="M654">
        <v>4.8</v>
      </c>
      <c r="N654">
        <v>69</v>
      </c>
      <c r="P654">
        <v>0</v>
      </c>
      <c r="Q654" t="s">
        <v>34</v>
      </c>
      <c r="R654">
        <v>48</v>
      </c>
      <c r="S654" t="s">
        <v>41</v>
      </c>
    </row>
    <row r="655" spans="1:19" x14ac:dyDescent="0.3">
      <c r="A655" t="s">
        <v>1866</v>
      </c>
      <c r="B655" s="2">
        <v>45293</v>
      </c>
      <c r="C655" t="s">
        <v>43</v>
      </c>
      <c r="D655" t="s">
        <v>36</v>
      </c>
      <c r="E655" t="s">
        <v>1867</v>
      </c>
      <c r="F655" t="s">
        <v>46</v>
      </c>
      <c r="G655" t="s">
        <v>227</v>
      </c>
      <c r="H655" t="s">
        <v>80</v>
      </c>
      <c r="I655" t="s">
        <v>26</v>
      </c>
      <c r="J655">
        <v>2</v>
      </c>
      <c r="K655">
        <v>503</v>
      </c>
      <c r="L655">
        <v>1006</v>
      </c>
      <c r="M655">
        <v>4.3</v>
      </c>
      <c r="N655">
        <v>43</v>
      </c>
      <c r="P655">
        <v>0</v>
      </c>
      <c r="Q655" t="s">
        <v>75</v>
      </c>
      <c r="R655">
        <v>26</v>
      </c>
      <c r="S655" t="s">
        <v>28</v>
      </c>
    </row>
    <row r="656" spans="1:19" x14ac:dyDescent="0.3">
      <c r="A656" t="s">
        <v>1868</v>
      </c>
      <c r="B656" s="2">
        <v>45511</v>
      </c>
      <c r="C656" t="s">
        <v>82</v>
      </c>
      <c r="D656" t="s">
        <v>72</v>
      </c>
      <c r="E656" t="s">
        <v>1869</v>
      </c>
      <c r="F656" t="s">
        <v>78</v>
      </c>
      <c r="G656" t="s">
        <v>63</v>
      </c>
      <c r="H656" t="s">
        <v>64</v>
      </c>
      <c r="I656" t="s">
        <v>26</v>
      </c>
      <c r="J656">
        <v>2</v>
      </c>
      <c r="K656">
        <v>269</v>
      </c>
      <c r="L656">
        <v>538</v>
      </c>
      <c r="M656">
        <v>4.5</v>
      </c>
      <c r="N656">
        <v>51</v>
      </c>
      <c r="O656">
        <v>50</v>
      </c>
      <c r="P656">
        <v>20</v>
      </c>
      <c r="Q656" t="s">
        <v>75</v>
      </c>
      <c r="R656">
        <v>42</v>
      </c>
      <c r="S656" t="s">
        <v>28</v>
      </c>
    </row>
    <row r="657" spans="1:19" x14ac:dyDescent="0.3">
      <c r="A657" t="s">
        <v>1870</v>
      </c>
      <c r="B657" s="2">
        <v>45419</v>
      </c>
      <c r="C657" t="s">
        <v>71</v>
      </c>
      <c r="D657" t="s">
        <v>36</v>
      </c>
      <c r="E657" t="s">
        <v>1871</v>
      </c>
      <c r="F657" t="s">
        <v>62</v>
      </c>
      <c r="G657" t="s">
        <v>221</v>
      </c>
      <c r="H657" t="s">
        <v>80</v>
      </c>
      <c r="I657" t="s">
        <v>26</v>
      </c>
      <c r="J657">
        <v>4</v>
      </c>
      <c r="K657">
        <v>392</v>
      </c>
      <c r="L657">
        <v>1568</v>
      </c>
      <c r="M657">
        <v>4.0999999999999996</v>
      </c>
      <c r="N657">
        <v>43</v>
      </c>
      <c r="P657">
        <v>0</v>
      </c>
      <c r="Q657" t="s">
        <v>27</v>
      </c>
      <c r="R657">
        <v>31</v>
      </c>
      <c r="S657" t="s">
        <v>41</v>
      </c>
    </row>
    <row r="658" spans="1:19" x14ac:dyDescent="0.3">
      <c r="A658" t="s">
        <v>1872</v>
      </c>
      <c r="B658" s="2">
        <v>45451</v>
      </c>
      <c r="C658" t="s">
        <v>30</v>
      </c>
      <c r="D658" t="s">
        <v>100</v>
      </c>
      <c r="E658" t="s">
        <v>1873</v>
      </c>
      <c r="F658" t="s">
        <v>1874</v>
      </c>
      <c r="G658" t="s">
        <v>1875</v>
      </c>
      <c r="H658" t="s">
        <v>80</v>
      </c>
      <c r="I658" t="s">
        <v>26</v>
      </c>
      <c r="J658">
        <v>2</v>
      </c>
      <c r="K658">
        <v>444</v>
      </c>
      <c r="L658">
        <v>888</v>
      </c>
      <c r="M658">
        <v>4.0999999999999996</v>
      </c>
      <c r="N658">
        <v>44</v>
      </c>
      <c r="O658">
        <v>499</v>
      </c>
      <c r="P658">
        <v>0</v>
      </c>
      <c r="Q658" t="s">
        <v>34</v>
      </c>
      <c r="R658">
        <v>20</v>
      </c>
      <c r="S658" t="s">
        <v>28</v>
      </c>
    </row>
    <row r="659" spans="1:19" x14ac:dyDescent="0.3">
      <c r="A659" t="s">
        <v>1876</v>
      </c>
      <c r="B659" s="2">
        <v>45510</v>
      </c>
      <c r="C659" t="s">
        <v>82</v>
      </c>
      <c r="D659" t="s">
        <v>36</v>
      </c>
      <c r="E659" t="s">
        <v>1877</v>
      </c>
      <c r="F659" t="s">
        <v>450</v>
      </c>
      <c r="G659" t="s">
        <v>1878</v>
      </c>
      <c r="H659" t="s">
        <v>53</v>
      </c>
      <c r="I659" t="s">
        <v>26</v>
      </c>
      <c r="J659">
        <v>2</v>
      </c>
      <c r="K659">
        <v>227</v>
      </c>
      <c r="L659">
        <v>454</v>
      </c>
      <c r="M659">
        <v>4.3</v>
      </c>
      <c r="N659">
        <v>47</v>
      </c>
      <c r="O659">
        <v>800</v>
      </c>
      <c r="P659">
        <v>10</v>
      </c>
      <c r="Q659" t="s">
        <v>49</v>
      </c>
      <c r="R659">
        <v>37</v>
      </c>
      <c r="S659" t="s">
        <v>41</v>
      </c>
    </row>
    <row r="660" spans="1:19" x14ac:dyDescent="0.3">
      <c r="A660" t="s">
        <v>1879</v>
      </c>
      <c r="B660" s="2">
        <v>45375</v>
      </c>
      <c r="C660" t="s">
        <v>55</v>
      </c>
      <c r="D660" t="s">
        <v>60</v>
      </c>
      <c r="E660" t="s">
        <v>1880</v>
      </c>
      <c r="F660" t="s">
        <v>78</v>
      </c>
      <c r="G660" t="s">
        <v>64</v>
      </c>
      <c r="H660" t="s">
        <v>64</v>
      </c>
      <c r="I660" t="s">
        <v>26</v>
      </c>
      <c r="J660">
        <v>3</v>
      </c>
      <c r="K660">
        <v>258</v>
      </c>
      <c r="L660">
        <v>774</v>
      </c>
      <c r="M660">
        <v>4.5</v>
      </c>
      <c r="N660">
        <v>68</v>
      </c>
      <c r="O660">
        <v>150</v>
      </c>
      <c r="P660">
        <v>30</v>
      </c>
      <c r="Q660" t="s">
        <v>75</v>
      </c>
      <c r="R660">
        <v>33</v>
      </c>
      <c r="S660" t="s">
        <v>41</v>
      </c>
    </row>
    <row r="661" spans="1:19" x14ac:dyDescent="0.3">
      <c r="A661" t="s">
        <v>1881</v>
      </c>
      <c r="B661" s="2">
        <v>45443</v>
      </c>
      <c r="C661" t="s">
        <v>71</v>
      </c>
      <c r="D661" t="s">
        <v>21</v>
      </c>
      <c r="E661" t="s">
        <v>1882</v>
      </c>
      <c r="F661" t="s">
        <v>824</v>
      </c>
      <c r="G661" t="s">
        <v>1883</v>
      </c>
      <c r="H661" t="s">
        <v>40</v>
      </c>
      <c r="I661" t="s">
        <v>26</v>
      </c>
      <c r="J661">
        <v>3</v>
      </c>
      <c r="K661">
        <v>469</v>
      </c>
      <c r="L661">
        <v>1407</v>
      </c>
      <c r="M661">
        <v>4.5</v>
      </c>
      <c r="N661">
        <v>49</v>
      </c>
      <c r="P661">
        <v>0</v>
      </c>
      <c r="Q661" t="s">
        <v>49</v>
      </c>
      <c r="R661">
        <v>19</v>
      </c>
      <c r="S661" t="s">
        <v>28</v>
      </c>
    </row>
    <row r="662" spans="1:19" x14ac:dyDescent="0.3">
      <c r="A662" t="s">
        <v>1884</v>
      </c>
      <c r="B662" s="2">
        <v>45431</v>
      </c>
      <c r="C662" t="s">
        <v>71</v>
      </c>
      <c r="D662" t="s">
        <v>60</v>
      </c>
      <c r="E662" t="s">
        <v>1885</v>
      </c>
      <c r="F662" t="s">
        <v>87</v>
      </c>
      <c r="G662" t="s">
        <v>1886</v>
      </c>
      <c r="H662" t="s">
        <v>80</v>
      </c>
      <c r="I662" t="s">
        <v>26</v>
      </c>
      <c r="J662">
        <v>2</v>
      </c>
      <c r="K662">
        <v>390</v>
      </c>
      <c r="L662">
        <v>780</v>
      </c>
      <c r="M662">
        <v>4.4000000000000004</v>
      </c>
      <c r="N662">
        <v>50</v>
      </c>
      <c r="O662">
        <v>749</v>
      </c>
      <c r="P662">
        <v>0</v>
      </c>
      <c r="Q662" t="s">
        <v>75</v>
      </c>
      <c r="R662">
        <v>27</v>
      </c>
      <c r="S662" t="s">
        <v>41</v>
      </c>
    </row>
    <row r="663" spans="1:19" x14ac:dyDescent="0.3">
      <c r="A663" t="s">
        <v>1887</v>
      </c>
      <c r="B663" s="2">
        <v>45469</v>
      </c>
      <c r="C663" t="s">
        <v>30</v>
      </c>
      <c r="D663" t="s">
        <v>72</v>
      </c>
      <c r="E663" t="s">
        <v>1888</v>
      </c>
      <c r="F663" t="s">
        <v>78</v>
      </c>
      <c r="G663" t="s">
        <v>373</v>
      </c>
      <c r="H663" t="s">
        <v>80</v>
      </c>
      <c r="I663" t="s">
        <v>26</v>
      </c>
      <c r="J663">
        <v>4</v>
      </c>
      <c r="K663">
        <v>466</v>
      </c>
      <c r="L663">
        <v>1864</v>
      </c>
      <c r="M663">
        <v>4.3</v>
      </c>
      <c r="N663">
        <v>50</v>
      </c>
      <c r="P663">
        <v>0</v>
      </c>
      <c r="Q663" t="s">
        <v>27</v>
      </c>
      <c r="R663">
        <v>20</v>
      </c>
      <c r="S663" t="s">
        <v>41</v>
      </c>
    </row>
    <row r="664" spans="1:19" x14ac:dyDescent="0.3">
      <c r="A664" t="s">
        <v>1889</v>
      </c>
      <c r="B664" s="2">
        <v>45454</v>
      </c>
      <c r="C664" t="s">
        <v>30</v>
      </c>
      <c r="D664" t="s">
        <v>36</v>
      </c>
      <c r="E664" t="s">
        <v>1890</v>
      </c>
      <c r="F664" t="s">
        <v>450</v>
      </c>
      <c r="G664" t="s">
        <v>1891</v>
      </c>
      <c r="H664" t="s">
        <v>48</v>
      </c>
      <c r="I664" t="s">
        <v>33</v>
      </c>
      <c r="J664">
        <v>3</v>
      </c>
      <c r="K664">
        <v>538</v>
      </c>
      <c r="L664">
        <v>1614</v>
      </c>
      <c r="M664">
        <v>3.8</v>
      </c>
      <c r="N664">
        <v>47</v>
      </c>
      <c r="O664">
        <v>1000</v>
      </c>
      <c r="P664">
        <v>10</v>
      </c>
      <c r="Q664" t="s">
        <v>34</v>
      </c>
      <c r="R664">
        <v>28</v>
      </c>
      <c r="S664" t="s">
        <v>41</v>
      </c>
    </row>
    <row r="665" spans="1:19" x14ac:dyDescent="0.3">
      <c r="A665" t="s">
        <v>1892</v>
      </c>
      <c r="B665" s="2">
        <v>45415</v>
      </c>
      <c r="C665" t="s">
        <v>71</v>
      </c>
      <c r="D665" t="s">
        <v>21</v>
      </c>
      <c r="E665" t="s">
        <v>1893</v>
      </c>
      <c r="F665" t="s">
        <v>62</v>
      </c>
      <c r="G665" t="s">
        <v>1894</v>
      </c>
      <c r="H665" t="s">
        <v>80</v>
      </c>
      <c r="I665" t="s">
        <v>26</v>
      </c>
      <c r="J665">
        <v>1</v>
      </c>
      <c r="K665">
        <v>408</v>
      </c>
      <c r="L665">
        <v>408</v>
      </c>
      <c r="M665">
        <v>4.0999999999999996</v>
      </c>
      <c r="N665">
        <v>40</v>
      </c>
      <c r="P665">
        <v>0</v>
      </c>
      <c r="Q665" t="s">
        <v>75</v>
      </c>
      <c r="R665">
        <v>28</v>
      </c>
      <c r="S665" t="s">
        <v>41</v>
      </c>
    </row>
    <row r="666" spans="1:19" x14ac:dyDescent="0.3">
      <c r="A666" t="s">
        <v>1895</v>
      </c>
      <c r="B666" s="2">
        <v>45324</v>
      </c>
      <c r="C666" t="s">
        <v>113</v>
      </c>
      <c r="D666" t="s">
        <v>21</v>
      </c>
      <c r="E666" t="s">
        <v>1896</v>
      </c>
      <c r="F666" t="s">
        <v>62</v>
      </c>
      <c r="G666" t="s">
        <v>373</v>
      </c>
      <c r="H666" t="s">
        <v>80</v>
      </c>
      <c r="I666" t="s">
        <v>26</v>
      </c>
      <c r="J666">
        <v>1</v>
      </c>
      <c r="K666">
        <v>331</v>
      </c>
      <c r="L666">
        <v>331</v>
      </c>
      <c r="M666">
        <v>4.4000000000000004</v>
      </c>
      <c r="N666">
        <v>54</v>
      </c>
      <c r="P666">
        <v>0</v>
      </c>
      <c r="Q666" t="s">
        <v>34</v>
      </c>
      <c r="R666">
        <v>38</v>
      </c>
      <c r="S666" t="s">
        <v>28</v>
      </c>
    </row>
    <row r="667" spans="1:19" x14ac:dyDescent="0.3">
      <c r="A667" t="s">
        <v>1897</v>
      </c>
      <c r="B667" s="2">
        <v>45452</v>
      </c>
      <c r="C667" t="s">
        <v>30</v>
      </c>
      <c r="D667" t="s">
        <v>60</v>
      </c>
      <c r="E667" t="s">
        <v>1898</v>
      </c>
      <c r="F667" t="s">
        <v>517</v>
      </c>
      <c r="G667" t="s">
        <v>373</v>
      </c>
      <c r="H667" t="s">
        <v>80</v>
      </c>
      <c r="I667" t="s">
        <v>26</v>
      </c>
      <c r="J667">
        <v>1</v>
      </c>
      <c r="K667">
        <v>500</v>
      </c>
      <c r="L667">
        <v>500</v>
      </c>
      <c r="M667">
        <v>4.3</v>
      </c>
      <c r="N667">
        <v>41</v>
      </c>
      <c r="P667">
        <v>0</v>
      </c>
      <c r="Q667" t="s">
        <v>49</v>
      </c>
      <c r="R667">
        <v>38</v>
      </c>
      <c r="S667" t="s">
        <v>41</v>
      </c>
    </row>
    <row r="668" spans="1:19" x14ac:dyDescent="0.3">
      <c r="A668" t="s">
        <v>1899</v>
      </c>
      <c r="B668" s="2">
        <v>45480</v>
      </c>
      <c r="C668" t="s">
        <v>59</v>
      </c>
      <c r="D668" t="s">
        <v>60</v>
      </c>
      <c r="E668" t="s">
        <v>1900</v>
      </c>
      <c r="F668" t="s">
        <v>925</v>
      </c>
      <c r="G668" t="s">
        <v>1901</v>
      </c>
      <c r="H668" t="s">
        <v>48</v>
      </c>
      <c r="I668" t="s">
        <v>33</v>
      </c>
      <c r="J668">
        <v>4</v>
      </c>
      <c r="K668">
        <v>391</v>
      </c>
      <c r="L668">
        <v>1564</v>
      </c>
      <c r="M668">
        <v>4.5</v>
      </c>
      <c r="N668">
        <v>55</v>
      </c>
      <c r="P668">
        <v>0</v>
      </c>
      <c r="Q668" t="s">
        <v>27</v>
      </c>
      <c r="R668">
        <v>39</v>
      </c>
      <c r="S668" t="s">
        <v>28</v>
      </c>
    </row>
    <row r="669" spans="1:19" x14ac:dyDescent="0.3">
      <c r="A669" t="s">
        <v>1902</v>
      </c>
      <c r="B669" s="2">
        <v>45470</v>
      </c>
      <c r="C669" t="s">
        <v>30</v>
      </c>
      <c r="D669" t="s">
        <v>92</v>
      </c>
      <c r="E669" t="s">
        <v>1903</v>
      </c>
      <c r="F669" t="s">
        <v>78</v>
      </c>
      <c r="G669" t="s">
        <v>1904</v>
      </c>
      <c r="H669" t="s">
        <v>80</v>
      </c>
      <c r="I669" t="s">
        <v>26</v>
      </c>
      <c r="J669">
        <v>2</v>
      </c>
      <c r="K669">
        <v>537</v>
      </c>
      <c r="L669">
        <v>1074</v>
      </c>
      <c r="M669">
        <v>4.4000000000000004</v>
      </c>
      <c r="N669">
        <v>48</v>
      </c>
      <c r="O669">
        <v>1500</v>
      </c>
      <c r="P669">
        <v>10</v>
      </c>
      <c r="Q669" t="s">
        <v>34</v>
      </c>
      <c r="R669">
        <v>30</v>
      </c>
      <c r="S669" t="s">
        <v>41</v>
      </c>
    </row>
    <row r="670" spans="1:19" x14ac:dyDescent="0.3">
      <c r="A670" t="s">
        <v>1905</v>
      </c>
      <c r="B670" s="2">
        <v>45462</v>
      </c>
      <c r="C670" t="s">
        <v>30</v>
      </c>
      <c r="D670" t="s">
        <v>72</v>
      </c>
      <c r="E670" t="s">
        <v>1906</v>
      </c>
      <c r="F670" t="s">
        <v>46</v>
      </c>
      <c r="G670" t="s">
        <v>1907</v>
      </c>
      <c r="H670" t="s">
        <v>80</v>
      </c>
      <c r="I670" t="s">
        <v>26</v>
      </c>
      <c r="J670">
        <v>1</v>
      </c>
      <c r="K670">
        <v>185</v>
      </c>
      <c r="L670">
        <v>185</v>
      </c>
      <c r="M670">
        <v>3.6</v>
      </c>
      <c r="N670">
        <v>63</v>
      </c>
      <c r="O670">
        <v>449</v>
      </c>
      <c r="P670">
        <v>0</v>
      </c>
      <c r="Q670" t="s">
        <v>27</v>
      </c>
      <c r="R670">
        <v>24</v>
      </c>
      <c r="S670" t="s">
        <v>41</v>
      </c>
    </row>
    <row r="671" spans="1:19" x14ac:dyDescent="0.3">
      <c r="A671" t="s">
        <v>1908</v>
      </c>
      <c r="B671" s="2">
        <v>45392</v>
      </c>
      <c r="C671" t="s">
        <v>20</v>
      </c>
      <c r="D671" t="s">
        <v>72</v>
      </c>
      <c r="E671" t="s">
        <v>1909</v>
      </c>
      <c r="F671" t="s">
        <v>713</v>
      </c>
      <c r="G671" t="s">
        <v>1910</v>
      </c>
      <c r="H671" t="s">
        <v>80</v>
      </c>
      <c r="I671" t="s">
        <v>26</v>
      </c>
      <c r="J671">
        <v>4</v>
      </c>
      <c r="K671">
        <v>543</v>
      </c>
      <c r="L671">
        <v>2172</v>
      </c>
      <c r="M671">
        <v>4.5</v>
      </c>
      <c r="N671">
        <v>41</v>
      </c>
      <c r="P671">
        <v>0</v>
      </c>
      <c r="Q671" t="s">
        <v>34</v>
      </c>
      <c r="R671">
        <v>40</v>
      </c>
      <c r="S671" t="s">
        <v>41</v>
      </c>
    </row>
    <row r="672" spans="1:19" x14ac:dyDescent="0.3">
      <c r="A672" t="s">
        <v>1911</v>
      </c>
      <c r="B672" s="2">
        <v>45303</v>
      </c>
      <c r="C672" t="s">
        <v>43</v>
      </c>
      <c r="D672" t="s">
        <v>21</v>
      </c>
      <c r="E672" t="s">
        <v>1912</v>
      </c>
      <c r="F672" t="s">
        <v>115</v>
      </c>
      <c r="G672" t="s">
        <v>1913</v>
      </c>
      <c r="H672" t="s">
        <v>48</v>
      </c>
      <c r="I672" t="s">
        <v>33</v>
      </c>
      <c r="J672">
        <v>3</v>
      </c>
      <c r="K672">
        <v>367</v>
      </c>
      <c r="L672">
        <v>1101</v>
      </c>
      <c r="M672">
        <v>4.4000000000000004</v>
      </c>
      <c r="N672">
        <v>61</v>
      </c>
      <c r="P672">
        <v>0</v>
      </c>
      <c r="Q672" t="s">
        <v>49</v>
      </c>
      <c r="R672">
        <v>34</v>
      </c>
      <c r="S672" t="s">
        <v>28</v>
      </c>
    </row>
    <row r="673" spans="1:19" x14ac:dyDescent="0.3">
      <c r="A673" t="s">
        <v>1914</v>
      </c>
      <c r="B673" s="2">
        <v>45358</v>
      </c>
      <c r="C673" t="s">
        <v>55</v>
      </c>
      <c r="D673" t="s">
        <v>92</v>
      </c>
      <c r="E673" t="s">
        <v>1915</v>
      </c>
      <c r="F673" t="s">
        <v>78</v>
      </c>
      <c r="G673" t="s">
        <v>1821</v>
      </c>
      <c r="H673" t="s">
        <v>64</v>
      </c>
      <c r="I673" t="s">
        <v>26</v>
      </c>
      <c r="J673">
        <v>2</v>
      </c>
      <c r="K673">
        <v>275</v>
      </c>
      <c r="L673">
        <v>550</v>
      </c>
      <c r="M673">
        <v>4.5999999999999996</v>
      </c>
      <c r="N673">
        <v>40</v>
      </c>
      <c r="O673">
        <v>999</v>
      </c>
      <c r="P673">
        <v>0</v>
      </c>
      <c r="Q673" t="s">
        <v>49</v>
      </c>
      <c r="R673">
        <v>49</v>
      </c>
      <c r="S673" t="s">
        <v>28</v>
      </c>
    </row>
    <row r="674" spans="1:19" x14ac:dyDescent="0.3">
      <c r="A674" t="s">
        <v>1916</v>
      </c>
      <c r="B674" s="2">
        <v>45356</v>
      </c>
      <c r="C674" t="s">
        <v>55</v>
      </c>
      <c r="D674" t="s">
        <v>36</v>
      </c>
      <c r="E674" t="s">
        <v>1917</v>
      </c>
      <c r="F674" t="s">
        <v>824</v>
      </c>
      <c r="G674" t="s">
        <v>1918</v>
      </c>
      <c r="H674" t="s">
        <v>80</v>
      </c>
      <c r="I674" t="s">
        <v>26</v>
      </c>
      <c r="J674">
        <v>3</v>
      </c>
      <c r="K674">
        <v>166</v>
      </c>
      <c r="L674">
        <v>498</v>
      </c>
      <c r="M674">
        <v>4.2</v>
      </c>
      <c r="N674">
        <v>53</v>
      </c>
      <c r="P674">
        <v>0</v>
      </c>
      <c r="Q674" t="s">
        <v>27</v>
      </c>
      <c r="R674">
        <v>47</v>
      </c>
      <c r="S674" t="s">
        <v>28</v>
      </c>
    </row>
    <row r="675" spans="1:19" x14ac:dyDescent="0.3">
      <c r="A675" t="s">
        <v>1919</v>
      </c>
      <c r="B675" s="2">
        <v>45452</v>
      </c>
      <c r="C675" t="s">
        <v>30</v>
      </c>
      <c r="D675" t="s">
        <v>60</v>
      </c>
      <c r="E675" t="s">
        <v>1920</v>
      </c>
      <c r="F675" t="s">
        <v>157</v>
      </c>
      <c r="G675" t="s">
        <v>1921</v>
      </c>
      <c r="H675" t="s">
        <v>80</v>
      </c>
      <c r="I675" t="s">
        <v>26</v>
      </c>
      <c r="J675">
        <v>4</v>
      </c>
      <c r="K675">
        <v>542</v>
      </c>
      <c r="L675">
        <v>2168</v>
      </c>
      <c r="M675">
        <v>4.0999999999999996</v>
      </c>
      <c r="N675">
        <v>50</v>
      </c>
      <c r="P675">
        <v>0</v>
      </c>
      <c r="Q675" t="s">
        <v>49</v>
      </c>
      <c r="R675">
        <v>49</v>
      </c>
      <c r="S675" t="s">
        <v>41</v>
      </c>
    </row>
    <row r="676" spans="1:19" x14ac:dyDescent="0.3">
      <c r="A676" t="s">
        <v>1922</v>
      </c>
      <c r="B676" s="2">
        <v>45459</v>
      </c>
      <c r="C676" t="s">
        <v>30</v>
      </c>
      <c r="D676" t="s">
        <v>60</v>
      </c>
      <c r="E676" t="s">
        <v>1923</v>
      </c>
      <c r="F676" t="s">
        <v>115</v>
      </c>
      <c r="G676" t="s">
        <v>373</v>
      </c>
      <c r="H676" t="s">
        <v>80</v>
      </c>
      <c r="I676" t="s">
        <v>26</v>
      </c>
      <c r="J676">
        <v>1</v>
      </c>
      <c r="K676">
        <v>573</v>
      </c>
      <c r="L676">
        <v>573</v>
      </c>
      <c r="M676">
        <v>4.3</v>
      </c>
      <c r="N676">
        <v>52</v>
      </c>
      <c r="O676">
        <v>999</v>
      </c>
      <c r="P676">
        <v>0</v>
      </c>
      <c r="Q676" t="s">
        <v>75</v>
      </c>
      <c r="R676">
        <v>19</v>
      </c>
      <c r="S676" t="s">
        <v>41</v>
      </c>
    </row>
    <row r="677" spans="1:19" x14ac:dyDescent="0.3">
      <c r="A677" t="s">
        <v>1924</v>
      </c>
      <c r="B677" s="2">
        <v>45365</v>
      </c>
      <c r="C677" t="s">
        <v>55</v>
      </c>
      <c r="D677" t="s">
        <v>92</v>
      </c>
      <c r="E677" t="s">
        <v>1925</v>
      </c>
      <c r="F677" t="s">
        <v>87</v>
      </c>
      <c r="G677" t="s">
        <v>221</v>
      </c>
      <c r="H677" t="s">
        <v>80</v>
      </c>
      <c r="I677" t="s">
        <v>26</v>
      </c>
      <c r="J677">
        <v>1</v>
      </c>
      <c r="K677">
        <v>320</v>
      </c>
      <c r="L677">
        <v>320</v>
      </c>
      <c r="M677">
        <v>4.2</v>
      </c>
      <c r="N677">
        <v>43</v>
      </c>
      <c r="P677">
        <v>0</v>
      </c>
      <c r="Q677" t="s">
        <v>34</v>
      </c>
      <c r="R677">
        <v>29</v>
      </c>
      <c r="S677" t="s">
        <v>41</v>
      </c>
    </row>
    <row r="678" spans="1:19" x14ac:dyDescent="0.3">
      <c r="A678" t="s">
        <v>1926</v>
      </c>
      <c r="B678" s="2">
        <v>45334</v>
      </c>
      <c r="C678" t="s">
        <v>113</v>
      </c>
      <c r="D678" t="s">
        <v>44</v>
      </c>
      <c r="E678" t="s">
        <v>1927</v>
      </c>
      <c r="F678" t="s">
        <v>78</v>
      </c>
      <c r="G678" t="s">
        <v>1928</v>
      </c>
      <c r="H678" t="s">
        <v>80</v>
      </c>
      <c r="I678" t="s">
        <v>26</v>
      </c>
      <c r="J678">
        <v>4</v>
      </c>
      <c r="K678">
        <v>267</v>
      </c>
      <c r="L678">
        <v>1068</v>
      </c>
      <c r="M678">
        <v>3.9</v>
      </c>
      <c r="N678">
        <v>62</v>
      </c>
      <c r="P678">
        <v>0</v>
      </c>
      <c r="Q678" t="s">
        <v>49</v>
      </c>
      <c r="R678">
        <v>42</v>
      </c>
      <c r="S678" t="s">
        <v>41</v>
      </c>
    </row>
    <row r="679" spans="1:19" x14ac:dyDescent="0.3">
      <c r="A679" t="s">
        <v>1929</v>
      </c>
      <c r="B679" s="2">
        <v>45335</v>
      </c>
      <c r="C679" t="s">
        <v>113</v>
      </c>
      <c r="D679" t="s">
        <v>36</v>
      </c>
      <c r="E679" t="s">
        <v>1930</v>
      </c>
      <c r="F679" t="s">
        <v>78</v>
      </c>
      <c r="G679" t="s">
        <v>1931</v>
      </c>
      <c r="H679" t="s">
        <v>53</v>
      </c>
      <c r="I679" t="s">
        <v>26</v>
      </c>
      <c r="J679">
        <v>1</v>
      </c>
      <c r="K679">
        <v>243</v>
      </c>
      <c r="L679">
        <v>243</v>
      </c>
      <c r="M679">
        <v>4.0999999999999996</v>
      </c>
      <c r="N679">
        <v>54</v>
      </c>
      <c r="O679">
        <v>499</v>
      </c>
      <c r="P679">
        <v>0</v>
      </c>
      <c r="Q679" t="s">
        <v>75</v>
      </c>
      <c r="R679">
        <v>27</v>
      </c>
      <c r="S679" t="s">
        <v>28</v>
      </c>
    </row>
    <row r="680" spans="1:19" x14ac:dyDescent="0.3">
      <c r="A680" t="s">
        <v>1932</v>
      </c>
      <c r="B680" s="2">
        <v>45320</v>
      </c>
      <c r="C680" t="s">
        <v>43</v>
      </c>
      <c r="D680" t="s">
        <v>44</v>
      </c>
      <c r="E680" t="s">
        <v>1933</v>
      </c>
      <c r="F680" t="s">
        <v>578</v>
      </c>
      <c r="G680" t="s">
        <v>1934</v>
      </c>
      <c r="H680" t="s">
        <v>48</v>
      </c>
      <c r="I680" t="s">
        <v>33</v>
      </c>
      <c r="J680">
        <v>2</v>
      </c>
      <c r="K680">
        <v>120</v>
      </c>
      <c r="L680">
        <v>240</v>
      </c>
      <c r="M680">
        <v>4.2</v>
      </c>
      <c r="N680">
        <v>53</v>
      </c>
      <c r="O680">
        <v>249</v>
      </c>
      <c r="P680">
        <v>0</v>
      </c>
      <c r="Q680" t="s">
        <v>27</v>
      </c>
      <c r="R680">
        <v>35</v>
      </c>
      <c r="S680" t="s">
        <v>41</v>
      </c>
    </row>
    <row r="681" spans="1:19" x14ac:dyDescent="0.3">
      <c r="A681" t="s">
        <v>1935</v>
      </c>
      <c r="B681" s="2">
        <v>45432</v>
      </c>
      <c r="C681" t="s">
        <v>71</v>
      </c>
      <c r="D681" t="s">
        <v>44</v>
      </c>
      <c r="E681" t="s">
        <v>1936</v>
      </c>
      <c r="F681" t="s">
        <v>115</v>
      </c>
      <c r="G681" t="s">
        <v>1937</v>
      </c>
      <c r="H681" t="s">
        <v>80</v>
      </c>
      <c r="I681" t="s">
        <v>26</v>
      </c>
      <c r="J681">
        <v>4</v>
      </c>
      <c r="K681">
        <v>575</v>
      </c>
      <c r="L681">
        <v>2300</v>
      </c>
      <c r="M681">
        <v>4.3</v>
      </c>
      <c r="N681">
        <v>48</v>
      </c>
      <c r="O681">
        <v>100</v>
      </c>
      <c r="P681">
        <v>10</v>
      </c>
      <c r="Q681" t="s">
        <v>75</v>
      </c>
      <c r="R681">
        <v>39</v>
      </c>
      <c r="S681" t="s">
        <v>28</v>
      </c>
    </row>
    <row r="682" spans="1:19" x14ac:dyDescent="0.3">
      <c r="A682" t="s">
        <v>1938</v>
      </c>
      <c r="B682" s="2">
        <v>45303</v>
      </c>
      <c r="C682" t="s">
        <v>43</v>
      </c>
      <c r="D682" t="s">
        <v>21</v>
      </c>
      <c r="E682" t="s">
        <v>1939</v>
      </c>
      <c r="F682" t="s">
        <v>192</v>
      </c>
      <c r="G682" t="s">
        <v>63</v>
      </c>
      <c r="H682" t="s">
        <v>64</v>
      </c>
      <c r="I682" t="s">
        <v>26</v>
      </c>
      <c r="J682">
        <v>3</v>
      </c>
      <c r="K682">
        <v>366</v>
      </c>
      <c r="L682">
        <v>1098</v>
      </c>
      <c r="O682">
        <v>100</v>
      </c>
      <c r="P682">
        <v>50</v>
      </c>
      <c r="Q682" t="s">
        <v>27</v>
      </c>
      <c r="R682">
        <v>44</v>
      </c>
      <c r="S682" t="s">
        <v>41</v>
      </c>
    </row>
    <row r="683" spans="1:19" x14ac:dyDescent="0.3">
      <c r="A683" t="s">
        <v>1940</v>
      </c>
      <c r="B683" s="2">
        <v>45386</v>
      </c>
      <c r="C683" t="s">
        <v>20</v>
      </c>
      <c r="D683" t="s">
        <v>92</v>
      </c>
      <c r="E683" t="s">
        <v>1941</v>
      </c>
      <c r="F683" t="s">
        <v>115</v>
      </c>
      <c r="G683" t="s">
        <v>80</v>
      </c>
      <c r="H683" t="s">
        <v>80</v>
      </c>
      <c r="I683" t="s">
        <v>26</v>
      </c>
      <c r="J683">
        <v>4</v>
      </c>
      <c r="K683">
        <v>462</v>
      </c>
      <c r="L683">
        <v>1848</v>
      </c>
      <c r="P683">
        <v>0</v>
      </c>
      <c r="Q683" t="s">
        <v>27</v>
      </c>
      <c r="R683">
        <v>28</v>
      </c>
      <c r="S683" t="s">
        <v>28</v>
      </c>
    </row>
    <row r="684" spans="1:19" x14ac:dyDescent="0.3">
      <c r="A684" t="s">
        <v>1942</v>
      </c>
      <c r="B684" s="2">
        <v>45337</v>
      </c>
      <c r="C684" t="s">
        <v>113</v>
      </c>
      <c r="D684" t="s">
        <v>92</v>
      </c>
      <c r="E684" t="s">
        <v>1943</v>
      </c>
      <c r="F684" t="s">
        <v>192</v>
      </c>
      <c r="G684" t="s">
        <v>1944</v>
      </c>
      <c r="H684" t="s">
        <v>64</v>
      </c>
      <c r="I684" t="s">
        <v>26</v>
      </c>
      <c r="J684">
        <v>2</v>
      </c>
      <c r="K684">
        <v>247</v>
      </c>
      <c r="L684">
        <v>494</v>
      </c>
      <c r="M684">
        <v>4</v>
      </c>
      <c r="N684">
        <v>50</v>
      </c>
      <c r="O684">
        <v>150</v>
      </c>
      <c r="P684">
        <v>30</v>
      </c>
      <c r="Q684" t="s">
        <v>34</v>
      </c>
      <c r="R684">
        <v>33</v>
      </c>
      <c r="S684" t="s">
        <v>28</v>
      </c>
    </row>
    <row r="685" spans="1:19" x14ac:dyDescent="0.3">
      <c r="A685" t="s">
        <v>1945</v>
      </c>
      <c r="B685" s="2">
        <v>45421</v>
      </c>
      <c r="C685" t="s">
        <v>71</v>
      </c>
      <c r="D685" t="s">
        <v>92</v>
      </c>
      <c r="E685" t="s">
        <v>1946</v>
      </c>
      <c r="F685" t="s">
        <v>62</v>
      </c>
      <c r="G685" t="s">
        <v>186</v>
      </c>
      <c r="H685" t="s">
        <v>80</v>
      </c>
      <c r="I685" t="s">
        <v>26</v>
      </c>
      <c r="J685">
        <v>2</v>
      </c>
      <c r="K685">
        <v>310</v>
      </c>
      <c r="L685">
        <v>620</v>
      </c>
      <c r="M685">
        <v>3.3</v>
      </c>
      <c r="N685">
        <v>42</v>
      </c>
      <c r="P685">
        <v>0</v>
      </c>
      <c r="Q685" t="s">
        <v>34</v>
      </c>
      <c r="R685">
        <v>34</v>
      </c>
      <c r="S685" t="s">
        <v>41</v>
      </c>
    </row>
    <row r="686" spans="1:19" x14ac:dyDescent="0.3">
      <c r="A686" t="s">
        <v>1947</v>
      </c>
      <c r="B686" s="2">
        <v>45326</v>
      </c>
      <c r="C686" t="s">
        <v>113</v>
      </c>
      <c r="D686" t="s">
        <v>60</v>
      </c>
      <c r="E686" t="s">
        <v>1948</v>
      </c>
      <c r="F686" t="s">
        <v>46</v>
      </c>
      <c r="G686" t="s">
        <v>1526</v>
      </c>
      <c r="H686" t="s">
        <v>80</v>
      </c>
      <c r="I686" t="s">
        <v>26</v>
      </c>
      <c r="J686">
        <v>4</v>
      </c>
      <c r="K686">
        <v>186</v>
      </c>
      <c r="L686">
        <v>744</v>
      </c>
      <c r="P686">
        <v>0</v>
      </c>
      <c r="Q686" t="s">
        <v>75</v>
      </c>
      <c r="R686">
        <v>36</v>
      </c>
      <c r="S686" t="s">
        <v>41</v>
      </c>
    </row>
    <row r="687" spans="1:19" x14ac:dyDescent="0.3">
      <c r="A687" t="s">
        <v>1949</v>
      </c>
      <c r="B687" s="2">
        <v>45506</v>
      </c>
      <c r="C687" t="s">
        <v>82</v>
      </c>
      <c r="D687" t="s">
        <v>21</v>
      </c>
      <c r="E687" t="s">
        <v>1950</v>
      </c>
      <c r="F687" t="s">
        <v>450</v>
      </c>
      <c r="G687" t="s">
        <v>1951</v>
      </c>
      <c r="H687" t="s">
        <v>80</v>
      </c>
      <c r="I687" t="s">
        <v>26</v>
      </c>
      <c r="J687">
        <v>4</v>
      </c>
      <c r="K687">
        <v>123</v>
      </c>
      <c r="L687">
        <v>492</v>
      </c>
      <c r="M687">
        <v>4.3</v>
      </c>
      <c r="N687">
        <v>59</v>
      </c>
      <c r="P687">
        <v>0</v>
      </c>
      <c r="Q687" t="s">
        <v>34</v>
      </c>
      <c r="R687">
        <v>35</v>
      </c>
      <c r="S687" t="s">
        <v>28</v>
      </c>
    </row>
    <row r="688" spans="1:19" x14ac:dyDescent="0.3">
      <c r="A688" t="s">
        <v>1952</v>
      </c>
      <c r="B688" s="2">
        <v>45372</v>
      </c>
      <c r="C688" t="s">
        <v>55</v>
      </c>
      <c r="D688" t="s">
        <v>92</v>
      </c>
      <c r="E688" t="s">
        <v>1953</v>
      </c>
      <c r="F688" t="s">
        <v>192</v>
      </c>
      <c r="G688" t="s">
        <v>463</v>
      </c>
      <c r="H688" t="s">
        <v>64</v>
      </c>
      <c r="I688" t="s">
        <v>26</v>
      </c>
      <c r="J688">
        <v>1</v>
      </c>
      <c r="K688">
        <v>561</v>
      </c>
      <c r="L688">
        <v>561</v>
      </c>
      <c r="M688">
        <v>4.0999999999999996</v>
      </c>
      <c r="N688">
        <v>58</v>
      </c>
      <c r="O688">
        <v>80</v>
      </c>
      <c r="P688">
        <v>40</v>
      </c>
      <c r="Q688" t="s">
        <v>34</v>
      </c>
      <c r="R688">
        <v>20</v>
      </c>
      <c r="S688" t="s">
        <v>41</v>
      </c>
    </row>
    <row r="689" spans="1:19" x14ac:dyDescent="0.3">
      <c r="A689" t="s">
        <v>1954</v>
      </c>
      <c r="B689" s="2">
        <v>45381</v>
      </c>
      <c r="C689" t="s">
        <v>55</v>
      </c>
      <c r="D689" t="s">
        <v>100</v>
      </c>
      <c r="E689" t="s">
        <v>1955</v>
      </c>
      <c r="F689" t="s">
        <v>78</v>
      </c>
      <c r="G689" t="s">
        <v>1956</v>
      </c>
      <c r="H689" t="s">
        <v>80</v>
      </c>
      <c r="I689" t="s">
        <v>33</v>
      </c>
      <c r="J689">
        <v>2</v>
      </c>
      <c r="K689">
        <v>528</v>
      </c>
      <c r="L689">
        <v>1056</v>
      </c>
      <c r="M689">
        <v>4.3</v>
      </c>
      <c r="N689">
        <v>64</v>
      </c>
      <c r="O689">
        <v>1099</v>
      </c>
      <c r="P689">
        <v>0</v>
      </c>
      <c r="Q689" t="s">
        <v>34</v>
      </c>
      <c r="R689">
        <v>38</v>
      </c>
      <c r="S689" t="s">
        <v>41</v>
      </c>
    </row>
    <row r="690" spans="1:19" x14ac:dyDescent="0.3">
      <c r="A690" t="s">
        <v>1957</v>
      </c>
      <c r="B690" s="2">
        <v>45299</v>
      </c>
      <c r="C690" t="s">
        <v>43</v>
      </c>
      <c r="D690" t="s">
        <v>44</v>
      </c>
      <c r="E690" t="s">
        <v>1958</v>
      </c>
      <c r="F690" t="s">
        <v>78</v>
      </c>
      <c r="G690" t="s">
        <v>1959</v>
      </c>
      <c r="H690" t="s">
        <v>53</v>
      </c>
      <c r="I690" t="s">
        <v>26</v>
      </c>
      <c r="J690">
        <v>4</v>
      </c>
      <c r="K690">
        <v>422</v>
      </c>
      <c r="L690">
        <v>1688</v>
      </c>
      <c r="M690">
        <v>3.8</v>
      </c>
      <c r="N690">
        <v>60</v>
      </c>
      <c r="P690">
        <v>0</v>
      </c>
      <c r="Q690" t="s">
        <v>75</v>
      </c>
      <c r="R690">
        <v>44</v>
      </c>
      <c r="S690" t="s">
        <v>28</v>
      </c>
    </row>
    <row r="691" spans="1:19" x14ac:dyDescent="0.3">
      <c r="A691" t="s">
        <v>1960</v>
      </c>
      <c r="B691" s="2">
        <v>45384</v>
      </c>
      <c r="C691" t="s">
        <v>20</v>
      </c>
      <c r="D691" t="s">
        <v>36</v>
      </c>
      <c r="E691" t="s">
        <v>1961</v>
      </c>
      <c r="F691" t="s">
        <v>46</v>
      </c>
      <c r="G691" t="s">
        <v>1962</v>
      </c>
      <c r="H691" t="s">
        <v>80</v>
      </c>
      <c r="I691" t="s">
        <v>26</v>
      </c>
      <c r="J691">
        <v>4</v>
      </c>
      <c r="K691">
        <v>413</v>
      </c>
      <c r="L691">
        <v>1652</v>
      </c>
      <c r="M691">
        <v>4.4000000000000004</v>
      </c>
      <c r="N691">
        <v>31</v>
      </c>
      <c r="P691">
        <v>0</v>
      </c>
      <c r="Q691" t="s">
        <v>49</v>
      </c>
      <c r="R691">
        <v>43</v>
      </c>
      <c r="S691" t="s">
        <v>28</v>
      </c>
    </row>
    <row r="692" spans="1:19" x14ac:dyDescent="0.3">
      <c r="A692" t="s">
        <v>1963</v>
      </c>
      <c r="B692" s="2">
        <v>45445</v>
      </c>
      <c r="C692" t="s">
        <v>30</v>
      </c>
      <c r="D692" t="s">
        <v>60</v>
      </c>
      <c r="E692" t="s">
        <v>1964</v>
      </c>
      <c r="F692" t="s">
        <v>713</v>
      </c>
      <c r="G692" t="s">
        <v>154</v>
      </c>
      <c r="H692" t="s">
        <v>80</v>
      </c>
      <c r="I692" t="s">
        <v>26</v>
      </c>
      <c r="J692">
        <v>2</v>
      </c>
      <c r="K692">
        <v>262</v>
      </c>
      <c r="L692">
        <v>524</v>
      </c>
      <c r="M692">
        <v>4.5</v>
      </c>
      <c r="N692">
        <v>35</v>
      </c>
      <c r="P692">
        <v>0</v>
      </c>
      <c r="Q692" t="s">
        <v>34</v>
      </c>
      <c r="R692">
        <v>33</v>
      </c>
      <c r="S692" t="s">
        <v>28</v>
      </c>
    </row>
    <row r="693" spans="1:19" x14ac:dyDescent="0.3">
      <c r="A693" t="s">
        <v>1965</v>
      </c>
      <c r="B693" s="2">
        <v>45493</v>
      </c>
      <c r="C693" t="s">
        <v>59</v>
      </c>
      <c r="D693" t="s">
        <v>100</v>
      </c>
      <c r="E693" t="s">
        <v>1966</v>
      </c>
      <c r="F693" t="s">
        <v>46</v>
      </c>
      <c r="G693" t="s">
        <v>154</v>
      </c>
      <c r="H693" t="s">
        <v>80</v>
      </c>
      <c r="I693" t="s">
        <v>26</v>
      </c>
      <c r="J693">
        <v>4</v>
      </c>
      <c r="K693">
        <v>310</v>
      </c>
      <c r="L693">
        <v>1240</v>
      </c>
      <c r="M693">
        <v>4.0999999999999996</v>
      </c>
      <c r="N693">
        <v>32</v>
      </c>
      <c r="P693">
        <v>0</v>
      </c>
      <c r="Q693" t="s">
        <v>34</v>
      </c>
      <c r="R693">
        <v>23</v>
      </c>
      <c r="S693" t="s">
        <v>28</v>
      </c>
    </row>
    <row r="694" spans="1:19" x14ac:dyDescent="0.3">
      <c r="A694" t="s">
        <v>1967</v>
      </c>
      <c r="B694" s="2">
        <v>45381</v>
      </c>
      <c r="C694" t="s">
        <v>55</v>
      </c>
      <c r="D694" t="s">
        <v>100</v>
      </c>
      <c r="E694" t="s">
        <v>1968</v>
      </c>
      <c r="F694" t="s">
        <v>115</v>
      </c>
      <c r="G694" t="s">
        <v>289</v>
      </c>
      <c r="H694" t="s">
        <v>48</v>
      </c>
      <c r="I694" t="s">
        <v>33</v>
      </c>
      <c r="J694">
        <v>1</v>
      </c>
      <c r="K694">
        <v>140</v>
      </c>
      <c r="L694">
        <v>140</v>
      </c>
      <c r="M694">
        <v>4.4000000000000004</v>
      </c>
      <c r="N694">
        <v>35</v>
      </c>
      <c r="P694">
        <v>0</v>
      </c>
      <c r="Q694" t="s">
        <v>75</v>
      </c>
      <c r="R694">
        <v>42</v>
      </c>
      <c r="S694" t="s">
        <v>41</v>
      </c>
    </row>
    <row r="695" spans="1:19" x14ac:dyDescent="0.3">
      <c r="A695" t="s">
        <v>1969</v>
      </c>
      <c r="B695" s="2">
        <v>45453</v>
      </c>
      <c r="C695" t="s">
        <v>30</v>
      </c>
      <c r="D695" t="s">
        <v>44</v>
      </c>
      <c r="E695" t="s">
        <v>1970</v>
      </c>
      <c r="F695" t="s">
        <v>192</v>
      </c>
      <c r="G695" t="s">
        <v>1079</v>
      </c>
      <c r="H695" t="s">
        <v>64</v>
      </c>
      <c r="I695" t="s">
        <v>26</v>
      </c>
      <c r="J695">
        <v>2</v>
      </c>
      <c r="K695">
        <v>346</v>
      </c>
      <c r="L695">
        <v>692</v>
      </c>
      <c r="M695">
        <v>4.5</v>
      </c>
      <c r="N695">
        <v>34</v>
      </c>
      <c r="O695">
        <v>449</v>
      </c>
      <c r="P695">
        <v>0</v>
      </c>
      <c r="Q695" t="s">
        <v>49</v>
      </c>
      <c r="R695">
        <v>29</v>
      </c>
      <c r="S695" t="s">
        <v>28</v>
      </c>
    </row>
    <row r="696" spans="1:19" x14ac:dyDescent="0.3">
      <c r="A696" t="s">
        <v>1971</v>
      </c>
      <c r="B696" s="2">
        <v>45406</v>
      </c>
      <c r="C696" t="s">
        <v>20</v>
      </c>
      <c r="D696" t="s">
        <v>72</v>
      </c>
      <c r="E696" t="s">
        <v>1972</v>
      </c>
      <c r="F696" t="s">
        <v>115</v>
      </c>
      <c r="G696" t="s">
        <v>1973</v>
      </c>
      <c r="H696" t="s">
        <v>80</v>
      </c>
      <c r="I696" t="s">
        <v>26</v>
      </c>
      <c r="J696">
        <v>1</v>
      </c>
      <c r="K696">
        <v>432</v>
      </c>
      <c r="L696">
        <v>432</v>
      </c>
      <c r="M696">
        <v>4.4000000000000004</v>
      </c>
      <c r="N696">
        <v>35</v>
      </c>
      <c r="P696">
        <v>0</v>
      </c>
      <c r="Q696" t="s">
        <v>34</v>
      </c>
      <c r="R696">
        <v>28</v>
      </c>
      <c r="S696" t="s">
        <v>28</v>
      </c>
    </row>
    <row r="697" spans="1:19" x14ac:dyDescent="0.3">
      <c r="A697" t="s">
        <v>1974</v>
      </c>
      <c r="B697" s="2">
        <v>45396</v>
      </c>
      <c r="C697" t="s">
        <v>20</v>
      </c>
      <c r="D697" t="s">
        <v>60</v>
      </c>
      <c r="E697" t="s">
        <v>1975</v>
      </c>
      <c r="F697" t="s">
        <v>713</v>
      </c>
      <c r="G697" t="s">
        <v>201</v>
      </c>
      <c r="H697" t="s">
        <v>80</v>
      </c>
      <c r="I697" t="s">
        <v>26</v>
      </c>
      <c r="J697">
        <v>1</v>
      </c>
      <c r="K697">
        <v>236</v>
      </c>
      <c r="L697">
        <v>236</v>
      </c>
      <c r="M697">
        <v>4.2</v>
      </c>
      <c r="N697">
        <v>37</v>
      </c>
      <c r="P697">
        <v>0</v>
      </c>
      <c r="Q697" t="s">
        <v>27</v>
      </c>
      <c r="R697">
        <v>32</v>
      </c>
      <c r="S697" t="s">
        <v>28</v>
      </c>
    </row>
    <row r="698" spans="1:19" x14ac:dyDescent="0.3">
      <c r="A698" t="s">
        <v>1976</v>
      </c>
      <c r="B698" s="2">
        <v>45426</v>
      </c>
      <c r="C698" t="s">
        <v>71</v>
      </c>
      <c r="D698" t="s">
        <v>36</v>
      </c>
      <c r="E698" t="s">
        <v>1977</v>
      </c>
      <c r="F698" t="s">
        <v>87</v>
      </c>
      <c r="G698" t="s">
        <v>1978</v>
      </c>
      <c r="H698" t="s">
        <v>53</v>
      </c>
      <c r="I698" t="s">
        <v>26</v>
      </c>
      <c r="J698">
        <v>1</v>
      </c>
      <c r="K698">
        <v>556</v>
      </c>
      <c r="L698">
        <v>556</v>
      </c>
      <c r="M698">
        <v>4.2</v>
      </c>
      <c r="N698">
        <v>34</v>
      </c>
      <c r="O698">
        <v>999</v>
      </c>
      <c r="P698">
        <v>0</v>
      </c>
      <c r="Q698" t="s">
        <v>75</v>
      </c>
      <c r="R698">
        <v>32</v>
      </c>
      <c r="S698" t="s">
        <v>41</v>
      </c>
    </row>
    <row r="699" spans="1:19" x14ac:dyDescent="0.3">
      <c r="A699" t="s">
        <v>1979</v>
      </c>
      <c r="B699" s="2">
        <v>45487</v>
      </c>
      <c r="C699" t="s">
        <v>59</v>
      </c>
      <c r="D699" t="s">
        <v>60</v>
      </c>
      <c r="E699" t="s">
        <v>1980</v>
      </c>
      <c r="F699" t="s">
        <v>46</v>
      </c>
      <c r="G699" t="s">
        <v>585</v>
      </c>
      <c r="H699" t="s">
        <v>80</v>
      </c>
      <c r="I699" t="s">
        <v>26</v>
      </c>
      <c r="J699">
        <v>1</v>
      </c>
      <c r="K699">
        <v>421</v>
      </c>
      <c r="L699">
        <v>421</v>
      </c>
      <c r="M699">
        <v>3.8</v>
      </c>
      <c r="N699">
        <v>37</v>
      </c>
      <c r="O699">
        <v>1000</v>
      </c>
      <c r="P699">
        <v>50</v>
      </c>
      <c r="Q699" t="s">
        <v>34</v>
      </c>
      <c r="R699">
        <v>33</v>
      </c>
      <c r="S699" t="s">
        <v>28</v>
      </c>
    </row>
    <row r="700" spans="1:19" x14ac:dyDescent="0.3">
      <c r="A700" t="s">
        <v>1981</v>
      </c>
      <c r="B700" s="2">
        <v>45349</v>
      </c>
      <c r="C700" t="s">
        <v>113</v>
      </c>
      <c r="D700" t="s">
        <v>36</v>
      </c>
      <c r="E700" t="s">
        <v>1982</v>
      </c>
      <c r="F700" t="s">
        <v>87</v>
      </c>
      <c r="G700" t="s">
        <v>1058</v>
      </c>
      <c r="H700" t="s">
        <v>80</v>
      </c>
      <c r="I700" t="s">
        <v>26</v>
      </c>
      <c r="J700">
        <v>2</v>
      </c>
      <c r="K700">
        <v>261</v>
      </c>
      <c r="L700">
        <v>522</v>
      </c>
      <c r="M700">
        <v>3.9</v>
      </c>
      <c r="N700">
        <v>36</v>
      </c>
      <c r="O700">
        <v>749</v>
      </c>
      <c r="P700">
        <v>0</v>
      </c>
      <c r="Q700" t="s">
        <v>34</v>
      </c>
      <c r="R700">
        <v>27</v>
      </c>
      <c r="S700" t="s">
        <v>41</v>
      </c>
    </row>
    <row r="701" spans="1:19" x14ac:dyDescent="0.3">
      <c r="A701" t="s">
        <v>1983</v>
      </c>
      <c r="B701" s="2">
        <v>45405</v>
      </c>
      <c r="C701" t="s">
        <v>20</v>
      </c>
      <c r="D701" t="s">
        <v>36</v>
      </c>
      <c r="E701" t="s">
        <v>1984</v>
      </c>
      <c r="F701" t="s">
        <v>115</v>
      </c>
      <c r="G701" t="s">
        <v>154</v>
      </c>
      <c r="H701" t="s">
        <v>80</v>
      </c>
      <c r="I701" t="s">
        <v>26</v>
      </c>
      <c r="J701">
        <v>1</v>
      </c>
      <c r="K701">
        <v>579</v>
      </c>
      <c r="L701">
        <v>579</v>
      </c>
      <c r="M701">
        <v>4.3</v>
      </c>
      <c r="N701">
        <v>36</v>
      </c>
      <c r="O701">
        <v>749</v>
      </c>
      <c r="P701">
        <v>0</v>
      </c>
      <c r="Q701" t="s">
        <v>27</v>
      </c>
      <c r="R701">
        <v>29</v>
      </c>
      <c r="S701" t="s">
        <v>28</v>
      </c>
    </row>
    <row r="702" spans="1:19" x14ac:dyDescent="0.3">
      <c r="A702" t="s">
        <v>1985</v>
      </c>
      <c r="B702" s="2">
        <v>45528</v>
      </c>
      <c r="C702" t="s">
        <v>82</v>
      </c>
      <c r="D702" t="s">
        <v>100</v>
      </c>
      <c r="E702" t="s">
        <v>1986</v>
      </c>
      <c r="F702" t="s">
        <v>46</v>
      </c>
      <c r="G702" t="s">
        <v>227</v>
      </c>
      <c r="H702" t="s">
        <v>80</v>
      </c>
      <c r="I702" t="s">
        <v>26</v>
      </c>
      <c r="J702">
        <v>1</v>
      </c>
      <c r="K702">
        <v>520</v>
      </c>
      <c r="L702">
        <v>520</v>
      </c>
      <c r="M702">
        <v>4.5</v>
      </c>
      <c r="N702">
        <v>36</v>
      </c>
      <c r="O702">
        <v>150</v>
      </c>
      <c r="P702">
        <v>30</v>
      </c>
      <c r="Q702" t="s">
        <v>27</v>
      </c>
      <c r="R702">
        <v>45</v>
      </c>
      <c r="S702" t="s">
        <v>28</v>
      </c>
    </row>
    <row r="703" spans="1:19" x14ac:dyDescent="0.3">
      <c r="A703" t="s">
        <v>1987</v>
      </c>
      <c r="B703" s="2">
        <v>45366</v>
      </c>
      <c r="C703" t="s">
        <v>55</v>
      </c>
      <c r="D703" t="s">
        <v>21</v>
      </c>
      <c r="E703" t="s">
        <v>1988</v>
      </c>
      <c r="F703" t="s">
        <v>23</v>
      </c>
      <c r="G703" t="s">
        <v>154</v>
      </c>
      <c r="H703" t="s">
        <v>80</v>
      </c>
      <c r="I703" t="s">
        <v>26</v>
      </c>
      <c r="J703">
        <v>4</v>
      </c>
      <c r="K703">
        <v>158</v>
      </c>
      <c r="L703">
        <v>632</v>
      </c>
      <c r="M703">
        <v>4.8</v>
      </c>
      <c r="N703">
        <v>46</v>
      </c>
      <c r="P703">
        <v>0</v>
      </c>
      <c r="Q703" t="s">
        <v>75</v>
      </c>
      <c r="R703">
        <v>30</v>
      </c>
      <c r="S703" t="s">
        <v>41</v>
      </c>
    </row>
    <row r="704" spans="1:19" x14ac:dyDescent="0.3">
      <c r="A704" t="s">
        <v>1989</v>
      </c>
      <c r="B704" s="2">
        <v>45448</v>
      </c>
      <c r="C704" t="s">
        <v>30</v>
      </c>
      <c r="D704" t="s">
        <v>72</v>
      </c>
      <c r="E704" t="s">
        <v>1990</v>
      </c>
      <c r="F704" t="s">
        <v>62</v>
      </c>
      <c r="G704" t="s">
        <v>1991</v>
      </c>
      <c r="H704" t="s">
        <v>25</v>
      </c>
      <c r="I704" t="s">
        <v>26</v>
      </c>
      <c r="J704">
        <v>2</v>
      </c>
      <c r="K704">
        <v>512</v>
      </c>
      <c r="L704">
        <v>1024</v>
      </c>
      <c r="M704">
        <v>4.3</v>
      </c>
      <c r="N704">
        <v>58</v>
      </c>
      <c r="O704">
        <v>449</v>
      </c>
      <c r="P704">
        <v>0</v>
      </c>
      <c r="Q704" t="s">
        <v>75</v>
      </c>
      <c r="R704">
        <v>21</v>
      </c>
      <c r="S704" t="s">
        <v>28</v>
      </c>
    </row>
    <row r="705" spans="1:19" x14ac:dyDescent="0.3">
      <c r="A705" t="s">
        <v>1992</v>
      </c>
      <c r="B705" s="2">
        <v>45411</v>
      </c>
      <c r="C705" t="s">
        <v>20</v>
      </c>
      <c r="D705" t="s">
        <v>44</v>
      </c>
      <c r="E705" t="s">
        <v>1993</v>
      </c>
      <c r="F705" t="s">
        <v>713</v>
      </c>
      <c r="G705" t="s">
        <v>1773</v>
      </c>
      <c r="H705" t="s">
        <v>80</v>
      </c>
      <c r="I705" t="s">
        <v>26</v>
      </c>
      <c r="J705">
        <v>2</v>
      </c>
      <c r="K705">
        <v>474</v>
      </c>
      <c r="L705">
        <v>948</v>
      </c>
      <c r="M705">
        <v>4</v>
      </c>
      <c r="N705">
        <v>51</v>
      </c>
      <c r="P705">
        <v>0</v>
      </c>
      <c r="Q705" t="s">
        <v>27</v>
      </c>
      <c r="R705">
        <v>24</v>
      </c>
      <c r="S705" t="s">
        <v>28</v>
      </c>
    </row>
    <row r="706" spans="1:19" x14ac:dyDescent="0.3">
      <c r="A706" t="s">
        <v>1994</v>
      </c>
      <c r="B706" s="2">
        <v>45455</v>
      </c>
      <c r="C706" t="s">
        <v>30</v>
      </c>
      <c r="D706" t="s">
        <v>72</v>
      </c>
      <c r="E706" t="s">
        <v>1995</v>
      </c>
      <c r="F706" t="s">
        <v>87</v>
      </c>
      <c r="G706" t="s">
        <v>1996</v>
      </c>
      <c r="H706" t="s">
        <v>53</v>
      </c>
      <c r="I706" t="s">
        <v>26</v>
      </c>
      <c r="J706">
        <v>3</v>
      </c>
      <c r="K706">
        <v>371</v>
      </c>
      <c r="L706">
        <v>1113</v>
      </c>
      <c r="M706">
        <v>4.4000000000000004</v>
      </c>
      <c r="N706">
        <v>46</v>
      </c>
      <c r="O706">
        <v>100</v>
      </c>
      <c r="P706">
        <v>15</v>
      </c>
      <c r="Q706" t="s">
        <v>75</v>
      </c>
      <c r="R706">
        <v>39</v>
      </c>
      <c r="S706" t="s">
        <v>41</v>
      </c>
    </row>
    <row r="707" spans="1:19" x14ac:dyDescent="0.3">
      <c r="A707" t="s">
        <v>1997</v>
      </c>
      <c r="B707" s="2">
        <v>45508</v>
      </c>
      <c r="C707" t="s">
        <v>82</v>
      </c>
      <c r="D707" t="s">
        <v>60</v>
      </c>
      <c r="E707" t="s">
        <v>1998</v>
      </c>
      <c r="F707" t="s">
        <v>46</v>
      </c>
      <c r="G707" t="s">
        <v>1999</v>
      </c>
      <c r="H707" t="s">
        <v>48</v>
      </c>
      <c r="I707" t="s">
        <v>33</v>
      </c>
      <c r="J707">
        <v>2</v>
      </c>
      <c r="K707">
        <v>452</v>
      </c>
      <c r="L707">
        <v>904</v>
      </c>
      <c r="M707">
        <v>4.0999999999999996</v>
      </c>
      <c r="N707">
        <v>44</v>
      </c>
      <c r="P707">
        <v>0</v>
      </c>
      <c r="Q707" t="s">
        <v>27</v>
      </c>
      <c r="R707">
        <v>19</v>
      </c>
      <c r="S707" t="s">
        <v>28</v>
      </c>
    </row>
    <row r="708" spans="1:19" x14ac:dyDescent="0.3">
      <c r="A708" t="s">
        <v>2000</v>
      </c>
      <c r="B708" s="2">
        <v>45312</v>
      </c>
      <c r="C708" t="s">
        <v>43</v>
      </c>
      <c r="D708" t="s">
        <v>60</v>
      </c>
      <c r="E708" t="s">
        <v>2001</v>
      </c>
      <c r="F708" t="s">
        <v>78</v>
      </c>
      <c r="G708" t="s">
        <v>1117</v>
      </c>
      <c r="H708" t="s">
        <v>40</v>
      </c>
      <c r="I708" t="s">
        <v>26</v>
      </c>
      <c r="J708">
        <v>2</v>
      </c>
      <c r="K708">
        <v>326</v>
      </c>
      <c r="L708">
        <v>652</v>
      </c>
      <c r="M708">
        <v>4.4000000000000004</v>
      </c>
      <c r="N708">
        <v>56</v>
      </c>
      <c r="O708">
        <v>749</v>
      </c>
      <c r="P708">
        <v>0</v>
      </c>
      <c r="Q708" t="s">
        <v>34</v>
      </c>
      <c r="R708">
        <v>43</v>
      </c>
      <c r="S708" t="s">
        <v>28</v>
      </c>
    </row>
    <row r="709" spans="1:19" x14ac:dyDescent="0.3">
      <c r="A709" t="s">
        <v>2002</v>
      </c>
      <c r="B709" s="2">
        <v>45455</v>
      </c>
      <c r="C709" t="s">
        <v>30</v>
      </c>
      <c r="D709" t="s">
        <v>72</v>
      </c>
      <c r="E709" t="s">
        <v>2003</v>
      </c>
      <c r="F709" t="s">
        <v>450</v>
      </c>
      <c r="G709" t="s">
        <v>825</v>
      </c>
      <c r="H709" t="s">
        <v>80</v>
      </c>
      <c r="I709" t="s">
        <v>26</v>
      </c>
      <c r="J709">
        <v>3</v>
      </c>
      <c r="K709">
        <v>329</v>
      </c>
      <c r="L709">
        <v>987</v>
      </c>
      <c r="M709">
        <v>3.9</v>
      </c>
      <c r="N709">
        <v>52</v>
      </c>
      <c r="P709">
        <v>0</v>
      </c>
      <c r="Q709" t="s">
        <v>27</v>
      </c>
      <c r="R709">
        <v>44</v>
      </c>
      <c r="S709" t="s">
        <v>28</v>
      </c>
    </row>
    <row r="710" spans="1:19" x14ac:dyDescent="0.3">
      <c r="A710" t="s">
        <v>2004</v>
      </c>
      <c r="B710" s="2">
        <v>45429</v>
      </c>
      <c r="C710" t="s">
        <v>71</v>
      </c>
      <c r="D710" t="s">
        <v>21</v>
      </c>
      <c r="E710" t="s">
        <v>2005</v>
      </c>
      <c r="F710" t="s">
        <v>192</v>
      </c>
      <c r="G710" t="s">
        <v>2006</v>
      </c>
      <c r="H710" t="s">
        <v>80</v>
      </c>
      <c r="I710" t="s">
        <v>26</v>
      </c>
      <c r="J710">
        <v>2</v>
      </c>
      <c r="K710">
        <v>234</v>
      </c>
      <c r="L710">
        <v>468</v>
      </c>
      <c r="M710">
        <v>3.9</v>
      </c>
      <c r="N710">
        <v>56</v>
      </c>
      <c r="P710">
        <v>0</v>
      </c>
      <c r="Q710" t="s">
        <v>27</v>
      </c>
      <c r="R710">
        <v>44</v>
      </c>
      <c r="S710" t="s">
        <v>28</v>
      </c>
    </row>
    <row r="711" spans="1:19" x14ac:dyDescent="0.3">
      <c r="A711" t="s">
        <v>2007</v>
      </c>
      <c r="B711" s="2">
        <v>45392</v>
      </c>
      <c r="C711" t="s">
        <v>20</v>
      </c>
      <c r="D711" t="s">
        <v>72</v>
      </c>
      <c r="E711" t="s">
        <v>2008</v>
      </c>
      <c r="F711" t="s">
        <v>62</v>
      </c>
      <c r="G711" t="s">
        <v>2009</v>
      </c>
      <c r="H711" t="s">
        <v>80</v>
      </c>
      <c r="I711" t="s">
        <v>26</v>
      </c>
      <c r="J711">
        <v>2</v>
      </c>
      <c r="K711">
        <v>344</v>
      </c>
      <c r="L711">
        <v>688</v>
      </c>
      <c r="M711">
        <v>4.5</v>
      </c>
      <c r="N711">
        <v>42</v>
      </c>
      <c r="P711">
        <v>0</v>
      </c>
      <c r="Q711" t="s">
        <v>49</v>
      </c>
      <c r="R711">
        <v>44</v>
      </c>
      <c r="S711" t="s">
        <v>41</v>
      </c>
    </row>
    <row r="712" spans="1:19" x14ac:dyDescent="0.3">
      <c r="A712" t="s">
        <v>2010</v>
      </c>
      <c r="B712" s="2">
        <v>45492</v>
      </c>
      <c r="C712" t="s">
        <v>59</v>
      </c>
      <c r="D712" t="s">
        <v>21</v>
      </c>
      <c r="E712" t="s">
        <v>2011</v>
      </c>
      <c r="F712" t="s">
        <v>102</v>
      </c>
      <c r="G712" t="s">
        <v>2012</v>
      </c>
      <c r="H712" t="s">
        <v>80</v>
      </c>
      <c r="I712" t="s">
        <v>26</v>
      </c>
      <c r="J712">
        <v>2</v>
      </c>
      <c r="K712">
        <v>253</v>
      </c>
      <c r="L712">
        <v>506</v>
      </c>
      <c r="M712">
        <v>3.9</v>
      </c>
      <c r="N712">
        <v>49</v>
      </c>
      <c r="P712">
        <v>0</v>
      </c>
      <c r="Q712" t="s">
        <v>27</v>
      </c>
      <c r="R712">
        <v>32</v>
      </c>
      <c r="S712" t="s">
        <v>28</v>
      </c>
    </row>
    <row r="713" spans="1:19" x14ac:dyDescent="0.3">
      <c r="A713" t="s">
        <v>2013</v>
      </c>
      <c r="B713" s="2">
        <v>45443</v>
      </c>
      <c r="C713" t="s">
        <v>71</v>
      </c>
      <c r="D713" t="s">
        <v>21</v>
      </c>
      <c r="E713" t="s">
        <v>2014</v>
      </c>
      <c r="F713" t="s">
        <v>192</v>
      </c>
      <c r="G713" t="s">
        <v>2015</v>
      </c>
      <c r="H713" t="s">
        <v>80</v>
      </c>
      <c r="I713" t="s">
        <v>26</v>
      </c>
      <c r="J713">
        <v>2</v>
      </c>
      <c r="K713">
        <v>370</v>
      </c>
      <c r="L713">
        <v>740</v>
      </c>
      <c r="M713">
        <v>4.4000000000000004</v>
      </c>
      <c r="N713">
        <v>54</v>
      </c>
      <c r="O713">
        <v>120</v>
      </c>
      <c r="P713">
        <v>20</v>
      </c>
      <c r="Q713" t="s">
        <v>27</v>
      </c>
      <c r="R713">
        <v>48</v>
      </c>
      <c r="S713" t="s">
        <v>41</v>
      </c>
    </row>
    <row r="714" spans="1:19" x14ac:dyDescent="0.3">
      <c r="A714" t="s">
        <v>2016</v>
      </c>
      <c r="B714" s="2">
        <v>45483</v>
      </c>
      <c r="C714" t="s">
        <v>59</v>
      </c>
      <c r="D714" t="s">
        <v>72</v>
      </c>
      <c r="E714" t="s">
        <v>2017</v>
      </c>
      <c r="F714" t="s">
        <v>87</v>
      </c>
      <c r="G714" t="s">
        <v>2018</v>
      </c>
      <c r="H714" t="s">
        <v>53</v>
      </c>
      <c r="I714" t="s">
        <v>26</v>
      </c>
      <c r="J714">
        <v>3</v>
      </c>
      <c r="K714">
        <v>338</v>
      </c>
      <c r="L714">
        <v>1014</v>
      </c>
      <c r="M714">
        <v>4.4000000000000004</v>
      </c>
      <c r="N714">
        <v>44</v>
      </c>
      <c r="O714">
        <v>599</v>
      </c>
      <c r="P714">
        <v>0</v>
      </c>
      <c r="Q714" t="s">
        <v>49</v>
      </c>
      <c r="R714">
        <v>25</v>
      </c>
      <c r="S714" t="s">
        <v>28</v>
      </c>
    </row>
    <row r="715" spans="1:19" x14ac:dyDescent="0.3">
      <c r="A715" t="s">
        <v>2019</v>
      </c>
      <c r="B715" s="2">
        <v>45518</v>
      </c>
      <c r="C715" t="s">
        <v>82</v>
      </c>
      <c r="D715" t="s">
        <v>72</v>
      </c>
      <c r="E715" t="s">
        <v>2020</v>
      </c>
      <c r="F715" t="s">
        <v>956</v>
      </c>
      <c r="G715" t="s">
        <v>201</v>
      </c>
      <c r="H715" t="s">
        <v>80</v>
      </c>
      <c r="I715" t="s">
        <v>26</v>
      </c>
      <c r="J715">
        <v>2</v>
      </c>
      <c r="K715">
        <v>526</v>
      </c>
      <c r="L715">
        <v>1052</v>
      </c>
      <c r="M715">
        <v>4.5999999999999996</v>
      </c>
      <c r="N715">
        <v>52</v>
      </c>
      <c r="P715">
        <v>0</v>
      </c>
      <c r="Q715" t="s">
        <v>75</v>
      </c>
      <c r="R715">
        <v>24</v>
      </c>
      <c r="S715" t="s">
        <v>41</v>
      </c>
    </row>
    <row r="716" spans="1:19" x14ac:dyDescent="0.3">
      <c r="A716" t="s">
        <v>2021</v>
      </c>
      <c r="B716" s="2">
        <v>45468</v>
      </c>
      <c r="C716" t="s">
        <v>30</v>
      </c>
      <c r="D716" t="s">
        <v>36</v>
      </c>
      <c r="E716" t="s">
        <v>2022</v>
      </c>
      <c r="F716" t="s">
        <v>46</v>
      </c>
      <c r="G716" t="s">
        <v>2023</v>
      </c>
      <c r="H716" t="s">
        <v>80</v>
      </c>
      <c r="I716" t="s">
        <v>26</v>
      </c>
      <c r="J716">
        <v>2</v>
      </c>
      <c r="K716">
        <v>562</v>
      </c>
      <c r="L716">
        <v>1124</v>
      </c>
      <c r="M716">
        <v>4.0999999999999996</v>
      </c>
      <c r="N716">
        <v>57</v>
      </c>
      <c r="P716">
        <v>0</v>
      </c>
      <c r="Q716" t="s">
        <v>49</v>
      </c>
      <c r="R716">
        <v>48</v>
      </c>
      <c r="S716" t="s">
        <v>28</v>
      </c>
    </row>
    <row r="717" spans="1:19" x14ac:dyDescent="0.3">
      <c r="A717" t="s">
        <v>2024</v>
      </c>
      <c r="B717" s="2">
        <v>45390</v>
      </c>
      <c r="C717" t="s">
        <v>20</v>
      </c>
      <c r="D717" t="s">
        <v>44</v>
      </c>
      <c r="E717" t="s">
        <v>2025</v>
      </c>
      <c r="F717" t="s">
        <v>517</v>
      </c>
      <c r="G717" t="s">
        <v>227</v>
      </c>
      <c r="H717" t="s">
        <v>80</v>
      </c>
      <c r="I717" t="s">
        <v>26</v>
      </c>
      <c r="J717">
        <v>3</v>
      </c>
      <c r="K717">
        <v>210</v>
      </c>
      <c r="L717">
        <v>630</v>
      </c>
      <c r="M717">
        <v>4.0999999999999996</v>
      </c>
      <c r="N717">
        <v>44</v>
      </c>
      <c r="P717">
        <v>0</v>
      </c>
      <c r="Q717" t="s">
        <v>34</v>
      </c>
      <c r="R717">
        <v>32</v>
      </c>
      <c r="S717" t="s">
        <v>41</v>
      </c>
    </row>
    <row r="718" spans="1:19" x14ac:dyDescent="0.3">
      <c r="A718" t="s">
        <v>2026</v>
      </c>
      <c r="B718" s="2">
        <v>45531</v>
      </c>
      <c r="C718" t="s">
        <v>82</v>
      </c>
      <c r="D718" t="s">
        <v>36</v>
      </c>
      <c r="E718" t="s">
        <v>2027</v>
      </c>
      <c r="F718" t="s">
        <v>78</v>
      </c>
      <c r="G718" t="s">
        <v>158</v>
      </c>
      <c r="H718" t="s">
        <v>40</v>
      </c>
      <c r="I718" t="s">
        <v>26</v>
      </c>
      <c r="J718">
        <v>4</v>
      </c>
      <c r="K718">
        <v>473</v>
      </c>
      <c r="L718">
        <v>1892</v>
      </c>
      <c r="M718">
        <v>4.3</v>
      </c>
      <c r="N718">
        <v>57</v>
      </c>
      <c r="O718">
        <v>749</v>
      </c>
      <c r="P718">
        <v>0</v>
      </c>
      <c r="Q718" t="s">
        <v>49</v>
      </c>
      <c r="R718">
        <v>40</v>
      </c>
      <c r="S718" t="s">
        <v>28</v>
      </c>
    </row>
    <row r="719" spans="1:19" x14ac:dyDescent="0.3">
      <c r="A719" t="s">
        <v>2028</v>
      </c>
      <c r="B719" s="2">
        <v>45327</v>
      </c>
      <c r="C719" t="s">
        <v>113</v>
      </c>
      <c r="D719" t="s">
        <v>44</v>
      </c>
      <c r="E719" t="s">
        <v>2029</v>
      </c>
      <c r="F719" t="s">
        <v>956</v>
      </c>
      <c r="G719" t="s">
        <v>2030</v>
      </c>
      <c r="H719" t="s">
        <v>80</v>
      </c>
      <c r="I719" t="s">
        <v>26</v>
      </c>
      <c r="J719">
        <v>1</v>
      </c>
      <c r="K719">
        <v>495</v>
      </c>
      <c r="L719">
        <v>495</v>
      </c>
      <c r="M719">
        <v>4.5</v>
      </c>
      <c r="N719">
        <v>59</v>
      </c>
      <c r="O719">
        <v>1500</v>
      </c>
      <c r="P719">
        <v>10</v>
      </c>
      <c r="Q719" t="s">
        <v>34</v>
      </c>
      <c r="R719">
        <v>31</v>
      </c>
      <c r="S719" t="s">
        <v>41</v>
      </c>
    </row>
    <row r="720" spans="1:19" x14ac:dyDescent="0.3">
      <c r="A720" t="s">
        <v>2031</v>
      </c>
      <c r="B720" s="2">
        <v>45501</v>
      </c>
      <c r="C720" t="s">
        <v>59</v>
      </c>
      <c r="D720" t="s">
        <v>60</v>
      </c>
      <c r="E720" t="s">
        <v>2032</v>
      </c>
      <c r="F720" t="s">
        <v>824</v>
      </c>
      <c r="G720" t="s">
        <v>2033</v>
      </c>
      <c r="H720" t="s">
        <v>80</v>
      </c>
      <c r="I720" t="s">
        <v>26</v>
      </c>
      <c r="J720">
        <v>4</v>
      </c>
      <c r="K720">
        <v>165</v>
      </c>
      <c r="L720">
        <v>660</v>
      </c>
      <c r="M720">
        <v>3.8</v>
      </c>
      <c r="N720">
        <v>44</v>
      </c>
      <c r="O720">
        <v>999</v>
      </c>
      <c r="P720">
        <v>0</v>
      </c>
      <c r="Q720" t="s">
        <v>75</v>
      </c>
      <c r="R720">
        <v>48</v>
      </c>
      <c r="S720" t="s">
        <v>41</v>
      </c>
    </row>
    <row r="721" spans="1:19" x14ac:dyDescent="0.3">
      <c r="A721" t="s">
        <v>2034</v>
      </c>
      <c r="B721" s="2">
        <v>45522</v>
      </c>
      <c r="C721" t="s">
        <v>82</v>
      </c>
      <c r="D721" t="s">
        <v>60</v>
      </c>
      <c r="E721" t="s">
        <v>2035</v>
      </c>
      <c r="F721" t="s">
        <v>115</v>
      </c>
      <c r="G721" t="s">
        <v>2036</v>
      </c>
      <c r="H721" t="s">
        <v>80</v>
      </c>
      <c r="I721" t="s">
        <v>26</v>
      </c>
      <c r="J721">
        <v>3</v>
      </c>
      <c r="K721">
        <v>157</v>
      </c>
      <c r="L721">
        <v>471</v>
      </c>
      <c r="M721">
        <v>4.0999999999999996</v>
      </c>
      <c r="N721">
        <v>41</v>
      </c>
      <c r="P721">
        <v>0</v>
      </c>
      <c r="Q721" t="s">
        <v>49</v>
      </c>
      <c r="R721">
        <v>25</v>
      </c>
      <c r="S721" t="s">
        <v>28</v>
      </c>
    </row>
    <row r="722" spans="1:19" x14ac:dyDescent="0.3">
      <c r="A722" t="s">
        <v>2037</v>
      </c>
      <c r="B722" s="2">
        <v>45387</v>
      </c>
      <c r="C722" t="s">
        <v>20</v>
      </c>
      <c r="D722" t="s">
        <v>21</v>
      </c>
      <c r="E722" t="s">
        <v>2038</v>
      </c>
      <c r="F722" t="s">
        <v>115</v>
      </c>
      <c r="G722" t="s">
        <v>2039</v>
      </c>
      <c r="H722" t="s">
        <v>25</v>
      </c>
      <c r="I722" t="s">
        <v>26</v>
      </c>
      <c r="J722">
        <v>1</v>
      </c>
      <c r="K722">
        <v>261</v>
      </c>
      <c r="L722">
        <v>261</v>
      </c>
      <c r="M722">
        <v>4.3</v>
      </c>
      <c r="N722">
        <v>51</v>
      </c>
      <c r="O722">
        <v>999</v>
      </c>
      <c r="P722">
        <v>0</v>
      </c>
      <c r="Q722" t="s">
        <v>49</v>
      </c>
      <c r="R722">
        <v>45</v>
      </c>
      <c r="S722" t="s">
        <v>41</v>
      </c>
    </row>
    <row r="723" spans="1:19" x14ac:dyDescent="0.3">
      <c r="A723" t="s">
        <v>2040</v>
      </c>
      <c r="B723" s="2">
        <v>45443</v>
      </c>
      <c r="C723" t="s">
        <v>71</v>
      </c>
      <c r="D723" t="s">
        <v>21</v>
      </c>
      <c r="E723" t="s">
        <v>2041</v>
      </c>
      <c r="F723" t="s">
        <v>192</v>
      </c>
      <c r="G723" t="s">
        <v>2042</v>
      </c>
      <c r="H723" t="s">
        <v>25</v>
      </c>
      <c r="I723" t="s">
        <v>26</v>
      </c>
      <c r="J723">
        <v>3</v>
      </c>
      <c r="K723">
        <v>219</v>
      </c>
      <c r="L723">
        <v>657</v>
      </c>
      <c r="M723">
        <v>4.3</v>
      </c>
      <c r="N723">
        <v>47</v>
      </c>
      <c r="P723">
        <v>0</v>
      </c>
      <c r="Q723" t="s">
        <v>75</v>
      </c>
      <c r="R723">
        <v>29</v>
      </c>
      <c r="S723" t="s">
        <v>28</v>
      </c>
    </row>
    <row r="724" spans="1:19" x14ac:dyDescent="0.3">
      <c r="A724" t="s">
        <v>2043</v>
      </c>
      <c r="B724" s="2">
        <v>45442</v>
      </c>
      <c r="C724" t="s">
        <v>71</v>
      </c>
      <c r="D724" t="s">
        <v>92</v>
      </c>
      <c r="E724" t="s">
        <v>2044</v>
      </c>
      <c r="F724" t="s">
        <v>115</v>
      </c>
      <c r="G724" t="s">
        <v>2045</v>
      </c>
      <c r="H724" t="s">
        <v>80</v>
      </c>
      <c r="I724" t="s">
        <v>26</v>
      </c>
      <c r="J724">
        <v>3</v>
      </c>
      <c r="K724">
        <v>447</v>
      </c>
      <c r="L724">
        <v>1341</v>
      </c>
      <c r="M724">
        <v>4.2</v>
      </c>
      <c r="N724">
        <v>53</v>
      </c>
      <c r="P724">
        <v>0</v>
      </c>
      <c r="Q724" t="s">
        <v>34</v>
      </c>
      <c r="R724">
        <v>30</v>
      </c>
      <c r="S724" t="s">
        <v>28</v>
      </c>
    </row>
    <row r="725" spans="1:19" x14ac:dyDescent="0.3">
      <c r="A725" t="s">
        <v>2046</v>
      </c>
      <c r="B725" s="2">
        <v>45481</v>
      </c>
      <c r="C725" t="s">
        <v>59</v>
      </c>
      <c r="D725" t="s">
        <v>44</v>
      </c>
      <c r="E725" t="s">
        <v>2047</v>
      </c>
      <c r="F725" t="s">
        <v>192</v>
      </c>
      <c r="G725" t="s">
        <v>2048</v>
      </c>
      <c r="H725" t="s">
        <v>80</v>
      </c>
      <c r="I725" t="s">
        <v>33</v>
      </c>
      <c r="J725">
        <v>2</v>
      </c>
      <c r="K725">
        <v>309</v>
      </c>
      <c r="L725">
        <v>618</v>
      </c>
      <c r="M725">
        <v>3.9</v>
      </c>
      <c r="N725">
        <v>65</v>
      </c>
      <c r="O725">
        <v>125</v>
      </c>
      <c r="P725">
        <v>25</v>
      </c>
      <c r="Q725" t="s">
        <v>49</v>
      </c>
      <c r="R725">
        <v>47</v>
      </c>
      <c r="S725" t="s">
        <v>28</v>
      </c>
    </row>
    <row r="726" spans="1:19" x14ac:dyDescent="0.3">
      <c r="A726" t="s">
        <v>2049</v>
      </c>
      <c r="B726" s="2">
        <v>45515</v>
      </c>
      <c r="C726" t="s">
        <v>82</v>
      </c>
      <c r="D726" t="s">
        <v>60</v>
      </c>
      <c r="E726" t="s">
        <v>2050</v>
      </c>
      <c r="F726" t="s">
        <v>78</v>
      </c>
      <c r="G726" t="s">
        <v>227</v>
      </c>
      <c r="H726" t="s">
        <v>80</v>
      </c>
      <c r="I726" t="s">
        <v>26</v>
      </c>
      <c r="J726">
        <v>1</v>
      </c>
      <c r="K726">
        <v>154</v>
      </c>
      <c r="L726">
        <v>154</v>
      </c>
      <c r="M726">
        <v>4.2</v>
      </c>
      <c r="N726">
        <v>53</v>
      </c>
      <c r="O726">
        <v>449</v>
      </c>
      <c r="P726">
        <v>0</v>
      </c>
      <c r="Q726" t="s">
        <v>34</v>
      </c>
      <c r="R726">
        <v>28</v>
      </c>
      <c r="S726" t="s">
        <v>28</v>
      </c>
    </row>
    <row r="727" spans="1:19" x14ac:dyDescent="0.3">
      <c r="A727" t="s">
        <v>2051</v>
      </c>
      <c r="B727" s="2">
        <v>45328</v>
      </c>
      <c r="C727" t="s">
        <v>113</v>
      </c>
      <c r="D727" t="s">
        <v>36</v>
      </c>
      <c r="E727" t="s">
        <v>2052</v>
      </c>
      <c r="F727" t="s">
        <v>450</v>
      </c>
      <c r="G727" t="s">
        <v>186</v>
      </c>
      <c r="H727" t="s">
        <v>80</v>
      </c>
      <c r="I727" t="s">
        <v>26</v>
      </c>
      <c r="J727">
        <v>2</v>
      </c>
      <c r="K727">
        <v>266</v>
      </c>
      <c r="L727">
        <v>532</v>
      </c>
      <c r="M727">
        <v>4.7</v>
      </c>
      <c r="N727">
        <v>53</v>
      </c>
      <c r="O727">
        <v>999</v>
      </c>
      <c r="P727">
        <v>0</v>
      </c>
      <c r="Q727" t="s">
        <v>49</v>
      </c>
      <c r="R727">
        <v>34</v>
      </c>
      <c r="S727" t="s">
        <v>28</v>
      </c>
    </row>
    <row r="728" spans="1:19" x14ac:dyDescent="0.3">
      <c r="A728" t="s">
        <v>2053</v>
      </c>
      <c r="B728" s="2">
        <v>45303</v>
      </c>
      <c r="C728" t="s">
        <v>43</v>
      </c>
      <c r="D728" t="s">
        <v>21</v>
      </c>
      <c r="E728" t="s">
        <v>2054</v>
      </c>
      <c r="F728" t="s">
        <v>713</v>
      </c>
      <c r="G728" t="s">
        <v>2055</v>
      </c>
      <c r="H728" t="s">
        <v>53</v>
      </c>
      <c r="I728" t="s">
        <v>26</v>
      </c>
      <c r="J728">
        <v>1</v>
      </c>
      <c r="K728">
        <v>149</v>
      </c>
      <c r="L728">
        <v>149</v>
      </c>
      <c r="M728">
        <v>4.3</v>
      </c>
      <c r="N728">
        <v>44</v>
      </c>
      <c r="P728">
        <v>0</v>
      </c>
      <c r="Q728" t="s">
        <v>27</v>
      </c>
      <c r="R728">
        <v>48</v>
      </c>
      <c r="S728" t="s">
        <v>41</v>
      </c>
    </row>
    <row r="729" spans="1:19" x14ac:dyDescent="0.3">
      <c r="A729" t="s">
        <v>2056</v>
      </c>
      <c r="B729" s="2">
        <v>45404</v>
      </c>
      <c r="C729" t="s">
        <v>20</v>
      </c>
      <c r="D729" t="s">
        <v>44</v>
      </c>
      <c r="E729" t="s">
        <v>2057</v>
      </c>
      <c r="F729" t="s">
        <v>62</v>
      </c>
      <c r="G729" t="s">
        <v>2058</v>
      </c>
      <c r="H729" t="s">
        <v>48</v>
      </c>
      <c r="I729" t="s">
        <v>33</v>
      </c>
      <c r="J729">
        <v>3</v>
      </c>
      <c r="K729">
        <v>453</v>
      </c>
      <c r="L729">
        <v>1359</v>
      </c>
      <c r="M729">
        <v>4.3</v>
      </c>
      <c r="N729">
        <v>51</v>
      </c>
      <c r="O729">
        <v>999</v>
      </c>
      <c r="P729">
        <v>0</v>
      </c>
      <c r="Q729" t="s">
        <v>49</v>
      </c>
      <c r="R729">
        <v>46</v>
      </c>
      <c r="S729" t="s">
        <v>28</v>
      </c>
    </row>
    <row r="730" spans="1:19" x14ac:dyDescent="0.3">
      <c r="A730" t="s">
        <v>2059</v>
      </c>
      <c r="B730" s="2">
        <v>45474</v>
      </c>
      <c r="C730" t="s">
        <v>59</v>
      </c>
      <c r="D730" t="s">
        <v>44</v>
      </c>
      <c r="E730" t="s">
        <v>2060</v>
      </c>
      <c r="F730" t="s">
        <v>450</v>
      </c>
      <c r="G730" t="s">
        <v>227</v>
      </c>
      <c r="H730" t="s">
        <v>80</v>
      </c>
      <c r="I730" t="s">
        <v>26</v>
      </c>
      <c r="J730">
        <v>3</v>
      </c>
      <c r="K730">
        <v>203</v>
      </c>
      <c r="L730">
        <v>609</v>
      </c>
      <c r="M730">
        <v>4</v>
      </c>
      <c r="N730">
        <v>46</v>
      </c>
      <c r="P730">
        <v>0</v>
      </c>
      <c r="Q730" t="s">
        <v>75</v>
      </c>
      <c r="R730">
        <v>34</v>
      </c>
      <c r="S730" t="s">
        <v>28</v>
      </c>
    </row>
    <row r="731" spans="1:19" x14ac:dyDescent="0.3">
      <c r="A731" t="s">
        <v>2061</v>
      </c>
      <c r="B731" s="2">
        <v>45304</v>
      </c>
      <c r="C731" t="s">
        <v>43</v>
      </c>
      <c r="D731" t="s">
        <v>100</v>
      </c>
      <c r="E731" t="s">
        <v>2062</v>
      </c>
      <c r="F731" t="s">
        <v>713</v>
      </c>
      <c r="G731" t="s">
        <v>2063</v>
      </c>
      <c r="H731" t="s">
        <v>40</v>
      </c>
      <c r="I731" t="s">
        <v>26</v>
      </c>
      <c r="J731">
        <v>4</v>
      </c>
      <c r="K731">
        <v>488</v>
      </c>
      <c r="L731">
        <v>1952</v>
      </c>
      <c r="M731">
        <v>4.3</v>
      </c>
      <c r="N731">
        <v>50</v>
      </c>
      <c r="O731">
        <v>749</v>
      </c>
      <c r="P731">
        <v>0</v>
      </c>
      <c r="Q731" t="s">
        <v>75</v>
      </c>
      <c r="R731">
        <v>41</v>
      </c>
      <c r="S731" t="s">
        <v>28</v>
      </c>
    </row>
    <row r="732" spans="1:19" x14ac:dyDescent="0.3">
      <c r="A732" t="s">
        <v>2064</v>
      </c>
      <c r="B732" s="2">
        <v>45314</v>
      </c>
      <c r="C732" t="s">
        <v>43</v>
      </c>
      <c r="D732" t="s">
        <v>36</v>
      </c>
      <c r="E732" t="s">
        <v>2065</v>
      </c>
      <c r="F732" t="s">
        <v>517</v>
      </c>
      <c r="G732" t="s">
        <v>2066</v>
      </c>
      <c r="H732" t="s">
        <v>48</v>
      </c>
      <c r="I732" t="s">
        <v>33</v>
      </c>
      <c r="J732">
        <v>1</v>
      </c>
      <c r="K732">
        <v>400</v>
      </c>
      <c r="L732">
        <v>400</v>
      </c>
      <c r="M732">
        <v>4</v>
      </c>
      <c r="N732">
        <v>42</v>
      </c>
      <c r="O732">
        <v>700</v>
      </c>
      <c r="P732">
        <v>20</v>
      </c>
      <c r="Q732" t="s">
        <v>34</v>
      </c>
      <c r="R732">
        <v>21</v>
      </c>
      <c r="S732" t="s">
        <v>28</v>
      </c>
    </row>
    <row r="733" spans="1:19" x14ac:dyDescent="0.3">
      <c r="A733" t="s">
        <v>2067</v>
      </c>
      <c r="B733" s="2">
        <v>45508</v>
      </c>
      <c r="C733" t="s">
        <v>82</v>
      </c>
      <c r="D733" t="s">
        <v>60</v>
      </c>
      <c r="E733" t="s">
        <v>2068</v>
      </c>
      <c r="F733" t="s">
        <v>87</v>
      </c>
      <c r="G733" t="s">
        <v>2069</v>
      </c>
      <c r="H733" t="s">
        <v>48</v>
      </c>
      <c r="I733" t="s">
        <v>33</v>
      </c>
      <c r="J733">
        <v>2</v>
      </c>
      <c r="K733">
        <v>543</v>
      </c>
      <c r="L733">
        <v>1086</v>
      </c>
      <c r="M733">
        <v>3.7</v>
      </c>
      <c r="N733">
        <v>49</v>
      </c>
      <c r="P733">
        <v>0</v>
      </c>
      <c r="Q733" t="s">
        <v>49</v>
      </c>
      <c r="R733">
        <v>38</v>
      </c>
      <c r="S733" t="s">
        <v>28</v>
      </c>
    </row>
    <row r="734" spans="1:19" x14ac:dyDescent="0.3">
      <c r="A734" t="s">
        <v>2070</v>
      </c>
      <c r="B734" s="2">
        <v>45390</v>
      </c>
      <c r="C734" t="s">
        <v>20</v>
      </c>
      <c r="D734" t="s">
        <v>44</v>
      </c>
      <c r="E734" t="s">
        <v>2071</v>
      </c>
      <c r="F734" t="s">
        <v>517</v>
      </c>
      <c r="G734" t="s">
        <v>2072</v>
      </c>
      <c r="H734" t="s">
        <v>64</v>
      </c>
      <c r="I734" t="s">
        <v>26</v>
      </c>
      <c r="J734">
        <v>4</v>
      </c>
      <c r="K734">
        <v>463</v>
      </c>
      <c r="L734">
        <v>1852</v>
      </c>
      <c r="M734">
        <v>3.7</v>
      </c>
      <c r="N734">
        <v>43</v>
      </c>
      <c r="O734">
        <v>449</v>
      </c>
      <c r="P734">
        <v>0</v>
      </c>
      <c r="Q734" t="s">
        <v>34</v>
      </c>
      <c r="R734">
        <v>25</v>
      </c>
      <c r="S734" t="s">
        <v>28</v>
      </c>
    </row>
    <row r="735" spans="1:19" x14ac:dyDescent="0.3">
      <c r="A735" t="s">
        <v>2073</v>
      </c>
      <c r="B735" s="2">
        <v>45396</v>
      </c>
      <c r="C735" t="s">
        <v>20</v>
      </c>
      <c r="D735" t="s">
        <v>60</v>
      </c>
      <c r="E735" t="s">
        <v>2074</v>
      </c>
      <c r="F735" t="s">
        <v>2075</v>
      </c>
      <c r="G735" t="s">
        <v>2076</v>
      </c>
      <c r="H735" t="s">
        <v>48</v>
      </c>
      <c r="I735" t="s">
        <v>33</v>
      </c>
      <c r="J735">
        <v>4</v>
      </c>
      <c r="K735">
        <v>389</v>
      </c>
      <c r="L735">
        <v>1556</v>
      </c>
      <c r="M735">
        <v>4.3</v>
      </c>
      <c r="N735">
        <v>54</v>
      </c>
      <c r="P735">
        <v>0</v>
      </c>
      <c r="Q735" t="s">
        <v>34</v>
      </c>
      <c r="R735">
        <v>22</v>
      </c>
      <c r="S735" t="s">
        <v>41</v>
      </c>
    </row>
    <row r="736" spans="1:19" x14ac:dyDescent="0.3">
      <c r="A736" t="s">
        <v>2077</v>
      </c>
      <c r="B736" s="2">
        <v>45321</v>
      </c>
      <c r="C736" t="s">
        <v>43</v>
      </c>
      <c r="D736" t="s">
        <v>36</v>
      </c>
      <c r="E736" t="s">
        <v>2078</v>
      </c>
      <c r="F736" t="s">
        <v>2079</v>
      </c>
      <c r="G736" t="s">
        <v>2080</v>
      </c>
      <c r="H736" t="s">
        <v>53</v>
      </c>
      <c r="I736" t="s">
        <v>26</v>
      </c>
      <c r="J736">
        <v>4</v>
      </c>
      <c r="K736">
        <v>273</v>
      </c>
      <c r="L736">
        <v>1092</v>
      </c>
      <c r="M736">
        <v>4.4000000000000004</v>
      </c>
      <c r="N736">
        <v>46</v>
      </c>
      <c r="P736">
        <v>0</v>
      </c>
      <c r="Q736" t="s">
        <v>27</v>
      </c>
      <c r="R736">
        <v>43</v>
      </c>
      <c r="S736" t="s">
        <v>41</v>
      </c>
    </row>
    <row r="737" spans="1:19" x14ac:dyDescent="0.3">
      <c r="A737" t="s">
        <v>2081</v>
      </c>
      <c r="B737" s="2">
        <v>45308</v>
      </c>
      <c r="C737" t="s">
        <v>43</v>
      </c>
      <c r="D737" t="s">
        <v>72</v>
      </c>
      <c r="E737" t="s">
        <v>2082</v>
      </c>
      <c r="F737" t="s">
        <v>450</v>
      </c>
      <c r="G737" t="s">
        <v>2083</v>
      </c>
      <c r="H737" t="s">
        <v>53</v>
      </c>
      <c r="I737" t="s">
        <v>26</v>
      </c>
      <c r="J737">
        <v>2</v>
      </c>
      <c r="K737">
        <v>221</v>
      </c>
      <c r="L737">
        <v>442</v>
      </c>
      <c r="M737">
        <v>4.2</v>
      </c>
      <c r="N737">
        <v>49</v>
      </c>
      <c r="P737">
        <v>0</v>
      </c>
      <c r="Q737" t="s">
        <v>27</v>
      </c>
      <c r="R737">
        <v>33</v>
      </c>
      <c r="S737" t="s">
        <v>28</v>
      </c>
    </row>
    <row r="738" spans="1:19" x14ac:dyDescent="0.3">
      <c r="A738" t="s">
        <v>2084</v>
      </c>
      <c r="B738" s="2">
        <v>45404</v>
      </c>
      <c r="C738" t="s">
        <v>20</v>
      </c>
      <c r="D738" t="s">
        <v>44</v>
      </c>
      <c r="E738" t="s">
        <v>2085</v>
      </c>
      <c r="F738" t="s">
        <v>192</v>
      </c>
      <c r="G738" t="s">
        <v>154</v>
      </c>
      <c r="H738" t="s">
        <v>80</v>
      </c>
      <c r="I738" t="s">
        <v>26</v>
      </c>
      <c r="J738">
        <v>4</v>
      </c>
      <c r="K738">
        <v>334</v>
      </c>
      <c r="L738">
        <v>1336</v>
      </c>
      <c r="M738">
        <v>4.0999999999999996</v>
      </c>
      <c r="N738">
        <v>57</v>
      </c>
      <c r="P738">
        <v>0</v>
      </c>
      <c r="Q738" t="s">
        <v>75</v>
      </c>
      <c r="R738">
        <v>21</v>
      </c>
      <c r="S738" t="s">
        <v>41</v>
      </c>
    </row>
    <row r="739" spans="1:19" x14ac:dyDescent="0.3">
      <c r="A739" t="s">
        <v>2086</v>
      </c>
      <c r="B739" s="2">
        <v>45353</v>
      </c>
      <c r="C739" t="s">
        <v>55</v>
      </c>
      <c r="D739" t="s">
        <v>100</v>
      </c>
      <c r="E739" t="s">
        <v>2087</v>
      </c>
      <c r="F739" t="s">
        <v>824</v>
      </c>
      <c r="G739" t="s">
        <v>373</v>
      </c>
      <c r="H739" t="s">
        <v>80</v>
      </c>
      <c r="I739" t="s">
        <v>26</v>
      </c>
      <c r="J739">
        <v>2</v>
      </c>
      <c r="K739">
        <v>269</v>
      </c>
      <c r="L739">
        <v>538</v>
      </c>
      <c r="M739">
        <v>4.5999999999999996</v>
      </c>
      <c r="N739">
        <v>52</v>
      </c>
      <c r="P739">
        <v>0</v>
      </c>
      <c r="Q739" t="s">
        <v>34</v>
      </c>
      <c r="R739">
        <v>45</v>
      </c>
      <c r="S739" t="s">
        <v>28</v>
      </c>
    </row>
    <row r="740" spans="1:19" x14ac:dyDescent="0.3">
      <c r="A740" t="s">
        <v>2088</v>
      </c>
      <c r="B740" s="2">
        <v>45375</v>
      </c>
      <c r="C740" t="s">
        <v>55</v>
      </c>
      <c r="D740" t="s">
        <v>60</v>
      </c>
      <c r="E740" t="s">
        <v>2089</v>
      </c>
      <c r="F740" t="s">
        <v>192</v>
      </c>
      <c r="G740" t="s">
        <v>2090</v>
      </c>
      <c r="H740" t="s">
        <v>40</v>
      </c>
      <c r="I740" t="s">
        <v>26</v>
      </c>
      <c r="J740">
        <v>4</v>
      </c>
      <c r="K740">
        <v>551</v>
      </c>
      <c r="L740">
        <v>2204</v>
      </c>
      <c r="M740">
        <v>4.4000000000000004</v>
      </c>
      <c r="N740">
        <v>55</v>
      </c>
      <c r="O740">
        <v>120</v>
      </c>
      <c r="P740">
        <v>60</v>
      </c>
      <c r="Q740" t="s">
        <v>75</v>
      </c>
      <c r="R740">
        <v>39</v>
      </c>
      <c r="S740" t="s">
        <v>28</v>
      </c>
    </row>
    <row r="741" spans="1:19" x14ac:dyDescent="0.3">
      <c r="A741" t="s">
        <v>2091</v>
      </c>
      <c r="B741" s="2">
        <v>45403</v>
      </c>
      <c r="C741" t="s">
        <v>20</v>
      </c>
      <c r="D741" t="s">
        <v>60</v>
      </c>
      <c r="E741" t="s">
        <v>2092</v>
      </c>
      <c r="F741" t="s">
        <v>78</v>
      </c>
      <c r="G741" t="s">
        <v>1400</v>
      </c>
      <c r="H741" t="s">
        <v>80</v>
      </c>
      <c r="I741" t="s">
        <v>26</v>
      </c>
      <c r="J741">
        <v>2</v>
      </c>
      <c r="K741">
        <v>202</v>
      </c>
      <c r="L741">
        <v>404</v>
      </c>
      <c r="M741">
        <v>4.3</v>
      </c>
      <c r="N741">
        <v>43</v>
      </c>
      <c r="P741">
        <v>0</v>
      </c>
      <c r="Q741" t="s">
        <v>49</v>
      </c>
      <c r="R741">
        <v>46</v>
      </c>
      <c r="S741" t="s">
        <v>28</v>
      </c>
    </row>
    <row r="742" spans="1:19" x14ac:dyDescent="0.3">
      <c r="A742" t="s">
        <v>2093</v>
      </c>
      <c r="B742" s="2">
        <v>45508</v>
      </c>
      <c r="C742" t="s">
        <v>82</v>
      </c>
      <c r="D742" t="s">
        <v>60</v>
      </c>
      <c r="E742" t="s">
        <v>2094</v>
      </c>
      <c r="F742" t="s">
        <v>78</v>
      </c>
      <c r="G742" t="s">
        <v>2095</v>
      </c>
      <c r="H742" t="s">
        <v>80</v>
      </c>
      <c r="I742" t="s">
        <v>26</v>
      </c>
      <c r="J742">
        <v>3</v>
      </c>
      <c r="K742">
        <v>229</v>
      </c>
      <c r="L742">
        <v>687</v>
      </c>
      <c r="M742">
        <v>4.2</v>
      </c>
      <c r="N742">
        <v>48</v>
      </c>
      <c r="P742">
        <v>0</v>
      </c>
      <c r="Q742" t="s">
        <v>34</v>
      </c>
      <c r="R742">
        <v>32</v>
      </c>
      <c r="S742" t="s">
        <v>28</v>
      </c>
    </row>
    <row r="743" spans="1:19" x14ac:dyDescent="0.3">
      <c r="A743" t="s">
        <v>2096</v>
      </c>
      <c r="B743" s="2">
        <v>45377</v>
      </c>
      <c r="C743" t="s">
        <v>55</v>
      </c>
      <c r="D743" t="s">
        <v>36</v>
      </c>
      <c r="E743" t="s">
        <v>2097</v>
      </c>
      <c r="F743" t="s">
        <v>78</v>
      </c>
      <c r="G743" t="s">
        <v>2098</v>
      </c>
      <c r="H743" t="s">
        <v>80</v>
      </c>
      <c r="I743" t="s">
        <v>26</v>
      </c>
      <c r="J743">
        <v>3</v>
      </c>
      <c r="K743">
        <v>554</v>
      </c>
      <c r="L743">
        <v>1662</v>
      </c>
      <c r="M743">
        <v>4.2</v>
      </c>
      <c r="N743">
        <v>45</v>
      </c>
      <c r="O743">
        <v>999</v>
      </c>
      <c r="P743">
        <v>0</v>
      </c>
      <c r="Q743" t="s">
        <v>34</v>
      </c>
      <c r="R743">
        <v>29</v>
      </c>
      <c r="S743" t="s">
        <v>28</v>
      </c>
    </row>
    <row r="744" spans="1:19" x14ac:dyDescent="0.3">
      <c r="A744" t="s">
        <v>2099</v>
      </c>
      <c r="B744" s="2">
        <v>45432</v>
      </c>
      <c r="C744" t="s">
        <v>71</v>
      </c>
      <c r="D744" t="s">
        <v>44</v>
      </c>
      <c r="E744" t="s">
        <v>2100</v>
      </c>
      <c r="F744" t="s">
        <v>578</v>
      </c>
      <c r="G744" t="s">
        <v>2101</v>
      </c>
      <c r="H744" t="s">
        <v>80</v>
      </c>
      <c r="I744" t="s">
        <v>26</v>
      </c>
      <c r="J744">
        <v>3</v>
      </c>
      <c r="K744">
        <v>506</v>
      </c>
      <c r="L744">
        <v>1518</v>
      </c>
      <c r="M744">
        <v>4.0999999999999996</v>
      </c>
      <c r="N744">
        <v>55</v>
      </c>
      <c r="O744">
        <v>799</v>
      </c>
      <c r="P744">
        <v>0</v>
      </c>
      <c r="Q744" t="s">
        <v>49</v>
      </c>
      <c r="R744">
        <v>22</v>
      </c>
      <c r="S744" t="s">
        <v>41</v>
      </c>
    </row>
    <row r="745" spans="1:19" x14ac:dyDescent="0.3">
      <c r="A745" t="s">
        <v>2102</v>
      </c>
      <c r="B745" s="2">
        <v>45478</v>
      </c>
      <c r="C745" t="s">
        <v>59</v>
      </c>
      <c r="D745" t="s">
        <v>21</v>
      </c>
      <c r="E745" t="s">
        <v>2103</v>
      </c>
      <c r="F745" t="s">
        <v>192</v>
      </c>
      <c r="G745" t="s">
        <v>2104</v>
      </c>
      <c r="H745" t="s">
        <v>64</v>
      </c>
      <c r="I745" t="s">
        <v>26</v>
      </c>
      <c r="J745">
        <v>3</v>
      </c>
      <c r="K745">
        <v>545</v>
      </c>
      <c r="L745">
        <v>1635</v>
      </c>
      <c r="P745">
        <v>0</v>
      </c>
      <c r="Q745" t="s">
        <v>49</v>
      </c>
      <c r="R745">
        <v>47</v>
      </c>
      <c r="S745" t="s">
        <v>41</v>
      </c>
    </row>
    <row r="746" spans="1:19" x14ac:dyDescent="0.3">
      <c r="A746" t="s">
        <v>2105</v>
      </c>
      <c r="B746" s="2">
        <v>45310</v>
      </c>
      <c r="C746" t="s">
        <v>43</v>
      </c>
      <c r="D746" t="s">
        <v>21</v>
      </c>
      <c r="E746" t="s">
        <v>2106</v>
      </c>
      <c r="F746" t="s">
        <v>78</v>
      </c>
      <c r="G746" t="s">
        <v>373</v>
      </c>
      <c r="H746" t="s">
        <v>80</v>
      </c>
      <c r="I746" t="s">
        <v>26</v>
      </c>
      <c r="J746">
        <v>3</v>
      </c>
      <c r="K746">
        <v>394</v>
      </c>
      <c r="L746">
        <v>1182</v>
      </c>
      <c r="M746">
        <v>4.3</v>
      </c>
      <c r="N746">
        <v>60</v>
      </c>
      <c r="P746">
        <v>0</v>
      </c>
      <c r="Q746" t="s">
        <v>75</v>
      </c>
      <c r="R746">
        <v>40</v>
      </c>
      <c r="S746" t="s">
        <v>41</v>
      </c>
    </row>
    <row r="747" spans="1:19" x14ac:dyDescent="0.3">
      <c r="A747" t="s">
        <v>2107</v>
      </c>
      <c r="B747" s="2">
        <v>45468</v>
      </c>
      <c r="C747" t="s">
        <v>30</v>
      </c>
      <c r="D747" t="s">
        <v>36</v>
      </c>
      <c r="E747" t="s">
        <v>2108</v>
      </c>
      <c r="F747" t="s">
        <v>925</v>
      </c>
      <c r="G747" t="s">
        <v>1681</v>
      </c>
      <c r="H747" t="s">
        <v>80</v>
      </c>
      <c r="I747" t="s">
        <v>26</v>
      </c>
      <c r="J747">
        <v>4</v>
      </c>
      <c r="K747">
        <v>320</v>
      </c>
      <c r="L747">
        <v>1280</v>
      </c>
      <c r="M747">
        <v>4.4000000000000004</v>
      </c>
      <c r="N747">
        <v>47</v>
      </c>
      <c r="P747">
        <v>0</v>
      </c>
      <c r="Q747" t="s">
        <v>75</v>
      </c>
      <c r="R747">
        <v>33</v>
      </c>
      <c r="S747" t="s">
        <v>41</v>
      </c>
    </row>
    <row r="748" spans="1:19" x14ac:dyDescent="0.3">
      <c r="A748" t="s">
        <v>2109</v>
      </c>
      <c r="B748" s="2">
        <v>45391</v>
      </c>
      <c r="C748" t="s">
        <v>20</v>
      </c>
      <c r="D748" t="s">
        <v>36</v>
      </c>
      <c r="E748" t="s">
        <v>2110</v>
      </c>
      <c r="F748" t="s">
        <v>956</v>
      </c>
      <c r="G748" t="s">
        <v>373</v>
      </c>
      <c r="H748" t="s">
        <v>80</v>
      </c>
      <c r="I748" t="s">
        <v>26</v>
      </c>
      <c r="J748">
        <v>4</v>
      </c>
      <c r="K748">
        <v>403</v>
      </c>
      <c r="L748">
        <v>1612</v>
      </c>
      <c r="M748">
        <v>4.3</v>
      </c>
      <c r="N748">
        <v>53</v>
      </c>
      <c r="P748">
        <v>0</v>
      </c>
      <c r="Q748" t="s">
        <v>49</v>
      </c>
      <c r="R748">
        <v>31</v>
      </c>
      <c r="S748" t="s">
        <v>28</v>
      </c>
    </row>
    <row r="749" spans="1:19" x14ac:dyDescent="0.3">
      <c r="A749" t="s">
        <v>2111</v>
      </c>
      <c r="B749" s="2">
        <v>45431</v>
      </c>
      <c r="C749" t="s">
        <v>71</v>
      </c>
      <c r="D749" t="s">
        <v>60</v>
      </c>
      <c r="E749" t="s">
        <v>2112</v>
      </c>
      <c r="F749" t="s">
        <v>78</v>
      </c>
      <c r="G749" t="s">
        <v>1821</v>
      </c>
      <c r="H749" t="s">
        <v>64</v>
      </c>
      <c r="I749" t="s">
        <v>26</v>
      </c>
      <c r="J749">
        <v>4</v>
      </c>
      <c r="K749">
        <v>587</v>
      </c>
      <c r="L749">
        <v>2348</v>
      </c>
      <c r="M749">
        <v>4.3</v>
      </c>
      <c r="N749">
        <v>48</v>
      </c>
      <c r="O749">
        <v>449</v>
      </c>
      <c r="P749">
        <v>0</v>
      </c>
      <c r="Q749" t="s">
        <v>75</v>
      </c>
      <c r="R749">
        <v>27</v>
      </c>
      <c r="S749" t="s">
        <v>41</v>
      </c>
    </row>
    <row r="750" spans="1:19" x14ac:dyDescent="0.3">
      <c r="A750" t="s">
        <v>2113</v>
      </c>
      <c r="B750" s="2">
        <v>45480</v>
      </c>
      <c r="C750" t="s">
        <v>59</v>
      </c>
      <c r="D750" t="s">
        <v>60</v>
      </c>
      <c r="E750" t="s">
        <v>2114</v>
      </c>
      <c r="F750" t="s">
        <v>578</v>
      </c>
      <c r="G750" t="s">
        <v>2115</v>
      </c>
      <c r="H750" t="s">
        <v>80</v>
      </c>
      <c r="I750" t="s">
        <v>26</v>
      </c>
      <c r="J750">
        <v>2</v>
      </c>
      <c r="K750">
        <v>292</v>
      </c>
      <c r="L750">
        <v>584</v>
      </c>
      <c r="M750">
        <v>4.4000000000000004</v>
      </c>
      <c r="N750">
        <v>50</v>
      </c>
      <c r="O750">
        <v>449</v>
      </c>
      <c r="P750">
        <v>0</v>
      </c>
      <c r="Q750" t="s">
        <v>49</v>
      </c>
      <c r="R750">
        <v>24</v>
      </c>
      <c r="S750" t="s">
        <v>28</v>
      </c>
    </row>
    <row r="751" spans="1:19" x14ac:dyDescent="0.3">
      <c r="A751" t="s">
        <v>2116</v>
      </c>
      <c r="B751" s="2">
        <v>45524</v>
      </c>
      <c r="C751" t="s">
        <v>82</v>
      </c>
      <c r="D751" t="s">
        <v>36</v>
      </c>
      <c r="E751" t="s">
        <v>2117</v>
      </c>
      <c r="F751" t="s">
        <v>87</v>
      </c>
      <c r="G751" t="s">
        <v>2118</v>
      </c>
      <c r="H751" t="s">
        <v>80</v>
      </c>
      <c r="I751" t="s">
        <v>26</v>
      </c>
      <c r="J751">
        <v>2</v>
      </c>
      <c r="K751">
        <v>446</v>
      </c>
      <c r="L751">
        <v>892</v>
      </c>
      <c r="M751">
        <v>4</v>
      </c>
      <c r="N751">
        <v>42</v>
      </c>
      <c r="P751">
        <v>0</v>
      </c>
      <c r="Q751" t="s">
        <v>34</v>
      </c>
      <c r="R751">
        <v>30</v>
      </c>
      <c r="S751" t="s">
        <v>41</v>
      </c>
    </row>
    <row r="752" spans="1:19" x14ac:dyDescent="0.3">
      <c r="A752" t="s">
        <v>2119</v>
      </c>
      <c r="B752" s="2">
        <v>45438</v>
      </c>
      <c r="C752" t="s">
        <v>71</v>
      </c>
      <c r="D752" t="s">
        <v>60</v>
      </c>
      <c r="E752" t="s">
        <v>2120</v>
      </c>
      <c r="F752" t="s">
        <v>78</v>
      </c>
      <c r="G752" t="s">
        <v>2121</v>
      </c>
      <c r="H752" t="s">
        <v>48</v>
      </c>
      <c r="I752" t="s">
        <v>33</v>
      </c>
      <c r="J752">
        <v>2</v>
      </c>
      <c r="K752">
        <v>325</v>
      </c>
      <c r="L752">
        <v>650</v>
      </c>
      <c r="M752">
        <v>4.0999999999999996</v>
      </c>
      <c r="N752">
        <v>79</v>
      </c>
      <c r="O752">
        <v>1000</v>
      </c>
      <c r="P752">
        <v>40</v>
      </c>
      <c r="Q752" t="s">
        <v>34</v>
      </c>
      <c r="R752">
        <v>37</v>
      </c>
      <c r="S752" t="s">
        <v>41</v>
      </c>
    </row>
    <row r="753" spans="1:19" x14ac:dyDescent="0.3">
      <c r="A753" t="s">
        <v>2122</v>
      </c>
      <c r="B753" s="2">
        <v>45367</v>
      </c>
      <c r="C753" t="s">
        <v>55</v>
      </c>
      <c r="D753" t="s">
        <v>100</v>
      </c>
      <c r="E753" t="s">
        <v>2123</v>
      </c>
      <c r="F753" t="s">
        <v>62</v>
      </c>
      <c r="G753" t="s">
        <v>2124</v>
      </c>
      <c r="H753" t="s">
        <v>64</v>
      </c>
      <c r="I753" t="s">
        <v>26</v>
      </c>
      <c r="J753">
        <v>2</v>
      </c>
      <c r="K753">
        <v>182</v>
      </c>
      <c r="L753">
        <v>364</v>
      </c>
      <c r="M753">
        <v>4.2</v>
      </c>
      <c r="N753">
        <v>42</v>
      </c>
      <c r="P753">
        <v>0</v>
      </c>
      <c r="Q753" t="s">
        <v>27</v>
      </c>
      <c r="R753">
        <v>45</v>
      </c>
      <c r="S753" t="s">
        <v>41</v>
      </c>
    </row>
    <row r="754" spans="1:19" x14ac:dyDescent="0.3">
      <c r="A754" t="s">
        <v>2125</v>
      </c>
      <c r="B754" s="2">
        <v>45300</v>
      </c>
      <c r="C754" t="s">
        <v>43</v>
      </c>
      <c r="D754" t="s">
        <v>36</v>
      </c>
      <c r="E754" t="s">
        <v>2126</v>
      </c>
      <c r="F754" t="s">
        <v>78</v>
      </c>
      <c r="G754" t="s">
        <v>2127</v>
      </c>
      <c r="H754" t="s">
        <v>53</v>
      </c>
      <c r="I754" t="s">
        <v>26</v>
      </c>
      <c r="J754">
        <v>3</v>
      </c>
      <c r="K754">
        <v>192</v>
      </c>
      <c r="L754">
        <v>576</v>
      </c>
      <c r="M754">
        <v>3.9</v>
      </c>
      <c r="N754">
        <v>56</v>
      </c>
      <c r="P754">
        <v>0</v>
      </c>
      <c r="Q754" t="s">
        <v>34</v>
      </c>
      <c r="R754">
        <v>46</v>
      </c>
      <c r="S754" t="s">
        <v>41</v>
      </c>
    </row>
    <row r="755" spans="1:19" x14ac:dyDescent="0.3">
      <c r="A755" t="s">
        <v>2128</v>
      </c>
      <c r="B755" s="2">
        <v>45490</v>
      </c>
      <c r="C755" t="s">
        <v>59</v>
      </c>
      <c r="D755" t="s">
        <v>72</v>
      </c>
      <c r="E755" t="s">
        <v>2129</v>
      </c>
      <c r="F755" t="s">
        <v>192</v>
      </c>
      <c r="G755" t="s">
        <v>2130</v>
      </c>
      <c r="H755" t="s">
        <v>80</v>
      </c>
      <c r="I755" t="s">
        <v>26</v>
      </c>
      <c r="J755">
        <v>3</v>
      </c>
      <c r="K755">
        <v>370</v>
      </c>
      <c r="L755">
        <v>1110</v>
      </c>
      <c r="M755">
        <v>3.9</v>
      </c>
      <c r="N755">
        <v>48</v>
      </c>
      <c r="O755">
        <v>599</v>
      </c>
      <c r="P755">
        <v>0</v>
      </c>
      <c r="Q755" t="s">
        <v>49</v>
      </c>
      <c r="R755">
        <v>22</v>
      </c>
      <c r="S755" t="s">
        <v>28</v>
      </c>
    </row>
    <row r="756" spans="1:19" x14ac:dyDescent="0.3">
      <c r="A756" t="s">
        <v>2131</v>
      </c>
      <c r="B756" s="2">
        <v>45319</v>
      </c>
      <c r="C756" t="s">
        <v>43</v>
      </c>
      <c r="D756" t="s">
        <v>60</v>
      </c>
      <c r="E756" t="s">
        <v>2132</v>
      </c>
      <c r="F756" t="s">
        <v>62</v>
      </c>
      <c r="G756" t="s">
        <v>2133</v>
      </c>
      <c r="H756" t="s">
        <v>53</v>
      </c>
      <c r="I756" t="s">
        <v>26</v>
      </c>
      <c r="J756">
        <v>3</v>
      </c>
      <c r="K756">
        <v>243</v>
      </c>
      <c r="L756">
        <v>729</v>
      </c>
      <c r="M756">
        <v>4.2</v>
      </c>
      <c r="N756">
        <v>44</v>
      </c>
      <c r="P756">
        <v>0</v>
      </c>
      <c r="Q756" t="s">
        <v>75</v>
      </c>
      <c r="R756">
        <v>46</v>
      </c>
      <c r="S756" t="s">
        <v>41</v>
      </c>
    </row>
    <row r="757" spans="1:19" x14ac:dyDescent="0.3">
      <c r="A757" t="s">
        <v>2134</v>
      </c>
      <c r="B757" s="2">
        <v>45497</v>
      </c>
      <c r="C757" t="s">
        <v>59</v>
      </c>
      <c r="D757" t="s">
        <v>72</v>
      </c>
      <c r="E757" t="s">
        <v>2135</v>
      </c>
      <c r="F757" t="s">
        <v>2136</v>
      </c>
      <c r="G757" t="s">
        <v>2137</v>
      </c>
      <c r="H757" t="s">
        <v>80</v>
      </c>
      <c r="I757" t="s">
        <v>26</v>
      </c>
      <c r="J757">
        <v>1</v>
      </c>
      <c r="K757">
        <v>494</v>
      </c>
      <c r="L757">
        <v>494</v>
      </c>
      <c r="M757">
        <v>4.0999999999999996</v>
      </c>
      <c r="N757">
        <v>48</v>
      </c>
      <c r="P757">
        <v>0</v>
      </c>
      <c r="Q757" t="s">
        <v>27</v>
      </c>
      <c r="R757">
        <v>20</v>
      </c>
      <c r="S757" t="s">
        <v>41</v>
      </c>
    </row>
    <row r="758" spans="1:19" x14ac:dyDescent="0.3">
      <c r="A758" t="s">
        <v>2138</v>
      </c>
      <c r="B758" s="2">
        <v>45514</v>
      </c>
      <c r="C758" t="s">
        <v>82</v>
      </c>
      <c r="D758" t="s">
        <v>100</v>
      </c>
      <c r="E758" t="s">
        <v>2139</v>
      </c>
      <c r="F758" t="s">
        <v>78</v>
      </c>
      <c r="G758" t="s">
        <v>2140</v>
      </c>
      <c r="H758" t="s">
        <v>80</v>
      </c>
      <c r="I758" t="s">
        <v>26</v>
      </c>
      <c r="J758">
        <v>4</v>
      </c>
      <c r="K758">
        <v>240</v>
      </c>
      <c r="L758">
        <v>960</v>
      </c>
      <c r="M758">
        <v>4.2</v>
      </c>
      <c r="N758">
        <v>47</v>
      </c>
      <c r="O758">
        <v>1200</v>
      </c>
      <c r="P758">
        <v>10</v>
      </c>
      <c r="Q758" t="s">
        <v>75</v>
      </c>
      <c r="R758">
        <v>32</v>
      </c>
      <c r="S758" t="s">
        <v>28</v>
      </c>
    </row>
    <row r="759" spans="1:19" x14ac:dyDescent="0.3">
      <c r="A759" t="s">
        <v>2141</v>
      </c>
      <c r="B759" s="2">
        <v>45419</v>
      </c>
      <c r="C759" t="s">
        <v>71</v>
      </c>
      <c r="D759" t="s">
        <v>36</v>
      </c>
      <c r="E759" t="s">
        <v>2142</v>
      </c>
      <c r="F759" t="s">
        <v>2143</v>
      </c>
      <c r="G759" t="s">
        <v>2069</v>
      </c>
      <c r="H759" t="s">
        <v>48</v>
      </c>
      <c r="I759" t="s">
        <v>33</v>
      </c>
      <c r="J759">
        <v>2</v>
      </c>
      <c r="K759">
        <v>394</v>
      </c>
      <c r="L759">
        <v>788</v>
      </c>
      <c r="M759">
        <v>4.5999999999999996</v>
      </c>
      <c r="N759">
        <v>52</v>
      </c>
      <c r="O759">
        <v>500</v>
      </c>
      <c r="P759">
        <v>10</v>
      </c>
      <c r="Q759" t="s">
        <v>49</v>
      </c>
      <c r="R759">
        <v>21</v>
      </c>
      <c r="S759" t="s">
        <v>28</v>
      </c>
    </row>
    <row r="760" spans="1:19" x14ac:dyDescent="0.3">
      <c r="A760" t="s">
        <v>2144</v>
      </c>
      <c r="B760" s="2">
        <v>45343</v>
      </c>
      <c r="C760" t="s">
        <v>113</v>
      </c>
      <c r="D760" t="s">
        <v>72</v>
      </c>
      <c r="E760" t="s">
        <v>2145</v>
      </c>
      <c r="F760" t="s">
        <v>62</v>
      </c>
      <c r="G760" t="s">
        <v>2146</v>
      </c>
      <c r="H760" t="s">
        <v>80</v>
      </c>
      <c r="I760" t="s">
        <v>26</v>
      </c>
      <c r="J760">
        <v>2</v>
      </c>
      <c r="K760">
        <v>550</v>
      </c>
      <c r="L760">
        <v>1100</v>
      </c>
      <c r="M760">
        <v>4.5</v>
      </c>
      <c r="N760">
        <v>49</v>
      </c>
      <c r="P760">
        <v>0</v>
      </c>
      <c r="Q760" t="s">
        <v>34</v>
      </c>
      <c r="R760">
        <v>32</v>
      </c>
      <c r="S760" t="s">
        <v>41</v>
      </c>
    </row>
    <row r="761" spans="1:19" x14ac:dyDescent="0.3">
      <c r="A761" t="s">
        <v>2147</v>
      </c>
      <c r="B761" s="2">
        <v>45374</v>
      </c>
      <c r="C761" t="s">
        <v>55</v>
      </c>
      <c r="D761" t="s">
        <v>100</v>
      </c>
      <c r="E761" t="s">
        <v>2148</v>
      </c>
      <c r="F761" t="s">
        <v>46</v>
      </c>
      <c r="G761" t="s">
        <v>366</v>
      </c>
      <c r="H761" t="s">
        <v>53</v>
      </c>
      <c r="I761" t="s">
        <v>26</v>
      </c>
      <c r="J761">
        <v>3</v>
      </c>
      <c r="K761">
        <v>517</v>
      </c>
      <c r="L761">
        <v>1551</v>
      </c>
      <c r="M761">
        <v>3.5</v>
      </c>
      <c r="N761">
        <v>43</v>
      </c>
      <c r="P761">
        <v>0</v>
      </c>
      <c r="Q761" t="s">
        <v>27</v>
      </c>
      <c r="R761">
        <v>31</v>
      </c>
      <c r="S761" t="s">
        <v>28</v>
      </c>
    </row>
    <row r="762" spans="1:19" x14ac:dyDescent="0.3">
      <c r="A762" t="s">
        <v>2149</v>
      </c>
      <c r="B762" s="2">
        <v>45402</v>
      </c>
      <c r="C762" t="s">
        <v>20</v>
      </c>
      <c r="D762" t="s">
        <v>100</v>
      </c>
      <c r="E762" t="s">
        <v>2150</v>
      </c>
      <c r="F762" t="s">
        <v>46</v>
      </c>
      <c r="G762" t="s">
        <v>154</v>
      </c>
      <c r="H762" t="s">
        <v>80</v>
      </c>
      <c r="I762" t="s">
        <v>26</v>
      </c>
      <c r="J762">
        <v>2</v>
      </c>
      <c r="K762">
        <v>239</v>
      </c>
      <c r="L762">
        <v>478</v>
      </c>
      <c r="M762">
        <v>4.2</v>
      </c>
      <c r="N762">
        <v>41</v>
      </c>
      <c r="P762">
        <v>0</v>
      </c>
      <c r="Q762" t="s">
        <v>49</v>
      </c>
      <c r="R762">
        <v>37</v>
      </c>
      <c r="S762" t="s">
        <v>28</v>
      </c>
    </row>
    <row r="763" spans="1:19" x14ac:dyDescent="0.3">
      <c r="A763" t="s">
        <v>2151</v>
      </c>
      <c r="B763" s="2">
        <v>45435</v>
      </c>
      <c r="C763" t="s">
        <v>71</v>
      </c>
      <c r="D763" t="s">
        <v>92</v>
      </c>
      <c r="E763" t="s">
        <v>2152</v>
      </c>
      <c r="F763" t="s">
        <v>62</v>
      </c>
      <c r="G763" t="s">
        <v>2153</v>
      </c>
      <c r="H763" t="s">
        <v>40</v>
      </c>
      <c r="I763" t="s">
        <v>26</v>
      </c>
      <c r="J763">
        <v>2</v>
      </c>
      <c r="K763">
        <v>541</v>
      </c>
      <c r="L763">
        <v>1082</v>
      </c>
      <c r="M763">
        <v>4.2</v>
      </c>
      <c r="N763">
        <v>52</v>
      </c>
      <c r="P763">
        <v>0</v>
      </c>
      <c r="Q763" t="s">
        <v>27</v>
      </c>
      <c r="R763">
        <v>36</v>
      </c>
      <c r="S763" t="s">
        <v>28</v>
      </c>
    </row>
    <row r="764" spans="1:19" x14ac:dyDescent="0.3">
      <c r="A764" t="s">
        <v>2154</v>
      </c>
      <c r="B764" s="2">
        <v>45408</v>
      </c>
      <c r="C764" t="s">
        <v>20</v>
      </c>
      <c r="D764" t="s">
        <v>21</v>
      </c>
      <c r="E764" t="s">
        <v>2155</v>
      </c>
      <c r="F764" t="s">
        <v>23</v>
      </c>
      <c r="G764" t="s">
        <v>227</v>
      </c>
      <c r="H764" t="s">
        <v>80</v>
      </c>
      <c r="I764" t="s">
        <v>26</v>
      </c>
      <c r="J764">
        <v>4</v>
      </c>
      <c r="K764">
        <v>556</v>
      </c>
      <c r="L764">
        <v>2224</v>
      </c>
      <c r="M764">
        <v>4.4000000000000004</v>
      </c>
      <c r="N764">
        <v>31</v>
      </c>
      <c r="P764">
        <v>0</v>
      </c>
      <c r="Q764" t="s">
        <v>27</v>
      </c>
      <c r="R764">
        <v>30</v>
      </c>
      <c r="S764" t="s">
        <v>41</v>
      </c>
    </row>
    <row r="765" spans="1:19" x14ac:dyDescent="0.3">
      <c r="A765" t="s">
        <v>2156</v>
      </c>
      <c r="B765" s="2">
        <v>45360</v>
      </c>
      <c r="C765" t="s">
        <v>55</v>
      </c>
      <c r="D765" t="s">
        <v>100</v>
      </c>
      <c r="E765" t="s">
        <v>2157</v>
      </c>
      <c r="F765" t="s">
        <v>115</v>
      </c>
      <c r="G765" t="s">
        <v>2158</v>
      </c>
      <c r="H765" t="s">
        <v>80</v>
      </c>
      <c r="I765" t="s">
        <v>26</v>
      </c>
      <c r="J765">
        <v>3</v>
      </c>
      <c r="K765">
        <v>436</v>
      </c>
      <c r="L765">
        <v>1308</v>
      </c>
      <c r="M765">
        <v>4.4000000000000004</v>
      </c>
      <c r="N765">
        <v>30</v>
      </c>
      <c r="P765">
        <v>0</v>
      </c>
      <c r="Q765" t="s">
        <v>34</v>
      </c>
      <c r="R765">
        <v>27</v>
      </c>
      <c r="S765" t="s">
        <v>28</v>
      </c>
    </row>
    <row r="766" spans="1:19" x14ac:dyDescent="0.3">
      <c r="A766" t="s">
        <v>2159</v>
      </c>
      <c r="B766" s="2">
        <v>45390</v>
      </c>
      <c r="C766" t="s">
        <v>20</v>
      </c>
      <c r="D766" t="s">
        <v>44</v>
      </c>
      <c r="E766" t="s">
        <v>2160</v>
      </c>
      <c r="F766" t="s">
        <v>46</v>
      </c>
      <c r="G766" t="s">
        <v>2161</v>
      </c>
      <c r="H766" t="s">
        <v>53</v>
      </c>
      <c r="I766" t="s">
        <v>26</v>
      </c>
      <c r="J766">
        <v>4</v>
      </c>
      <c r="K766">
        <v>283</v>
      </c>
      <c r="L766">
        <v>1132</v>
      </c>
      <c r="M766">
        <v>3.9</v>
      </c>
      <c r="N766">
        <v>33</v>
      </c>
      <c r="P766">
        <v>0</v>
      </c>
      <c r="Q766" t="s">
        <v>49</v>
      </c>
      <c r="R766">
        <v>38</v>
      </c>
      <c r="S766" t="s">
        <v>41</v>
      </c>
    </row>
    <row r="767" spans="1:19" x14ac:dyDescent="0.3">
      <c r="A767" t="s">
        <v>2162</v>
      </c>
      <c r="B767" s="2">
        <v>45431</v>
      </c>
      <c r="C767" t="s">
        <v>71</v>
      </c>
      <c r="D767" t="s">
        <v>60</v>
      </c>
      <c r="E767" t="s">
        <v>2163</v>
      </c>
      <c r="F767" t="s">
        <v>2164</v>
      </c>
      <c r="G767" t="s">
        <v>109</v>
      </c>
      <c r="H767" t="s">
        <v>64</v>
      </c>
      <c r="I767" t="s">
        <v>26</v>
      </c>
      <c r="J767">
        <v>1</v>
      </c>
      <c r="K767">
        <v>543</v>
      </c>
      <c r="L767">
        <v>543</v>
      </c>
      <c r="M767">
        <v>4.4000000000000004</v>
      </c>
      <c r="N767">
        <v>27</v>
      </c>
      <c r="O767">
        <v>449</v>
      </c>
      <c r="P767">
        <v>0</v>
      </c>
      <c r="Q767" t="s">
        <v>75</v>
      </c>
      <c r="R767">
        <v>49</v>
      </c>
      <c r="S767" t="s">
        <v>41</v>
      </c>
    </row>
    <row r="768" spans="1:19" x14ac:dyDescent="0.3">
      <c r="A768" t="s">
        <v>2165</v>
      </c>
      <c r="B768" s="2">
        <v>45316</v>
      </c>
      <c r="C768" t="s">
        <v>43</v>
      </c>
      <c r="D768" t="s">
        <v>92</v>
      </c>
      <c r="E768" t="s">
        <v>2166</v>
      </c>
      <c r="F768" t="s">
        <v>192</v>
      </c>
      <c r="G768" t="s">
        <v>2167</v>
      </c>
      <c r="H768" t="s">
        <v>25</v>
      </c>
      <c r="I768" t="s">
        <v>26</v>
      </c>
      <c r="J768">
        <v>1</v>
      </c>
      <c r="K768">
        <v>584</v>
      </c>
      <c r="L768">
        <v>584</v>
      </c>
      <c r="P768">
        <v>0</v>
      </c>
      <c r="Q768" t="s">
        <v>27</v>
      </c>
      <c r="R768">
        <v>22</v>
      </c>
      <c r="S768" t="s">
        <v>41</v>
      </c>
    </row>
    <row r="769" spans="1:19" x14ac:dyDescent="0.3">
      <c r="A769" t="s">
        <v>2168</v>
      </c>
      <c r="B769" s="2">
        <v>45471</v>
      </c>
      <c r="C769" t="s">
        <v>30</v>
      </c>
      <c r="D769" t="s">
        <v>21</v>
      </c>
      <c r="E769" t="s">
        <v>2169</v>
      </c>
      <c r="F769" t="s">
        <v>46</v>
      </c>
      <c r="G769" t="s">
        <v>2170</v>
      </c>
      <c r="H769" t="s">
        <v>80</v>
      </c>
      <c r="I769" t="s">
        <v>26</v>
      </c>
      <c r="J769">
        <v>1</v>
      </c>
      <c r="K769">
        <v>405</v>
      </c>
      <c r="L769">
        <v>405</v>
      </c>
      <c r="M769">
        <v>4.5</v>
      </c>
      <c r="N769">
        <v>33</v>
      </c>
      <c r="P769">
        <v>0</v>
      </c>
      <c r="Q769" t="s">
        <v>27</v>
      </c>
      <c r="R769">
        <v>44</v>
      </c>
      <c r="S769" t="s">
        <v>41</v>
      </c>
    </row>
    <row r="770" spans="1:19" x14ac:dyDescent="0.3">
      <c r="A770" t="s">
        <v>2171</v>
      </c>
      <c r="B770" s="2">
        <v>45414</v>
      </c>
      <c r="C770" t="s">
        <v>71</v>
      </c>
      <c r="D770" t="s">
        <v>92</v>
      </c>
      <c r="E770" t="s">
        <v>2172</v>
      </c>
      <c r="F770" t="s">
        <v>2173</v>
      </c>
      <c r="G770" t="s">
        <v>84</v>
      </c>
      <c r="H770" t="s">
        <v>64</v>
      </c>
      <c r="I770" t="s">
        <v>26</v>
      </c>
      <c r="J770">
        <v>3</v>
      </c>
      <c r="K770">
        <v>384</v>
      </c>
      <c r="L770">
        <v>1152</v>
      </c>
      <c r="O770">
        <v>399</v>
      </c>
      <c r="P770">
        <v>0</v>
      </c>
      <c r="Q770" t="s">
        <v>75</v>
      </c>
      <c r="R770">
        <v>40</v>
      </c>
      <c r="S770" t="s">
        <v>28</v>
      </c>
    </row>
    <row r="771" spans="1:19" x14ac:dyDescent="0.3">
      <c r="A771" t="s">
        <v>2174</v>
      </c>
      <c r="B771" s="2">
        <v>45504</v>
      </c>
      <c r="C771" t="s">
        <v>59</v>
      </c>
      <c r="D771" t="s">
        <v>72</v>
      </c>
      <c r="E771" t="s">
        <v>2175</v>
      </c>
      <c r="F771" t="s">
        <v>46</v>
      </c>
      <c r="G771" t="s">
        <v>2176</v>
      </c>
      <c r="H771" t="s">
        <v>40</v>
      </c>
      <c r="I771" t="s">
        <v>26</v>
      </c>
      <c r="J771">
        <v>2</v>
      </c>
      <c r="K771">
        <v>439</v>
      </c>
      <c r="L771">
        <v>878</v>
      </c>
      <c r="M771">
        <v>4.4000000000000004</v>
      </c>
      <c r="N771">
        <v>40</v>
      </c>
      <c r="P771">
        <v>0</v>
      </c>
      <c r="Q771" t="s">
        <v>49</v>
      </c>
      <c r="R771">
        <v>37</v>
      </c>
      <c r="S771" t="s">
        <v>41</v>
      </c>
    </row>
    <row r="772" spans="1:19" x14ac:dyDescent="0.3">
      <c r="A772" t="s">
        <v>2177</v>
      </c>
      <c r="B772" s="2">
        <v>45519</v>
      </c>
      <c r="C772" t="s">
        <v>82</v>
      </c>
      <c r="D772" t="s">
        <v>92</v>
      </c>
      <c r="E772" t="s">
        <v>2178</v>
      </c>
      <c r="F772" t="s">
        <v>115</v>
      </c>
      <c r="G772" t="s">
        <v>2179</v>
      </c>
      <c r="H772" t="s">
        <v>53</v>
      </c>
      <c r="I772" t="s">
        <v>26</v>
      </c>
      <c r="J772">
        <v>3</v>
      </c>
      <c r="K772">
        <v>280</v>
      </c>
      <c r="L772">
        <v>840</v>
      </c>
      <c r="M772">
        <v>4.3</v>
      </c>
      <c r="N772">
        <v>32</v>
      </c>
      <c r="O772">
        <v>449</v>
      </c>
      <c r="P772">
        <v>0</v>
      </c>
      <c r="Q772" t="s">
        <v>27</v>
      </c>
      <c r="R772">
        <v>46</v>
      </c>
      <c r="S772" t="s">
        <v>28</v>
      </c>
    </row>
    <row r="773" spans="1:19" x14ac:dyDescent="0.3">
      <c r="A773" t="s">
        <v>2180</v>
      </c>
      <c r="B773" s="2">
        <v>45344</v>
      </c>
      <c r="C773" t="s">
        <v>113</v>
      </c>
      <c r="D773" t="s">
        <v>92</v>
      </c>
      <c r="E773" t="s">
        <v>2181</v>
      </c>
      <c r="F773" t="s">
        <v>192</v>
      </c>
      <c r="G773" t="s">
        <v>1347</v>
      </c>
      <c r="H773" t="s">
        <v>64</v>
      </c>
      <c r="I773" t="s">
        <v>26</v>
      </c>
      <c r="J773">
        <v>3</v>
      </c>
      <c r="K773">
        <v>495</v>
      </c>
      <c r="L773">
        <v>1485</v>
      </c>
      <c r="M773">
        <v>4.5999999999999996</v>
      </c>
      <c r="N773">
        <v>35</v>
      </c>
      <c r="P773">
        <v>0</v>
      </c>
      <c r="Q773" t="s">
        <v>27</v>
      </c>
      <c r="R773">
        <v>37</v>
      </c>
      <c r="S773" t="s">
        <v>41</v>
      </c>
    </row>
    <row r="774" spans="1:19" x14ac:dyDescent="0.3">
      <c r="A774" t="s">
        <v>2182</v>
      </c>
      <c r="B774" s="2">
        <v>45442</v>
      </c>
      <c r="C774" t="s">
        <v>71</v>
      </c>
      <c r="D774" t="s">
        <v>92</v>
      </c>
      <c r="E774" t="s">
        <v>2183</v>
      </c>
      <c r="F774" t="s">
        <v>46</v>
      </c>
      <c r="G774" t="s">
        <v>2184</v>
      </c>
      <c r="H774" t="s">
        <v>80</v>
      </c>
      <c r="I774" t="s">
        <v>26</v>
      </c>
      <c r="J774">
        <v>2</v>
      </c>
      <c r="K774">
        <v>427</v>
      </c>
      <c r="L774">
        <v>854</v>
      </c>
      <c r="M774">
        <v>4.2</v>
      </c>
      <c r="N774">
        <v>41</v>
      </c>
      <c r="O774">
        <v>50</v>
      </c>
      <c r="P774">
        <v>20</v>
      </c>
      <c r="Q774" t="s">
        <v>27</v>
      </c>
      <c r="R774">
        <v>42</v>
      </c>
      <c r="S774" t="s">
        <v>28</v>
      </c>
    </row>
    <row r="775" spans="1:19" x14ac:dyDescent="0.3">
      <c r="A775" t="s">
        <v>2185</v>
      </c>
      <c r="B775" s="2">
        <v>45435</v>
      </c>
      <c r="C775" t="s">
        <v>71</v>
      </c>
      <c r="D775" t="s">
        <v>92</v>
      </c>
      <c r="E775" t="s">
        <v>2186</v>
      </c>
      <c r="F775" t="s">
        <v>62</v>
      </c>
      <c r="G775" t="s">
        <v>1231</v>
      </c>
      <c r="H775" t="s">
        <v>80</v>
      </c>
      <c r="I775" t="s">
        <v>26</v>
      </c>
      <c r="J775">
        <v>4</v>
      </c>
      <c r="K775">
        <v>208</v>
      </c>
      <c r="L775">
        <v>832</v>
      </c>
      <c r="M775">
        <v>4.4000000000000004</v>
      </c>
      <c r="N775">
        <v>53</v>
      </c>
      <c r="P775">
        <v>0</v>
      </c>
      <c r="Q775" t="s">
        <v>49</v>
      </c>
      <c r="R775">
        <v>23</v>
      </c>
      <c r="S775" t="s">
        <v>41</v>
      </c>
    </row>
    <row r="776" spans="1:19" x14ac:dyDescent="0.3">
      <c r="A776" t="s">
        <v>2187</v>
      </c>
      <c r="B776" s="2">
        <v>45348</v>
      </c>
      <c r="C776" t="s">
        <v>113</v>
      </c>
      <c r="D776" t="s">
        <v>44</v>
      </c>
      <c r="E776" t="s">
        <v>2188</v>
      </c>
      <c r="F776" t="s">
        <v>78</v>
      </c>
      <c r="G776" t="s">
        <v>2189</v>
      </c>
      <c r="H776" t="s">
        <v>53</v>
      </c>
      <c r="I776" t="s">
        <v>26</v>
      </c>
      <c r="J776">
        <v>1</v>
      </c>
      <c r="K776">
        <v>261</v>
      </c>
      <c r="L776">
        <v>261</v>
      </c>
      <c r="M776">
        <v>4.0999999999999996</v>
      </c>
      <c r="N776">
        <v>53</v>
      </c>
      <c r="P776">
        <v>0</v>
      </c>
      <c r="Q776" t="s">
        <v>49</v>
      </c>
      <c r="R776">
        <v>48</v>
      </c>
      <c r="S776" t="s">
        <v>28</v>
      </c>
    </row>
    <row r="777" spans="1:19" x14ac:dyDescent="0.3">
      <c r="A777" t="s">
        <v>2190</v>
      </c>
      <c r="B777" s="2">
        <v>45330</v>
      </c>
      <c r="C777" t="s">
        <v>113</v>
      </c>
      <c r="D777" t="s">
        <v>92</v>
      </c>
      <c r="E777" t="s">
        <v>2191</v>
      </c>
      <c r="F777" t="s">
        <v>192</v>
      </c>
      <c r="G777" t="s">
        <v>344</v>
      </c>
      <c r="H777" t="s">
        <v>40</v>
      </c>
      <c r="I777" t="s">
        <v>26</v>
      </c>
      <c r="J777">
        <v>4</v>
      </c>
      <c r="K777">
        <v>322</v>
      </c>
      <c r="L777">
        <v>1288</v>
      </c>
      <c r="M777">
        <v>4.3</v>
      </c>
      <c r="N777">
        <v>66</v>
      </c>
      <c r="O777">
        <v>399</v>
      </c>
      <c r="P777">
        <v>0</v>
      </c>
      <c r="Q777" t="s">
        <v>75</v>
      </c>
      <c r="R777">
        <v>21</v>
      </c>
      <c r="S777" t="s">
        <v>41</v>
      </c>
    </row>
    <row r="778" spans="1:19" x14ac:dyDescent="0.3">
      <c r="A778" t="s">
        <v>2192</v>
      </c>
      <c r="B778" s="2">
        <v>45400</v>
      </c>
      <c r="C778" t="s">
        <v>20</v>
      </c>
      <c r="D778" t="s">
        <v>92</v>
      </c>
      <c r="E778" t="s">
        <v>2193</v>
      </c>
      <c r="F778" t="s">
        <v>192</v>
      </c>
      <c r="G778" t="s">
        <v>2194</v>
      </c>
      <c r="H778" t="s">
        <v>40</v>
      </c>
      <c r="I778" t="s">
        <v>26</v>
      </c>
      <c r="J778">
        <v>1</v>
      </c>
      <c r="K778">
        <v>428</v>
      </c>
      <c r="L778">
        <v>428</v>
      </c>
      <c r="M778">
        <v>4.5999999999999996</v>
      </c>
      <c r="N778">
        <v>57</v>
      </c>
      <c r="O778">
        <v>120</v>
      </c>
      <c r="P778">
        <v>60</v>
      </c>
      <c r="Q778" t="s">
        <v>49</v>
      </c>
      <c r="R778">
        <v>19</v>
      </c>
      <c r="S778" t="s">
        <v>41</v>
      </c>
    </row>
    <row r="779" spans="1:19" x14ac:dyDescent="0.3">
      <c r="A779" t="s">
        <v>2195</v>
      </c>
      <c r="B779" s="2">
        <v>45472</v>
      </c>
      <c r="C779" t="s">
        <v>30</v>
      </c>
      <c r="D779" t="s">
        <v>100</v>
      </c>
      <c r="E779" t="s">
        <v>2196</v>
      </c>
      <c r="F779" t="s">
        <v>2197</v>
      </c>
      <c r="G779" t="s">
        <v>2198</v>
      </c>
      <c r="H779" t="s">
        <v>80</v>
      </c>
      <c r="I779" t="s">
        <v>26</v>
      </c>
      <c r="J779">
        <v>3</v>
      </c>
      <c r="K779">
        <v>346</v>
      </c>
      <c r="L779">
        <v>1038</v>
      </c>
      <c r="P779">
        <v>0</v>
      </c>
      <c r="Q779" t="s">
        <v>49</v>
      </c>
      <c r="R779">
        <v>39</v>
      </c>
      <c r="S779" t="s">
        <v>28</v>
      </c>
    </row>
    <row r="780" spans="1:19" x14ac:dyDescent="0.3">
      <c r="A780" t="s">
        <v>2199</v>
      </c>
      <c r="B780" s="2">
        <v>45333</v>
      </c>
      <c r="C780" t="s">
        <v>113</v>
      </c>
      <c r="D780" t="s">
        <v>60</v>
      </c>
      <c r="E780" t="s">
        <v>2200</v>
      </c>
      <c r="F780" t="s">
        <v>115</v>
      </c>
      <c r="G780" t="s">
        <v>2201</v>
      </c>
      <c r="H780" t="s">
        <v>25</v>
      </c>
      <c r="I780" t="s">
        <v>26</v>
      </c>
      <c r="J780">
        <v>1</v>
      </c>
      <c r="K780">
        <v>562</v>
      </c>
      <c r="L780">
        <v>562</v>
      </c>
      <c r="M780">
        <v>4.2</v>
      </c>
      <c r="N780">
        <v>43</v>
      </c>
      <c r="O780">
        <v>499</v>
      </c>
      <c r="P780">
        <v>0</v>
      </c>
      <c r="Q780" t="s">
        <v>34</v>
      </c>
      <c r="R780">
        <v>49</v>
      </c>
      <c r="S780" t="s">
        <v>41</v>
      </c>
    </row>
    <row r="781" spans="1:19" x14ac:dyDescent="0.3">
      <c r="A781" t="s">
        <v>2202</v>
      </c>
      <c r="B781" s="2">
        <v>45477</v>
      </c>
      <c r="C781" t="s">
        <v>59</v>
      </c>
      <c r="D781" t="s">
        <v>92</v>
      </c>
      <c r="E781" t="s">
        <v>2203</v>
      </c>
      <c r="F781" t="s">
        <v>78</v>
      </c>
      <c r="G781" t="s">
        <v>2204</v>
      </c>
      <c r="H781" t="s">
        <v>40</v>
      </c>
      <c r="I781" t="s">
        <v>26</v>
      </c>
      <c r="J781">
        <v>3</v>
      </c>
      <c r="K781">
        <v>453</v>
      </c>
      <c r="L781">
        <v>1359</v>
      </c>
      <c r="M781">
        <v>4.2</v>
      </c>
      <c r="N781">
        <v>51</v>
      </c>
      <c r="O781">
        <v>449</v>
      </c>
      <c r="P781">
        <v>0</v>
      </c>
      <c r="Q781" t="s">
        <v>75</v>
      </c>
      <c r="R781">
        <v>33</v>
      </c>
      <c r="S781" t="s">
        <v>41</v>
      </c>
    </row>
    <row r="782" spans="1:19" x14ac:dyDescent="0.3">
      <c r="A782" t="s">
        <v>2205</v>
      </c>
      <c r="B782" s="2">
        <v>45458</v>
      </c>
      <c r="C782" t="s">
        <v>30</v>
      </c>
      <c r="D782" t="s">
        <v>100</v>
      </c>
      <c r="E782" t="s">
        <v>2206</v>
      </c>
      <c r="F782" t="s">
        <v>46</v>
      </c>
      <c r="G782" t="s">
        <v>2207</v>
      </c>
      <c r="H782" t="s">
        <v>64</v>
      </c>
      <c r="I782" t="s">
        <v>26</v>
      </c>
      <c r="J782">
        <v>4</v>
      </c>
      <c r="K782">
        <v>341</v>
      </c>
      <c r="L782">
        <v>1364</v>
      </c>
      <c r="M782">
        <v>4.3</v>
      </c>
      <c r="N782">
        <v>60</v>
      </c>
      <c r="P782">
        <v>0</v>
      </c>
      <c r="Q782" t="s">
        <v>27</v>
      </c>
      <c r="R782">
        <v>35</v>
      </c>
      <c r="S782" t="s">
        <v>41</v>
      </c>
    </row>
    <row r="783" spans="1:19" x14ac:dyDescent="0.3">
      <c r="A783" t="s">
        <v>2208</v>
      </c>
      <c r="B783" s="2">
        <v>45433</v>
      </c>
      <c r="C783" t="s">
        <v>71</v>
      </c>
      <c r="D783" t="s">
        <v>36</v>
      </c>
      <c r="E783" t="s">
        <v>2209</v>
      </c>
      <c r="F783" t="s">
        <v>115</v>
      </c>
      <c r="G783" t="s">
        <v>1076</v>
      </c>
      <c r="H783" t="s">
        <v>80</v>
      </c>
      <c r="I783" t="s">
        <v>26</v>
      </c>
      <c r="J783">
        <v>3</v>
      </c>
      <c r="K783">
        <v>160</v>
      </c>
      <c r="L783">
        <v>480</v>
      </c>
      <c r="M783">
        <v>3.5</v>
      </c>
      <c r="N783">
        <v>40</v>
      </c>
      <c r="P783">
        <v>0</v>
      </c>
      <c r="Q783" t="s">
        <v>49</v>
      </c>
      <c r="R783">
        <v>22</v>
      </c>
      <c r="S783" t="s">
        <v>28</v>
      </c>
    </row>
    <row r="784" spans="1:19" x14ac:dyDescent="0.3">
      <c r="A784" t="s">
        <v>2210</v>
      </c>
      <c r="B784" s="2">
        <v>45514</v>
      </c>
      <c r="C784" t="s">
        <v>82</v>
      </c>
      <c r="D784" t="s">
        <v>100</v>
      </c>
      <c r="E784" t="s">
        <v>2211</v>
      </c>
      <c r="F784" t="s">
        <v>517</v>
      </c>
      <c r="G784" t="s">
        <v>2212</v>
      </c>
      <c r="H784" t="s">
        <v>48</v>
      </c>
      <c r="I784" t="s">
        <v>33</v>
      </c>
      <c r="J784">
        <v>4</v>
      </c>
      <c r="K784">
        <v>315</v>
      </c>
      <c r="L784">
        <v>1260</v>
      </c>
      <c r="M784">
        <v>3.7</v>
      </c>
      <c r="N784">
        <v>42</v>
      </c>
      <c r="O784">
        <v>200</v>
      </c>
      <c r="P784">
        <v>40</v>
      </c>
      <c r="Q784" t="s">
        <v>27</v>
      </c>
      <c r="R784">
        <v>39</v>
      </c>
      <c r="S784" t="s">
        <v>41</v>
      </c>
    </row>
    <row r="785" spans="1:19" x14ac:dyDescent="0.3">
      <c r="A785" t="s">
        <v>2213</v>
      </c>
      <c r="B785" s="2">
        <v>45413</v>
      </c>
      <c r="C785" t="s">
        <v>71</v>
      </c>
      <c r="D785" t="s">
        <v>72</v>
      </c>
      <c r="E785" t="s">
        <v>2214</v>
      </c>
      <c r="F785" t="s">
        <v>192</v>
      </c>
      <c r="G785" t="s">
        <v>53</v>
      </c>
      <c r="H785" t="s">
        <v>53</v>
      </c>
      <c r="I785" t="s">
        <v>26</v>
      </c>
      <c r="J785">
        <v>2</v>
      </c>
      <c r="K785">
        <v>187</v>
      </c>
      <c r="L785">
        <v>374</v>
      </c>
      <c r="O785">
        <v>125</v>
      </c>
      <c r="P785">
        <v>25</v>
      </c>
      <c r="Q785" t="s">
        <v>27</v>
      </c>
      <c r="R785">
        <v>21</v>
      </c>
      <c r="S785" t="s">
        <v>41</v>
      </c>
    </row>
    <row r="786" spans="1:19" x14ac:dyDescent="0.3">
      <c r="A786" t="s">
        <v>2215</v>
      </c>
      <c r="B786" s="2">
        <v>45424</v>
      </c>
      <c r="C786" t="s">
        <v>71</v>
      </c>
      <c r="D786" t="s">
        <v>60</v>
      </c>
      <c r="E786" t="s">
        <v>2216</v>
      </c>
      <c r="F786" t="s">
        <v>115</v>
      </c>
      <c r="G786" t="s">
        <v>2217</v>
      </c>
      <c r="H786" t="s">
        <v>40</v>
      </c>
      <c r="I786" t="s">
        <v>26</v>
      </c>
      <c r="J786">
        <v>2</v>
      </c>
      <c r="K786">
        <v>595</v>
      </c>
      <c r="L786">
        <v>1190</v>
      </c>
      <c r="M786">
        <v>3.6</v>
      </c>
      <c r="N786">
        <v>48</v>
      </c>
      <c r="P786">
        <v>0</v>
      </c>
      <c r="Q786" t="s">
        <v>34</v>
      </c>
      <c r="R786">
        <v>47</v>
      </c>
      <c r="S786" t="s">
        <v>28</v>
      </c>
    </row>
    <row r="787" spans="1:19" x14ac:dyDescent="0.3">
      <c r="A787" t="s">
        <v>2218</v>
      </c>
      <c r="B787" s="2">
        <v>45454</v>
      </c>
      <c r="C787" t="s">
        <v>30</v>
      </c>
      <c r="D787" t="s">
        <v>36</v>
      </c>
      <c r="E787" t="s">
        <v>2219</v>
      </c>
      <c r="F787" t="s">
        <v>517</v>
      </c>
      <c r="G787" t="s">
        <v>79</v>
      </c>
      <c r="H787" t="s">
        <v>80</v>
      </c>
      <c r="I787" t="s">
        <v>26</v>
      </c>
      <c r="J787">
        <v>2</v>
      </c>
      <c r="K787">
        <v>383</v>
      </c>
      <c r="L787">
        <v>766</v>
      </c>
      <c r="M787">
        <v>3.8</v>
      </c>
      <c r="N787">
        <v>43</v>
      </c>
      <c r="P787">
        <v>0</v>
      </c>
      <c r="Q787" t="s">
        <v>49</v>
      </c>
      <c r="R787">
        <v>30</v>
      </c>
      <c r="S787" t="s">
        <v>28</v>
      </c>
    </row>
    <row r="788" spans="1:19" x14ac:dyDescent="0.3">
      <c r="A788" t="s">
        <v>2220</v>
      </c>
      <c r="B788" s="2">
        <v>45506</v>
      </c>
      <c r="C788" t="s">
        <v>82</v>
      </c>
      <c r="D788" t="s">
        <v>21</v>
      </c>
      <c r="E788" t="s">
        <v>2221</v>
      </c>
      <c r="F788" t="s">
        <v>192</v>
      </c>
      <c r="G788" t="s">
        <v>2222</v>
      </c>
      <c r="H788" t="s">
        <v>25</v>
      </c>
      <c r="I788" t="s">
        <v>26</v>
      </c>
      <c r="J788">
        <v>3</v>
      </c>
      <c r="K788">
        <v>121</v>
      </c>
      <c r="L788">
        <v>363</v>
      </c>
      <c r="M788">
        <v>3.7</v>
      </c>
      <c r="N788">
        <v>44</v>
      </c>
      <c r="O788">
        <v>499</v>
      </c>
      <c r="P788">
        <v>0</v>
      </c>
      <c r="Q788" t="s">
        <v>75</v>
      </c>
      <c r="R788">
        <v>36</v>
      </c>
      <c r="S788" t="s">
        <v>28</v>
      </c>
    </row>
    <row r="789" spans="1:19" x14ac:dyDescent="0.3">
      <c r="A789" t="s">
        <v>2223</v>
      </c>
      <c r="B789" s="2">
        <v>45512</v>
      </c>
      <c r="C789" t="s">
        <v>82</v>
      </c>
      <c r="D789" t="s">
        <v>92</v>
      </c>
      <c r="E789" t="s">
        <v>2224</v>
      </c>
      <c r="F789" t="s">
        <v>824</v>
      </c>
      <c r="G789" t="s">
        <v>2225</v>
      </c>
      <c r="H789" t="s">
        <v>80</v>
      </c>
      <c r="I789" t="s">
        <v>26</v>
      </c>
      <c r="J789">
        <v>2</v>
      </c>
      <c r="K789">
        <v>480</v>
      </c>
      <c r="L789">
        <v>960</v>
      </c>
      <c r="M789">
        <v>3.8</v>
      </c>
      <c r="N789">
        <v>55</v>
      </c>
      <c r="O789">
        <v>800</v>
      </c>
      <c r="P789">
        <v>15</v>
      </c>
      <c r="Q789" t="s">
        <v>49</v>
      </c>
      <c r="R789">
        <v>40</v>
      </c>
      <c r="S789" t="s">
        <v>28</v>
      </c>
    </row>
    <row r="790" spans="1:19" x14ac:dyDescent="0.3">
      <c r="A790" t="s">
        <v>2226</v>
      </c>
      <c r="B790" s="2">
        <v>45526</v>
      </c>
      <c r="C790" t="s">
        <v>82</v>
      </c>
      <c r="D790" t="s">
        <v>92</v>
      </c>
      <c r="E790" t="s">
        <v>2227</v>
      </c>
      <c r="F790" t="s">
        <v>578</v>
      </c>
      <c r="G790" t="s">
        <v>1821</v>
      </c>
      <c r="H790" t="s">
        <v>64</v>
      </c>
      <c r="I790" t="s">
        <v>26</v>
      </c>
      <c r="J790">
        <v>1</v>
      </c>
      <c r="K790">
        <v>244</v>
      </c>
      <c r="L790">
        <v>244</v>
      </c>
      <c r="M790">
        <v>3.3</v>
      </c>
      <c r="N790">
        <v>41</v>
      </c>
      <c r="O790">
        <v>699</v>
      </c>
      <c r="P790">
        <v>0</v>
      </c>
      <c r="Q790" t="s">
        <v>27</v>
      </c>
      <c r="R790">
        <v>19</v>
      </c>
      <c r="S790" t="s">
        <v>28</v>
      </c>
    </row>
    <row r="791" spans="1:19" x14ac:dyDescent="0.3">
      <c r="A791" t="s">
        <v>2228</v>
      </c>
      <c r="B791" s="2">
        <v>45366</v>
      </c>
      <c r="C791" t="s">
        <v>55</v>
      </c>
      <c r="D791" t="s">
        <v>21</v>
      </c>
      <c r="E791" t="s">
        <v>2229</v>
      </c>
      <c r="F791" t="s">
        <v>78</v>
      </c>
      <c r="G791" t="s">
        <v>2230</v>
      </c>
      <c r="H791" t="s">
        <v>80</v>
      </c>
      <c r="I791" t="s">
        <v>26</v>
      </c>
      <c r="J791">
        <v>4</v>
      </c>
      <c r="K791">
        <v>229</v>
      </c>
      <c r="L791">
        <v>916</v>
      </c>
      <c r="M791">
        <v>4.5</v>
      </c>
      <c r="N791">
        <v>50</v>
      </c>
      <c r="P791">
        <v>0</v>
      </c>
      <c r="Q791" t="s">
        <v>75</v>
      </c>
      <c r="R791">
        <v>30</v>
      </c>
      <c r="S791" t="s">
        <v>41</v>
      </c>
    </row>
    <row r="792" spans="1:19" x14ac:dyDescent="0.3">
      <c r="A792" t="s">
        <v>2231</v>
      </c>
      <c r="B792" s="2">
        <v>45437</v>
      </c>
      <c r="C792" t="s">
        <v>71</v>
      </c>
      <c r="D792" t="s">
        <v>100</v>
      </c>
      <c r="E792" t="s">
        <v>2232</v>
      </c>
      <c r="F792" t="s">
        <v>2233</v>
      </c>
      <c r="G792" t="s">
        <v>2234</v>
      </c>
      <c r="H792" t="s">
        <v>40</v>
      </c>
      <c r="I792" t="s">
        <v>26</v>
      </c>
      <c r="J792">
        <v>4</v>
      </c>
      <c r="K792">
        <v>205</v>
      </c>
      <c r="L792">
        <v>820</v>
      </c>
      <c r="M792">
        <v>4.9000000000000004</v>
      </c>
      <c r="N792">
        <v>59</v>
      </c>
      <c r="O792">
        <v>449</v>
      </c>
      <c r="P792">
        <v>0</v>
      </c>
      <c r="Q792" t="s">
        <v>49</v>
      </c>
      <c r="R792">
        <v>28</v>
      </c>
      <c r="S792" t="s">
        <v>41</v>
      </c>
    </row>
    <row r="793" spans="1:19" x14ac:dyDescent="0.3">
      <c r="A793" t="s">
        <v>2235</v>
      </c>
      <c r="B793" s="2">
        <v>45530</v>
      </c>
      <c r="C793" t="s">
        <v>82</v>
      </c>
      <c r="D793" t="s">
        <v>44</v>
      </c>
      <c r="E793" t="s">
        <v>2236</v>
      </c>
      <c r="F793" t="s">
        <v>578</v>
      </c>
      <c r="G793" t="s">
        <v>154</v>
      </c>
      <c r="H793" t="s">
        <v>80</v>
      </c>
      <c r="I793" t="s">
        <v>26</v>
      </c>
      <c r="J793">
        <v>1</v>
      </c>
      <c r="K793">
        <v>544</v>
      </c>
      <c r="L793">
        <v>544</v>
      </c>
      <c r="M793">
        <v>4.2</v>
      </c>
      <c r="N793">
        <v>50</v>
      </c>
      <c r="O793">
        <v>799</v>
      </c>
      <c r="P793">
        <v>0</v>
      </c>
      <c r="Q793" t="s">
        <v>27</v>
      </c>
      <c r="R793">
        <v>47</v>
      </c>
      <c r="S793" t="s">
        <v>41</v>
      </c>
    </row>
    <row r="794" spans="1:19" x14ac:dyDescent="0.3">
      <c r="A794" t="s">
        <v>2237</v>
      </c>
      <c r="B794" s="2">
        <v>45367</v>
      </c>
      <c r="C794" t="s">
        <v>55</v>
      </c>
      <c r="D794" t="s">
        <v>100</v>
      </c>
      <c r="E794" t="s">
        <v>2238</v>
      </c>
      <c r="F794" t="s">
        <v>450</v>
      </c>
      <c r="G794" t="s">
        <v>1347</v>
      </c>
      <c r="H794" t="s">
        <v>64</v>
      </c>
      <c r="I794" t="s">
        <v>26</v>
      </c>
      <c r="J794">
        <v>3</v>
      </c>
      <c r="K794">
        <v>239</v>
      </c>
      <c r="L794">
        <v>717</v>
      </c>
      <c r="M794">
        <v>4.5999999999999996</v>
      </c>
      <c r="N794">
        <v>48</v>
      </c>
      <c r="O794">
        <v>899</v>
      </c>
      <c r="P794">
        <v>0</v>
      </c>
      <c r="Q794" t="s">
        <v>27</v>
      </c>
      <c r="R794">
        <v>39</v>
      </c>
      <c r="S794" t="s">
        <v>28</v>
      </c>
    </row>
    <row r="795" spans="1:19" x14ac:dyDescent="0.3">
      <c r="A795" t="s">
        <v>2239</v>
      </c>
      <c r="B795" s="2">
        <v>45300</v>
      </c>
      <c r="C795" t="s">
        <v>43</v>
      </c>
      <c r="D795" t="s">
        <v>36</v>
      </c>
      <c r="E795" t="s">
        <v>2240</v>
      </c>
      <c r="F795" t="s">
        <v>578</v>
      </c>
      <c r="G795" t="s">
        <v>64</v>
      </c>
      <c r="H795" t="s">
        <v>64</v>
      </c>
      <c r="I795" t="s">
        <v>26</v>
      </c>
      <c r="J795">
        <v>3</v>
      </c>
      <c r="K795">
        <v>246</v>
      </c>
      <c r="L795">
        <v>738</v>
      </c>
      <c r="M795">
        <v>4.7</v>
      </c>
      <c r="N795">
        <v>40</v>
      </c>
      <c r="P795">
        <v>0</v>
      </c>
      <c r="Q795" t="s">
        <v>34</v>
      </c>
      <c r="R795">
        <v>46</v>
      </c>
      <c r="S795" t="s">
        <v>41</v>
      </c>
    </row>
    <row r="796" spans="1:19" x14ac:dyDescent="0.3">
      <c r="A796" t="s">
        <v>2241</v>
      </c>
      <c r="B796" s="2">
        <v>45365</v>
      </c>
      <c r="C796" t="s">
        <v>55</v>
      </c>
      <c r="D796" t="s">
        <v>92</v>
      </c>
      <c r="E796" t="s">
        <v>2242</v>
      </c>
      <c r="F796" t="s">
        <v>192</v>
      </c>
      <c r="G796" t="s">
        <v>1821</v>
      </c>
      <c r="H796" t="s">
        <v>64</v>
      </c>
      <c r="I796" t="s">
        <v>26</v>
      </c>
      <c r="J796">
        <v>4</v>
      </c>
      <c r="K796">
        <v>374</v>
      </c>
      <c r="L796">
        <v>1496</v>
      </c>
      <c r="M796">
        <v>4.2</v>
      </c>
      <c r="N796">
        <v>55</v>
      </c>
      <c r="O796">
        <v>449</v>
      </c>
      <c r="P796">
        <v>0</v>
      </c>
      <c r="Q796" t="s">
        <v>34</v>
      </c>
      <c r="R796">
        <v>21</v>
      </c>
      <c r="S796" t="s">
        <v>28</v>
      </c>
    </row>
    <row r="797" spans="1:19" x14ac:dyDescent="0.3">
      <c r="A797" t="s">
        <v>2243</v>
      </c>
      <c r="B797" s="2">
        <v>45477</v>
      </c>
      <c r="C797" t="s">
        <v>59</v>
      </c>
      <c r="D797" t="s">
        <v>92</v>
      </c>
      <c r="E797" t="s">
        <v>2244</v>
      </c>
      <c r="F797" t="s">
        <v>956</v>
      </c>
      <c r="G797" t="s">
        <v>2245</v>
      </c>
      <c r="H797" t="s">
        <v>64</v>
      </c>
      <c r="I797" t="s">
        <v>26</v>
      </c>
      <c r="J797">
        <v>2</v>
      </c>
      <c r="K797">
        <v>302</v>
      </c>
      <c r="L797">
        <v>604</v>
      </c>
      <c r="M797">
        <v>4.3</v>
      </c>
      <c r="N797">
        <v>48</v>
      </c>
      <c r="O797">
        <v>100</v>
      </c>
      <c r="P797">
        <v>20</v>
      </c>
      <c r="Q797" t="s">
        <v>34</v>
      </c>
      <c r="R797">
        <v>39</v>
      </c>
      <c r="S797" t="s">
        <v>28</v>
      </c>
    </row>
    <row r="798" spans="1:19" x14ac:dyDescent="0.3">
      <c r="A798" t="s">
        <v>2246</v>
      </c>
      <c r="B798" s="2">
        <v>45527</v>
      </c>
      <c r="C798" t="s">
        <v>82</v>
      </c>
      <c r="D798" t="s">
        <v>21</v>
      </c>
      <c r="E798" t="s">
        <v>2247</v>
      </c>
      <c r="F798" t="s">
        <v>1598</v>
      </c>
      <c r="G798" t="s">
        <v>1821</v>
      </c>
      <c r="H798" t="s">
        <v>64</v>
      </c>
      <c r="I798" t="s">
        <v>26</v>
      </c>
      <c r="J798">
        <v>3</v>
      </c>
      <c r="K798">
        <v>135</v>
      </c>
      <c r="L798">
        <v>405</v>
      </c>
      <c r="M798">
        <v>4</v>
      </c>
      <c r="N798">
        <v>49</v>
      </c>
      <c r="O798">
        <v>900</v>
      </c>
      <c r="P798">
        <v>10</v>
      </c>
      <c r="Q798" t="s">
        <v>27</v>
      </c>
      <c r="R798">
        <v>37</v>
      </c>
      <c r="S798" t="s">
        <v>41</v>
      </c>
    </row>
    <row r="799" spans="1:19" x14ac:dyDescent="0.3">
      <c r="A799" t="s">
        <v>2248</v>
      </c>
      <c r="B799" s="2">
        <v>45436</v>
      </c>
      <c r="C799" t="s">
        <v>71</v>
      </c>
      <c r="D799" t="s">
        <v>21</v>
      </c>
      <c r="E799" t="s">
        <v>2249</v>
      </c>
      <c r="F799" t="s">
        <v>2250</v>
      </c>
      <c r="G799" t="s">
        <v>2251</v>
      </c>
      <c r="H799" t="s">
        <v>80</v>
      </c>
      <c r="I799" t="s">
        <v>26</v>
      </c>
      <c r="J799">
        <v>3</v>
      </c>
      <c r="K799">
        <v>596</v>
      </c>
      <c r="L799">
        <v>1788</v>
      </c>
      <c r="M799">
        <v>4.2</v>
      </c>
      <c r="N799">
        <v>54</v>
      </c>
      <c r="O799">
        <v>80</v>
      </c>
      <c r="P799">
        <v>15</v>
      </c>
      <c r="Q799" t="s">
        <v>49</v>
      </c>
      <c r="R799">
        <v>37</v>
      </c>
      <c r="S799" t="s">
        <v>28</v>
      </c>
    </row>
    <row r="800" spans="1:19" x14ac:dyDescent="0.3">
      <c r="A800" t="s">
        <v>2252</v>
      </c>
      <c r="B800" s="2">
        <v>45521</v>
      </c>
      <c r="C800" t="s">
        <v>82</v>
      </c>
      <c r="D800" t="s">
        <v>100</v>
      </c>
      <c r="E800" t="s">
        <v>2253</v>
      </c>
      <c r="F800" t="s">
        <v>578</v>
      </c>
      <c r="G800" t="s">
        <v>1937</v>
      </c>
      <c r="H800" t="s">
        <v>80</v>
      </c>
      <c r="I800" t="s">
        <v>26</v>
      </c>
      <c r="J800">
        <v>1</v>
      </c>
      <c r="K800">
        <v>181</v>
      </c>
      <c r="L800">
        <v>181</v>
      </c>
      <c r="M800">
        <v>4.2</v>
      </c>
      <c r="N800">
        <v>45</v>
      </c>
      <c r="P800">
        <v>0</v>
      </c>
      <c r="Q800" t="s">
        <v>34</v>
      </c>
      <c r="R800">
        <v>32</v>
      </c>
      <c r="S800" t="s">
        <v>28</v>
      </c>
    </row>
    <row r="801" spans="1:19" x14ac:dyDescent="0.3">
      <c r="A801" t="s">
        <v>2254</v>
      </c>
      <c r="B801" s="2">
        <v>45298</v>
      </c>
      <c r="C801" t="s">
        <v>43</v>
      </c>
      <c r="D801" t="s">
        <v>60</v>
      </c>
      <c r="E801" t="s">
        <v>2255</v>
      </c>
      <c r="F801" t="s">
        <v>46</v>
      </c>
      <c r="G801" t="s">
        <v>154</v>
      </c>
      <c r="H801" t="s">
        <v>80</v>
      </c>
      <c r="I801" t="s">
        <v>26</v>
      </c>
      <c r="J801">
        <v>1</v>
      </c>
      <c r="K801">
        <v>488</v>
      </c>
      <c r="L801">
        <v>488</v>
      </c>
      <c r="M801">
        <v>4.5</v>
      </c>
      <c r="N801">
        <v>44</v>
      </c>
      <c r="P801">
        <v>0</v>
      </c>
      <c r="Q801" t="s">
        <v>49</v>
      </c>
      <c r="R801">
        <v>21</v>
      </c>
      <c r="S801" t="s">
        <v>41</v>
      </c>
    </row>
    <row r="802" spans="1:19" x14ac:dyDescent="0.3">
      <c r="A802" t="s">
        <v>2256</v>
      </c>
      <c r="B802" s="2">
        <v>45465</v>
      </c>
      <c r="C802" t="s">
        <v>30</v>
      </c>
      <c r="D802" t="s">
        <v>100</v>
      </c>
      <c r="E802" t="s">
        <v>2257</v>
      </c>
      <c r="F802" t="s">
        <v>2136</v>
      </c>
      <c r="G802" t="s">
        <v>2258</v>
      </c>
      <c r="H802" t="s">
        <v>53</v>
      </c>
      <c r="I802" t="s">
        <v>26</v>
      </c>
      <c r="J802">
        <v>2</v>
      </c>
      <c r="K802">
        <v>551</v>
      </c>
      <c r="L802">
        <v>1102</v>
      </c>
      <c r="M802">
        <v>4.4000000000000004</v>
      </c>
      <c r="N802">
        <v>44</v>
      </c>
      <c r="P802">
        <v>0</v>
      </c>
      <c r="Q802" t="s">
        <v>34</v>
      </c>
      <c r="R802">
        <v>26</v>
      </c>
      <c r="S802" t="s">
        <v>28</v>
      </c>
    </row>
    <row r="803" spans="1:19" x14ac:dyDescent="0.3">
      <c r="A803" t="s">
        <v>2259</v>
      </c>
      <c r="B803" s="2">
        <v>45432</v>
      </c>
      <c r="C803" t="s">
        <v>71</v>
      </c>
      <c r="D803" t="s">
        <v>44</v>
      </c>
      <c r="E803" t="s">
        <v>2260</v>
      </c>
      <c r="F803" t="s">
        <v>115</v>
      </c>
      <c r="G803" t="s">
        <v>2261</v>
      </c>
      <c r="H803" t="s">
        <v>48</v>
      </c>
      <c r="I803" t="s">
        <v>33</v>
      </c>
      <c r="J803">
        <v>3</v>
      </c>
      <c r="K803">
        <v>277</v>
      </c>
      <c r="L803">
        <v>831</v>
      </c>
      <c r="M803">
        <v>4.2</v>
      </c>
      <c r="N803">
        <v>53</v>
      </c>
      <c r="P803">
        <v>0</v>
      </c>
      <c r="Q803" t="s">
        <v>75</v>
      </c>
      <c r="R803">
        <v>24</v>
      </c>
      <c r="S803" t="s">
        <v>28</v>
      </c>
    </row>
    <row r="804" spans="1:19" x14ac:dyDescent="0.3">
      <c r="A804" t="s">
        <v>2262</v>
      </c>
      <c r="B804" s="2">
        <v>45459</v>
      </c>
      <c r="C804" t="s">
        <v>30</v>
      </c>
      <c r="D804" t="s">
        <v>60</v>
      </c>
      <c r="E804" t="s">
        <v>2263</v>
      </c>
      <c r="F804" t="s">
        <v>62</v>
      </c>
      <c r="G804" t="s">
        <v>2264</v>
      </c>
      <c r="H804" t="s">
        <v>80</v>
      </c>
      <c r="I804" t="s">
        <v>26</v>
      </c>
      <c r="J804">
        <v>3</v>
      </c>
      <c r="K804">
        <v>387</v>
      </c>
      <c r="L804">
        <v>1161</v>
      </c>
      <c r="M804">
        <v>4.3</v>
      </c>
      <c r="N804">
        <v>43</v>
      </c>
      <c r="O804">
        <v>600</v>
      </c>
      <c r="P804">
        <v>10</v>
      </c>
      <c r="Q804" t="s">
        <v>75</v>
      </c>
      <c r="R804">
        <v>36</v>
      </c>
      <c r="S804" t="s">
        <v>41</v>
      </c>
    </row>
    <row r="805" spans="1:19" x14ac:dyDescent="0.3">
      <c r="A805" t="s">
        <v>2265</v>
      </c>
      <c r="B805" s="2">
        <v>45461</v>
      </c>
      <c r="C805" t="s">
        <v>30</v>
      </c>
      <c r="D805" t="s">
        <v>36</v>
      </c>
      <c r="E805" t="s">
        <v>2266</v>
      </c>
      <c r="F805" t="s">
        <v>87</v>
      </c>
      <c r="G805" t="s">
        <v>64</v>
      </c>
      <c r="H805" t="s">
        <v>64</v>
      </c>
      <c r="I805" t="s">
        <v>26</v>
      </c>
      <c r="J805">
        <v>1</v>
      </c>
      <c r="K805">
        <v>154</v>
      </c>
      <c r="L805">
        <v>154</v>
      </c>
      <c r="M805">
        <v>3.6</v>
      </c>
      <c r="N805">
        <v>50</v>
      </c>
      <c r="O805">
        <v>999</v>
      </c>
      <c r="P805">
        <v>0</v>
      </c>
      <c r="Q805" t="s">
        <v>34</v>
      </c>
      <c r="R805">
        <v>36</v>
      </c>
      <c r="S805" t="s">
        <v>28</v>
      </c>
    </row>
    <row r="806" spans="1:19" x14ac:dyDescent="0.3">
      <c r="A806" t="s">
        <v>2267</v>
      </c>
      <c r="B806" s="2">
        <v>45428</v>
      </c>
      <c r="C806" t="s">
        <v>71</v>
      </c>
      <c r="D806" t="s">
        <v>92</v>
      </c>
      <c r="E806" t="s">
        <v>2268</v>
      </c>
      <c r="F806" t="s">
        <v>925</v>
      </c>
      <c r="G806" t="s">
        <v>79</v>
      </c>
      <c r="H806" t="s">
        <v>80</v>
      </c>
      <c r="I806" t="s">
        <v>26</v>
      </c>
      <c r="J806">
        <v>3</v>
      </c>
      <c r="K806">
        <v>386</v>
      </c>
      <c r="L806">
        <v>1158</v>
      </c>
      <c r="M806">
        <v>3.3</v>
      </c>
      <c r="N806">
        <v>46</v>
      </c>
      <c r="P806">
        <v>0</v>
      </c>
      <c r="Q806" t="s">
        <v>27</v>
      </c>
      <c r="R806">
        <v>23</v>
      </c>
      <c r="S806" t="s">
        <v>28</v>
      </c>
    </row>
    <row r="807" spans="1:19" x14ac:dyDescent="0.3">
      <c r="A807" t="s">
        <v>2269</v>
      </c>
      <c r="B807" s="2">
        <v>45469</v>
      </c>
      <c r="C807" t="s">
        <v>30</v>
      </c>
      <c r="D807" t="s">
        <v>72</v>
      </c>
      <c r="E807" t="s">
        <v>2270</v>
      </c>
      <c r="F807" t="s">
        <v>115</v>
      </c>
      <c r="G807" t="s">
        <v>1146</v>
      </c>
      <c r="H807" t="s">
        <v>40</v>
      </c>
      <c r="I807" t="s">
        <v>26</v>
      </c>
      <c r="J807">
        <v>4</v>
      </c>
      <c r="K807">
        <v>183</v>
      </c>
      <c r="L807">
        <v>732</v>
      </c>
      <c r="M807">
        <v>4.0999999999999996</v>
      </c>
      <c r="N807">
        <v>40</v>
      </c>
      <c r="O807">
        <v>449</v>
      </c>
      <c r="P807">
        <v>0</v>
      </c>
      <c r="Q807" t="s">
        <v>34</v>
      </c>
      <c r="R807">
        <v>23</v>
      </c>
      <c r="S807" t="s">
        <v>41</v>
      </c>
    </row>
    <row r="808" spans="1:19" x14ac:dyDescent="0.3">
      <c r="A808" t="s">
        <v>2271</v>
      </c>
      <c r="B808" s="2">
        <v>45318</v>
      </c>
      <c r="C808" t="s">
        <v>43</v>
      </c>
      <c r="D808" t="s">
        <v>100</v>
      </c>
      <c r="E808" t="s">
        <v>2272</v>
      </c>
      <c r="F808" t="s">
        <v>450</v>
      </c>
      <c r="G808" t="s">
        <v>2273</v>
      </c>
      <c r="H808" t="s">
        <v>80</v>
      </c>
      <c r="I808" t="s">
        <v>26</v>
      </c>
      <c r="J808">
        <v>1</v>
      </c>
      <c r="K808">
        <v>169</v>
      </c>
      <c r="L808">
        <v>169</v>
      </c>
      <c r="M808">
        <v>2.6</v>
      </c>
      <c r="N808">
        <v>50</v>
      </c>
      <c r="P808">
        <v>0</v>
      </c>
      <c r="Q808" t="s">
        <v>34</v>
      </c>
      <c r="R808">
        <v>37</v>
      </c>
      <c r="S808" t="s">
        <v>41</v>
      </c>
    </row>
    <row r="809" spans="1:19" x14ac:dyDescent="0.3">
      <c r="A809" t="s">
        <v>2274</v>
      </c>
      <c r="B809" s="2">
        <v>45413</v>
      </c>
      <c r="C809" t="s">
        <v>71</v>
      </c>
      <c r="D809" t="s">
        <v>72</v>
      </c>
      <c r="E809" t="s">
        <v>2275</v>
      </c>
      <c r="F809" t="s">
        <v>192</v>
      </c>
      <c r="G809" t="s">
        <v>2276</v>
      </c>
      <c r="H809" t="s">
        <v>53</v>
      </c>
      <c r="I809" t="s">
        <v>26</v>
      </c>
      <c r="J809">
        <v>2</v>
      </c>
      <c r="K809">
        <v>588</v>
      </c>
      <c r="L809">
        <v>1176</v>
      </c>
      <c r="M809">
        <v>4.5</v>
      </c>
      <c r="N809">
        <v>49</v>
      </c>
      <c r="O809">
        <v>749</v>
      </c>
      <c r="P809">
        <v>0</v>
      </c>
      <c r="Q809" t="s">
        <v>27</v>
      </c>
      <c r="R809">
        <v>32</v>
      </c>
      <c r="S809" t="s">
        <v>41</v>
      </c>
    </row>
    <row r="810" spans="1:19" x14ac:dyDescent="0.3">
      <c r="A810" t="s">
        <v>2277</v>
      </c>
      <c r="B810" s="2">
        <v>45485</v>
      </c>
      <c r="C810" t="s">
        <v>59</v>
      </c>
      <c r="D810" t="s">
        <v>21</v>
      </c>
      <c r="E810" t="s">
        <v>2278</v>
      </c>
      <c r="F810" t="s">
        <v>192</v>
      </c>
      <c r="G810" t="s">
        <v>204</v>
      </c>
      <c r="H810" t="s">
        <v>80</v>
      </c>
      <c r="I810" t="s">
        <v>26</v>
      </c>
      <c r="J810">
        <v>1</v>
      </c>
      <c r="K810">
        <v>374</v>
      </c>
      <c r="L810">
        <v>374</v>
      </c>
      <c r="M810">
        <v>4.7</v>
      </c>
      <c r="N810">
        <v>50</v>
      </c>
      <c r="P810">
        <v>0</v>
      </c>
      <c r="Q810" t="s">
        <v>75</v>
      </c>
      <c r="R810">
        <v>32</v>
      </c>
      <c r="S810" t="s">
        <v>41</v>
      </c>
    </row>
    <row r="811" spans="1:19" x14ac:dyDescent="0.3">
      <c r="A811" t="s">
        <v>2279</v>
      </c>
      <c r="B811" s="2">
        <v>45296</v>
      </c>
      <c r="C811" t="s">
        <v>43</v>
      </c>
      <c r="D811" t="s">
        <v>21</v>
      </c>
      <c r="E811" t="s">
        <v>2280</v>
      </c>
      <c r="F811" t="s">
        <v>115</v>
      </c>
      <c r="G811" t="s">
        <v>2281</v>
      </c>
      <c r="H811" t="s">
        <v>64</v>
      </c>
      <c r="I811" t="s">
        <v>26</v>
      </c>
      <c r="J811">
        <v>3</v>
      </c>
      <c r="K811">
        <v>268</v>
      </c>
      <c r="L811">
        <v>804</v>
      </c>
      <c r="M811">
        <v>4.5</v>
      </c>
      <c r="N811">
        <v>27</v>
      </c>
      <c r="O811">
        <v>999</v>
      </c>
      <c r="P811">
        <v>0</v>
      </c>
      <c r="Q811" t="s">
        <v>49</v>
      </c>
      <c r="R811">
        <v>42</v>
      </c>
      <c r="S811" t="s">
        <v>28</v>
      </c>
    </row>
    <row r="812" spans="1:19" x14ac:dyDescent="0.3">
      <c r="A812" t="s">
        <v>2282</v>
      </c>
      <c r="B812" s="2">
        <v>45320</v>
      </c>
      <c r="C812" t="s">
        <v>43</v>
      </c>
      <c r="D812" t="s">
        <v>44</v>
      </c>
      <c r="E812" t="s">
        <v>2283</v>
      </c>
      <c r="F812" t="s">
        <v>713</v>
      </c>
      <c r="G812" t="s">
        <v>80</v>
      </c>
      <c r="H812" t="s">
        <v>80</v>
      </c>
      <c r="I812" t="s">
        <v>26</v>
      </c>
      <c r="J812">
        <v>2</v>
      </c>
      <c r="K812">
        <v>444</v>
      </c>
      <c r="L812">
        <v>888</v>
      </c>
      <c r="M812">
        <v>5</v>
      </c>
      <c r="N812">
        <v>33</v>
      </c>
      <c r="P812">
        <v>0</v>
      </c>
      <c r="Q812" t="s">
        <v>34</v>
      </c>
      <c r="R812">
        <v>37</v>
      </c>
      <c r="S812" t="s">
        <v>28</v>
      </c>
    </row>
    <row r="813" spans="1:19" x14ac:dyDescent="0.3">
      <c r="A813" t="s">
        <v>2284</v>
      </c>
      <c r="B813" s="2">
        <v>45456</v>
      </c>
      <c r="C813" t="s">
        <v>30</v>
      </c>
      <c r="D813" t="s">
        <v>92</v>
      </c>
      <c r="E813" t="s">
        <v>2285</v>
      </c>
      <c r="F813" t="s">
        <v>956</v>
      </c>
      <c r="G813" t="s">
        <v>109</v>
      </c>
      <c r="H813" t="s">
        <v>64</v>
      </c>
      <c r="I813" t="s">
        <v>26</v>
      </c>
      <c r="J813">
        <v>1</v>
      </c>
      <c r="K813">
        <v>423</v>
      </c>
      <c r="L813">
        <v>423</v>
      </c>
      <c r="M813">
        <v>4.0999999999999996</v>
      </c>
      <c r="N813">
        <v>39</v>
      </c>
      <c r="P813">
        <v>0</v>
      </c>
      <c r="Q813" t="s">
        <v>27</v>
      </c>
      <c r="R813">
        <v>26</v>
      </c>
      <c r="S813" t="s">
        <v>41</v>
      </c>
    </row>
    <row r="814" spans="1:19" x14ac:dyDescent="0.3">
      <c r="A814" t="s">
        <v>2286</v>
      </c>
      <c r="B814" s="2">
        <v>45457</v>
      </c>
      <c r="C814" t="s">
        <v>30</v>
      </c>
      <c r="D814" t="s">
        <v>21</v>
      </c>
      <c r="E814" t="s">
        <v>2287</v>
      </c>
      <c r="F814" t="s">
        <v>192</v>
      </c>
      <c r="G814" t="s">
        <v>186</v>
      </c>
      <c r="H814" t="s">
        <v>80</v>
      </c>
      <c r="I814" t="s">
        <v>26</v>
      </c>
      <c r="J814">
        <v>4</v>
      </c>
      <c r="K814">
        <v>395</v>
      </c>
      <c r="L814">
        <v>1580</v>
      </c>
      <c r="M814">
        <v>3.6</v>
      </c>
      <c r="N814">
        <v>30</v>
      </c>
      <c r="P814">
        <v>0</v>
      </c>
      <c r="Q814" t="s">
        <v>34</v>
      </c>
      <c r="R814">
        <v>49</v>
      </c>
      <c r="S814" t="s">
        <v>28</v>
      </c>
    </row>
    <row r="815" spans="1:19" x14ac:dyDescent="0.3">
      <c r="A815" t="s">
        <v>2288</v>
      </c>
      <c r="B815" s="2">
        <v>45374</v>
      </c>
      <c r="C815" t="s">
        <v>55</v>
      </c>
      <c r="D815" t="s">
        <v>100</v>
      </c>
      <c r="E815" t="s">
        <v>2289</v>
      </c>
      <c r="F815" t="s">
        <v>115</v>
      </c>
      <c r="G815" t="s">
        <v>2290</v>
      </c>
      <c r="H815" t="s">
        <v>53</v>
      </c>
      <c r="I815" t="s">
        <v>26</v>
      </c>
      <c r="J815">
        <v>4</v>
      </c>
      <c r="K815">
        <v>476</v>
      </c>
      <c r="L815">
        <v>1904</v>
      </c>
      <c r="M815">
        <v>4.8</v>
      </c>
      <c r="N815">
        <v>35</v>
      </c>
      <c r="P815">
        <v>0</v>
      </c>
      <c r="Q815" t="s">
        <v>27</v>
      </c>
      <c r="R815">
        <v>21</v>
      </c>
      <c r="S815" t="s">
        <v>28</v>
      </c>
    </row>
    <row r="816" spans="1:19" x14ac:dyDescent="0.3">
      <c r="A816" t="s">
        <v>2291</v>
      </c>
      <c r="B816" s="2">
        <v>45427</v>
      </c>
      <c r="C816" t="s">
        <v>71</v>
      </c>
      <c r="D816" t="s">
        <v>72</v>
      </c>
      <c r="E816" t="s">
        <v>2292</v>
      </c>
      <c r="F816" t="s">
        <v>87</v>
      </c>
      <c r="G816" t="s">
        <v>1347</v>
      </c>
      <c r="H816" t="s">
        <v>64</v>
      </c>
      <c r="I816" t="s">
        <v>26</v>
      </c>
      <c r="J816">
        <v>1</v>
      </c>
      <c r="K816">
        <v>570</v>
      </c>
      <c r="L816">
        <v>570</v>
      </c>
      <c r="M816">
        <v>4.5</v>
      </c>
      <c r="N816">
        <v>30</v>
      </c>
      <c r="P816">
        <v>0</v>
      </c>
      <c r="Q816" t="s">
        <v>49</v>
      </c>
      <c r="R816">
        <v>35</v>
      </c>
      <c r="S816" t="s">
        <v>41</v>
      </c>
    </row>
    <row r="817" spans="1:19" x14ac:dyDescent="0.3">
      <c r="A817" t="s">
        <v>2293</v>
      </c>
      <c r="B817" s="2">
        <v>45531</v>
      </c>
      <c r="C817" t="s">
        <v>82</v>
      </c>
      <c r="D817" t="s">
        <v>36</v>
      </c>
      <c r="E817" t="s">
        <v>2294</v>
      </c>
      <c r="F817" t="s">
        <v>102</v>
      </c>
      <c r="G817" t="s">
        <v>392</v>
      </c>
      <c r="H817" t="s">
        <v>53</v>
      </c>
      <c r="I817" t="s">
        <v>26</v>
      </c>
      <c r="J817">
        <v>4</v>
      </c>
      <c r="K817">
        <v>291</v>
      </c>
      <c r="L817">
        <v>1164</v>
      </c>
      <c r="M817">
        <v>4.7</v>
      </c>
      <c r="N817">
        <v>35</v>
      </c>
      <c r="O817">
        <v>999</v>
      </c>
      <c r="P817">
        <v>0</v>
      </c>
      <c r="Q817" t="s">
        <v>49</v>
      </c>
      <c r="R817">
        <v>35</v>
      </c>
      <c r="S817" t="s">
        <v>41</v>
      </c>
    </row>
    <row r="818" spans="1:19" x14ac:dyDescent="0.3">
      <c r="A818" t="s">
        <v>2295</v>
      </c>
      <c r="B818" s="2">
        <v>45400</v>
      </c>
      <c r="C818" t="s">
        <v>20</v>
      </c>
      <c r="D818" t="s">
        <v>92</v>
      </c>
      <c r="E818" t="s">
        <v>2296</v>
      </c>
      <c r="F818" t="s">
        <v>192</v>
      </c>
      <c r="G818" t="s">
        <v>1821</v>
      </c>
      <c r="H818" t="s">
        <v>64</v>
      </c>
      <c r="I818" t="s">
        <v>26</v>
      </c>
      <c r="J818">
        <v>4</v>
      </c>
      <c r="K818">
        <v>536</v>
      </c>
      <c r="L818">
        <v>2144</v>
      </c>
      <c r="P818">
        <v>0</v>
      </c>
      <c r="Q818" t="s">
        <v>75</v>
      </c>
      <c r="R818">
        <v>22</v>
      </c>
      <c r="S818" t="s">
        <v>28</v>
      </c>
    </row>
    <row r="819" spans="1:19" x14ac:dyDescent="0.3">
      <c r="A819" t="s">
        <v>2297</v>
      </c>
      <c r="B819" s="2">
        <v>45356</v>
      </c>
      <c r="C819" t="s">
        <v>55</v>
      </c>
      <c r="D819" t="s">
        <v>36</v>
      </c>
      <c r="E819" t="s">
        <v>2298</v>
      </c>
      <c r="F819" t="s">
        <v>517</v>
      </c>
      <c r="G819" t="s">
        <v>64</v>
      </c>
      <c r="H819" t="s">
        <v>64</v>
      </c>
      <c r="I819" t="s">
        <v>26</v>
      </c>
      <c r="J819">
        <v>4</v>
      </c>
      <c r="K819">
        <v>320</v>
      </c>
      <c r="L819">
        <v>1280</v>
      </c>
      <c r="M819">
        <v>3.4</v>
      </c>
      <c r="N819">
        <v>32</v>
      </c>
      <c r="P819">
        <v>0</v>
      </c>
      <c r="Q819" t="s">
        <v>27</v>
      </c>
      <c r="R819">
        <v>37</v>
      </c>
      <c r="S819" t="s">
        <v>41</v>
      </c>
    </row>
    <row r="820" spans="1:19" x14ac:dyDescent="0.3">
      <c r="A820" t="s">
        <v>2299</v>
      </c>
      <c r="B820" s="2">
        <v>45377</v>
      </c>
      <c r="C820" t="s">
        <v>55</v>
      </c>
      <c r="D820" t="s">
        <v>36</v>
      </c>
      <c r="E820" t="s">
        <v>2300</v>
      </c>
      <c r="F820" t="s">
        <v>46</v>
      </c>
      <c r="G820" t="s">
        <v>2301</v>
      </c>
      <c r="H820" t="s">
        <v>80</v>
      </c>
      <c r="I820" t="s">
        <v>26</v>
      </c>
      <c r="J820">
        <v>2</v>
      </c>
      <c r="K820">
        <v>564</v>
      </c>
      <c r="L820">
        <v>1128</v>
      </c>
      <c r="M820">
        <v>4.5</v>
      </c>
      <c r="N820">
        <v>35</v>
      </c>
      <c r="O820">
        <v>50</v>
      </c>
      <c r="P820">
        <v>20</v>
      </c>
      <c r="Q820" t="s">
        <v>27</v>
      </c>
      <c r="R820">
        <v>40</v>
      </c>
      <c r="S820" t="s">
        <v>41</v>
      </c>
    </row>
    <row r="821" spans="1:19" x14ac:dyDescent="0.3">
      <c r="A821" t="s">
        <v>2302</v>
      </c>
      <c r="B821" s="2">
        <v>45436</v>
      </c>
      <c r="C821" t="s">
        <v>71</v>
      </c>
      <c r="D821" t="s">
        <v>21</v>
      </c>
      <c r="E821" t="s">
        <v>2303</v>
      </c>
      <c r="F821" t="s">
        <v>115</v>
      </c>
      <c r="G821" t="s">
        <v>2304</v>
      </c>
      <c r="H821" t="s">
        <v>80</v>
      </c>
      <c r="I821" t="s">
        <v>26</v>
      </c>
      <c r="J821">
        <v>4</v>
      </c>
      <c r="K821">
        <v>512</v>
      </c>
      <c r="L821">
        <v>2048</v>
      </c>
      <c r="M821">
        <v>2.2000000000000002</v>
      </c>
      <c r="N821">
        <v>37</v>
      </c>
      <c r="P821">
        <v>0</v>
      </c>
      <c r="Q821" t="s">
        <v>75</v>
      </c>
      <c r="R821">
        <v>47</v>
      </c>
      <c r="S821" t="s">
        <v>41</v>
      </c>
    </row>
    <row r="822" spans="1:19" x14ac:dyDescent="0.3">
      <c r="A822" t="s">
        <v>2305</v>
      </c>
      <c r="B822" s="2">
        <v>45362</v>
      </c>
      <c r="C822" t="s">
        <v>55</v>
      </c>
      <c r="D822" t="s">
        <v>44</v>
      </c>
      <c r="E822" t="s">
        <v>2306</v>
      </c>
      <c r="F822" t="s">
        <v>115</v>
      </c>
      <c r="G822" t="s">
        <v>2307</v>
      </c>
      <c r="H822" t="s">
        <v>25</v>
      </c>
      <c r="I822" t="s">
        <v>26</v>
      </c>
      <c r="J822">
        <v>4</v>
      </c>
      <c r="K822">
        <v>443</v>
      </c>
      <c r="L822">
        <v>1772</v>
      </c>
      <c r="M822">
        <v>4.5</v>
      </c>
      <c r="N822">
        <v>38</v>
      </c>
      <c r="P822">
        <v>0</v>
      </c>
      <c r="Q822" t="s">
        <v>75</v>
      </c>
      <c r="R822">
        <v>28</v>
      </c>
      <c r="S822" t="s">
        <v>28</v>
      </c>
    </row>
    <row r="823" spans="1:19" x14ac:dyDescent="0.3">
      <c r="A823" t="s">
        <v>2308</v>
      </c>
      <c r="B823" s="2">
        <v>45508</v>
      </c>
      <c r="C823" t="s">
        <v>82</v>
      </c>
      <c r="D823" t="s">
        <v>60</v>
      </c>
      <c r="E823" t="s">
        <v>2309</v>
      </c>
      <c r="F823" t="s">
        <v>115</v>
      </c>
      <c r="G823" t="s">
        <v>2310</v>
      </c>
      <c r="H823" t="s">
        <v>80</v>
      </c>
      <c r="I823" t="s">
        <v>26</v>
      </c>
      <c r="J823">
        <v>4</v>
      </c>
      <c r="K823">
        <v>154</v>
      </c>
      <c r="L823">
        <v>616</v>
      </c>
      <c r="M823">
        <v>4.3</v>
      </c>
      <c r="N823">
        <v>34</v>
      </c>
      <c r="O823">
        <v>1000</v>
      </c>
      <c r="P823">
        <v>10</v>
      </c>
      <c r="Q823" t="s">
        <v>27</v>
      </c>
      <c r="R823">
        <v>22</v>
      </c>
      <c r="S823" t="s">
        <v>41</v>
      </c>
    </row>
    <row r="824" spans="1:19" x14ac:dyDescent="0.3">
      <c r="A824" t="s">
        <v>2311</v>
      </c>
      <c r="B824" s="2">
        <v>45336</v>
      </c>
      <c r="C824" t="s">
        <v>113</v>
      </c>
      <c r="D824" t="s">
        <v>72</v>
      </c>
      <c r="E824" t="s">
        <v>2312</v>
      </c>
      <c r="F824" t="s">
        <v>87</v>
      </c>
      <c r="G824" t="s">
        <v>2313</v>
      </c>
      <c r="H824" t="s">
        <v>40</v>
      </c>
      <c r="I824" t="s">
        <v>26</v>
      </c>
      <c r="J824">
        <v>2</v>
      </c>
      <c r="K824">
        <v>584</v>
      </c>
      <c r="L824">
        <v>1168</v>
      </c>
      <c r="M824">
        <v>4.5</v>
      </c>
      <c r="N824">
        <v>37</v>
      </c>
      <c r="P824">
        <v>0</v>
      </c>
      <c r="Q824" t="s">
        <v>75</v>
      </c>
      <c r="R824">
        <v>39</v>
      </c>
      <c r="S824" t="s">
        <v>28</v>
      </c>
    </row>
    <row r="825" spans="1:19" x14ac:dyDescent="0.3">
      <c r="A825" t="s">
        <v>2314</v>
      </c>
      <c r="B825" s="2">
        <v>45423</v>
      </c>
      <c r="C825" t="s">
        <v>71</v>
      </c>
      <c r="D825" t="s">
        <v>100</v>
      </c>
      <c r="E825" t="s">
        <v>2315</v>
      </c>
      <c r="F825" t="s">
        <v>115</v>
      </c>
      <c r="G825" t="s">
        <v>2316</v>
      </c>
      <c r="H825" t="s">
        <v>64</v>
      </c>
      <c r="I825" t="s">
        <v>26</v>
      </c>
      <c r="J825">
        <v>1</v>
      </c>
      <c r="K825">
        <v>335</v>
      </c>
      <c r="L825">
        <v>335</v>
      </c>
      <c r="M825">
        <v>4.4000000000000004</v>
      </c>
      <c r="N825">
        <v>26</v>
      </c>
      <c r="O825">
        <v>999</v>
      </c>
      <c r="P825">
        <v>0</v>
      </c>
      <c r="Q825" t="s">
        <v>49</v>
      </c>
      <c r="R825">
        <v>43</v>
      </c>
      <c r="S825" t="s">
        <v>28</v>
      </c>
    </row>
    <row r="826" spans="1:19" x14ac:dyDescent="0.3">
      <c r="A826" t="s">
        <v>2317</v>
      </c>
      <c r="B826" s="2">
        <v>45327</v>
      </c>
      <c r="C826" t="s">
        <v>113</v>
      </c>
      <c r="D826" t="s">
        <v>44</v>
      </c>
      <c r="E826" t="s">
        <v>2318</v>
      </c>
      <c r="F826" t="s">
        <v>713</v>
      </c>
      <c r="G826" t="s">
        <v>1719</v>
      </c>
      <c r="H826" t="s">
        <v>80</v>
      </c>
      <c r="I826" t="s">
        <v>26</v>
      </c>
      <c r="J826">
        <v>3</v>
      </c>
      <c r="K826">
        <v>599</v>
      </c>
      <c r="L826">
        <v>1797</v>
      </c>
      <c r="M826">
        <v>4.3</v>
      </c>
      <c r="N826">
        <v>39</v>
      </c>
      <c r="P826">
        <v>0</v>
      </c>
      <c r="Q826" t="s">
        <v>34</v>
      </c>
      <c r="R826">
        <v>21</v>
      </c>
      <c r="S826" t="s">
        <v>28</v>
      </c>
    </row>
    <row r="827" spans="1:19" x14ac:dyDescent="0.3">
      <c r="A827" t="s">
        <v>2319</v>
      </c>
      <c r="B827" s="2">
        <v>45361</v>
      </c>
      <c r="C827" t="s">
        <v>55</v>
      </c>
      <c r="D827" t="s">
        <v>60</v>
      </c>
      <c r="E827" t="s">
        <v>2320</v>
      </c>
      <c r="F827" t="s">
        <v>192</v>
      </c>
      <c r="G827" t="s">
        <v>158</v>
      </c>
      <c r="H827" t="s">
        <v>40</v>
      </c>
      <c r="I827" t="s">
        <v>26</v>
      </c>
      <c r="J827">
        <v>4</v>
      </c>
      <c r="K827">
        <v>184</v>
      </c>
      <c r="L827">
        <v>736</v>
      </c>
      <c r="O827">
        <v>999</v>
      </c>
      <c r="P827">
        <v>0</v>
      </c>
      <c r="Q827" t="s">
        <v>49</v>
      </c>
      <c r="R827">
        <v>46</v>
      </c>
      <c r="S827" t="s">
        <v>41</v>
      </c>
    </row>
    <row r="828" spans="1:19" x14ac:dyDescent="0.3">
      <c r="A828" t="s">
        <v>2321</v>
      </c>
      <c r="B828" s="2">
        <v>45450</v>
      </c>
      <c r="C828" t="s">
        <v>30</v>
      </c>
      <c r="D828" t="s">
        <v>21</v>
      </c>
      <c r="E828" t="s">
        <v>2322</v>
      </c>
      <c r="F828" t="s">
        <v>78</v>
      </c>
      <c r="G828" t="s">
        <v>2323</v>
      </c>
      <c r="H828" t="s">
        <v>80</v>
      </c>
      <c r="I828" t="s">
        <v>26</v>
      </c>
      <c r="J828">
        <v>1</v>
      </c>
      <c r="K828">
        <v>127</v>
      </c>
      <c r="L828">
        <v>127</v>
      </c>
      <c r="M828">
        <v>4</v>
      </c>
      <c r="N828">
        <v>75</v>
      </c>
      <c r="P828">
        <v>0</v>
      </c>
      <c r="Q828" t="s">
        <v>75</v>
      </c>
      <c r="R828">
        <v>29</v>
      </c>
      <c r="S828" t="s">
        <v>41</v>
      </c>
    </row>
    <row r="829" spans="1:19" x14ac:dyDescent="0.3">
      <c r="A829" t="s">
        <v>2324</v>
      </c>
      <c r="B829" s="2">
        <v>45310</v>
      </c>
      <c r="C829" t="s">
        <v>43</v>
      </c>
      <c r="D829" t="s">
        <v>21</v>
      </c>
      <c r="E829" t="s">
        <v>2325</v>
      </c>
      <c r="F829" t="s">
        <v>192</v>
      </c>
      <c r="G829" t="s">
        <v>909</v>
      </c>
      <c r="H829" t="s">
        <v>80</v>
      </c>
      <c r="I829" t="s">
        <v>26</v>
      </c>
      <c r="J829">
        <v>4</v>
      </c>
      <c r="K829">
        <v>420</v>
      </c>
      <c r="L829">
        <v>1680</v>
      </c>
      <c r="M829">
        <v>4.3</v>
      </c>
      <c r="N829">
        <v>51</v>
      </c>
      <c r="P829">
        <v>0</v>
      </c>
      <c r="Q829" t="s">
        <v>27</v>
      </c>
      <c r="R829">
        <v>19</v>
      </c>
      <c r="S829" t="s">
        <v>41</v>
      </c>
    </row>
    <row r="830" spans="1:19" x14ac:dyDescent="0.3">
      <c r="A830" t="s">
        <v>2326</v>
      </c>
      <c r="B830" s="2">
        <v>45480</v>
      </c>
      <c r="C830" t="s">
        <v>59</v>
      </c>
      <c r="D830" t="s">
        <v>60</v>
      </c>
      <c r="E830" t="s">
        <v>2327</v>
      </c>
      <c r="F830" t="s">
        <v>62</v>
      </c>
      <c r="G830" t="s">
        <v>1907</v>
      </c>
      <c r="H830" t="s">
        <v>80</v>
      </c>
      <c r="I830" t="s">
        <v>26</v>
      </c>
      <c r="J830">
        <v>2</v>
      </c>
      <c r="K830">
        <v>462</v>
      </c>
      <c r="L830">
        <v>924</v>
      </c>
      <c r="M830">
        <v>4.0999999999999996</v>
      </c>
      <c r="N830">
        <v>43</v>
      </c>
      <c r="P830">
        <v>0</v>
      </c>
      <c r="Q830" t="s">
        <v>27</v>
      </c>
      <c r="R830">
        <v>30</v>
      </c>
      <c r="S830" t="s">
        <v>41</v>
      </c>
    </row>
    <row r="831" spans="1:19" x14ac:dyDescent="0.3">
      <c r="A831" t="s">
        <v>2328</v>
      </c>
      <c r="B831" s="2">
        <v>45399</v>
      </c>
      <c r="C831" t="s">
        <v>20</v>
      </c>
      <c r="D831" t="s">
        <v>72</v>
      </c>
      <c r="E831" t="s">
        <v>2329</v>
      </c>
      <c r="F831" t="s">
        <v>192</v>
      </c>
      <c r="G831" t="s">
        <v>2330</v>
      </c>
      <c r="H831" t="s">
        <v>48</v>
      </c>
      <c r="I831" t="s">
        <v>33</v>
      </c>
      <c r="J831">
        <v>1</v>
      </c>
      <c r="K831">
        <v>550</v>
      </c>
      <c r="L831">
        <v>550</v>
      </c>
      <c r="M831">
        <v>4</v>
      </c>
      <c r="N831">
        <v>43</v>
      </c>
      <c r="P831">
        <v>0</v>
      </c>
      <c r="Q831" t="s">
        <v>49</v>
      </c>
      <c r="R831">
        <v>27</v>
      </c>
      <c r="S831" t="s">
        <v>41</v>
      </c>
    </row>
    <row r="832" spans="1:19" x14ac:dyDescent="0.3">
      <c r="A832" t="s">
        <v>2331</v>
      </c>
      <c r="B832" s="2">
        <v>45473</v>
      </c>
      <c r="C832" t="s">
        <v>30</v>
      </c>
      <c r="D832" t="s">
        <v>60</v>
      </c>
      <c r="E832" t="s">
        <v>2332</v>
      </c>
      <c r="F832" t="s">
        <v>2333</v>
      </c>
      <c r="G832" t="s">
        <v>2334</v>
      </c>
      <c r="H832" t="s">
        <v>80</v>
      </c>
      <c r="I832" t="s">
        <v>26</v>
      </c>
      <c r="J832">
        <v>2</v>
      </c>
      <c r="K832">
        <v>543</v>
      </c>
      <c r="L832">
        <v>1086</v>
      </c>
      <c r="M832">
        <v>4.5999999999999996</v>
      </c>
      <c r="N832">
        <v>55</v>
      </c>
      <c r="P832">
        <v>0</v>
      </c>
      <c r="Q832" t="s">
        <v>27</v>
      </c>
      <c r="R832">
        <v>26</v>
      </c>
      <c r="S832" t="s">
        <v>28</v>
      </c>
    </row>
    <row r="833" spans="1:19" x14ac:dyDescent="0.3">
      <c r="A833" t="s">
        <v>2335</v>
      </c>
      <c r="B833" s="2">
        <v>45458</v>
      </c>
      <c r="C833" t="s">
        <v>30</v>
      </c>
      <c r="D833" t="s">
        <v>100</v>
      </c>
      <c r="E833" t="s">
        <v>2336</v>
      </c>
      <c r="F833" t="s">
        <v>102</v>
      </c>
      <c r="G833" t="s">
        <v>373</v>
      </c>
      <c r="H833" t="s">
        <v>80</v>
      </c>
      <c r="I833" t="s">
        <v>26</v>
      </c>
      <c r="J833">
        <v>4</v>
      </c>
      <c r="K833">
        <v>451</v>
      </c>
      <c r="L833">
        <v>1804</v>
      </c>
      <c r="M833">
        <v>4.3</v>
      </c>
      <c r="N833">
        <v>40</v>
      </c>
      <c r="P833">
        <v>0</v>
      </c>
      <c r="Q833" t="s">
        <v>75</v>
      </c>
      <c r="R833">
        <v>27</v>
      </c>
      <c r="S833" t="s">
        <v>28</v>
      </c>
    </row>
    <row r="834" spans="1:19" x14ac:dyDescent="0.3">
      <c r="A834" t="s">
        <v>2337</v>
      </c>
      <c r="B834" s="2">
        <v>45382</v>
      </c>
      <c r="C834" t="s">
        <v>55</v>
      </c>
      <c r="D834" t="s">
        <v>60</v>
      </c>
      <c r="E834" t="s">
        <v>2338</v>
      </c>
      <c r="F834" t="s">
        <v>192</v>
      </c>
      <c r="G834" t="s">
        <v>2339</v>
      </c>
      <c r="H834" t="s">
        <v>80</v>
      </c>
      <c r="I834" t="s">
        <v>26</v>
      </c>
      <c r="J834">
        <v>4</v>
      </c>
      <c r="K834">
        <v>557</v>
      </c>
      <c r="L834">
        <v>2228</v>
      </c>
      <c r="M834">
        <v>3.6</v>
      </c>
      <c r="N834">
        <v>48</v>
      </c>
      <c r="O834">
        <v>749</v>
      </c>
      <c r="P834">
        <v>0</v>
      </c>
      <c r="Q834" t="s">
        <v>49</v>
      </c>
      <c r="R834">
        <v>48</v>
      </c>
      <c r="S834" t="s">
        <v>28</v>
      </c>
    </row>
    <row r="835" spans="1:19" x14ac:dyDescent="0.3">
      <c r="A835" t="s">
        <v>2340</v>
      </c>
      <c r="B835" s="2">
        <v>45493</v>
      </c>
      <c r="C835" t="s">
        <v>59</v>
      </c>
      <c r="D835" t="s">
        <v>100</v>
      </c>
      <c r="E835" t="s">
        <v>2341</v>
      </c>
      <c r="F835" t="s">
        <v>115</v>
      </c>
      <c r="G835" t="s">
        <v>2342</v>
      </c>
      <c r="H835" t="s">
        <v>80</v>
      </c>
      <c r="I835" t="s">
        <v>26</v>
      </c>
      <c r="J835">
        <v>2</v>
      </c>
      <c r="K835">
        <v>195</v>
      </c>
      <c r="L835">
        <v>390</v>
      </c>
      <c r="M835">
        <v>4.4000000000000004</v>
      </c>
      <c r="N835">
        <v>50</v>
      </c>
      <c r="P835">
        <v>0</v>
      </c>
      <c r="Q835" t="s">
        <v>27</v>
      </c>
      <c r="R835">
        <v>24</v>
      </c>
      <c r="S835" t="s">
        <v>41</v>
      </c>
    </row>
    <row r="836" spans="1:19" x14ac:dyDescent="0.3">
      <c r="A836" t="s">
        <v>2343</v>
      </c>
      <c r="B836" s="2">
        <v>45381</v>
      </c>
      <c r="C836" t="s">
        <v>55</v>
      </c>
      <c r="D836" t="s">
        <v>100</v>
      </c>
      <c r="E836" t="s">
        <v>2344</v>
      </c>
      <c r="F836" t="s">
        <v>23</v>
      </c>
      <c r="G836" t="s">
        <v>2345</v>
      </c>
      <c r="H836" t="s">
        <v>80</v>
      </c>
      <c r="I836" t="s">
        <v>26</v>
      </c>
      <c r="J836">
        <v>3</v>
      </c>
      <c r="K836">
        <v>293</v>
      </c>
      <c r="L836">
        <v>879</v>
      </c>
      <c r="M836">
        <v>4.5</v>
      </c>
      <c r="N836">
        <v>41</v>
      </c>
      <c r="O836">
        <v>1500</v>
      </c>
      <c r="P836">
        <v>10</v>
      </c>
      <c r="Q836" t="s">
        <v>34</v>
      </c>
      <c r="R836">
        <v>21</v>
      </c>
      <c r="S836" t="s">
        <v>28</v>
      </c>
    </row>
    <row r="837" spans="1:19" x14ac:dyDescent="0.3">
      <c r="A837" t="s">
        <v>2346</v>
      </c>
      <c r="B837" s="2">
        <v>45310</v>
      </c>
      <c r="C837" t="s">
        <v>43</v>
      </c>
      <c r="D837" t="s">
        <v>21</v>
      </c>
      <c r="E837" t="s">
        <v>2347</v>
      </c>
      <c r="F837" t="s">
        <v>62</v>
      </c>
      <c r="G837" t="s">
        <v>373</v>
      </c>
      <c r="H837" t="s">
        <v>80</v>
      </c>
      <c r="I837" t="s">
        <v>26</v>
      </c>
      <c r="J837">
        <v>2</v>
      </c>
      <c r="K837">
        <v>166</v>
      </c>
      <c r="L837">
        <v>332</v>
      </c>
      <c r="M837">
        <v>4.3</v>
      </c>
      <c r="N837">
        <v>42</v>
      </c>
      <c r="P837">
        <v>0</v>
      </c>
      <c r="Q837" t="s">
        <v>34</v>
      </c>
      <c r="R837">
        <v>36</v>
      </c>
      <c r="S837" t="s">
        <v>28</v>
      </c>
    </row>
    <row r="838" spans="1:19" x14ac:dyDescent="0.3">
      <c r="A838" t="s">
        <v>2348</v>
      </c>
      <c r="B838" s="2">
        <v>45330</v>
      </c>
      <c r="C838" t="s">
        <v>113</v>
      </c>
      <c r="D838" t="s">
        <v>92</v>
      </c>
      <c r="E838" t="s">
        <v>2349</v>
      </c>
      <c r="F838" t="s">
        <v>115</v>
      </c>
      <c r="G838" t="s">
        <v>2350</v>
      </c>
      <c r="H838" t="s">
        <v>80</v>
      </c>
      <c r="I838" t="s">
        <v>26</v>
      </c>
      <c r="J838">
        <v>4</v>
      </c>
      <c r="K838">
        <v>134</v>
      </c>
      <c r="L838">
        <v>536</v>
      </c>
      <c r="M838">
        <v>4.2</v>
      </c>
      <c r="N838">
        <v>53</v>
      </c>
      <c r="P838">
        <v>0</v>
      </c>
      <c r="Q838" t="s">
        <v>75</v>
      </c>
      <c r="R838">
        <v>27</v>
      </c>
      <c r="S838" t="s">
        <v>41</v>
      </c>
    </row>
    <row r="839" spans="1:19" x14ac:dyDescent="0.3">
      <c r="A839" t="s">
        <v>2351</v>
      </c>
      <c r="B839" s="2">
        <v>45417</v>
      </c>
      <c r="C839" t="s">
        <v>71</v>
      </c>
      <c r="D839" t="s">
        <v>60</v>
      </c>
      <c r="E839" t="s">
        <v>2352</v>
      </c>
      <c r="F839" t="s">
        <v>713</v>
      </c>
      <c r="G839" t="s">
        <v>2353</v>
      </c>
      <c r="H839" t="s">
        <v>48</v>
      </c>
      <c r="I839" t="s">
        <v>33</v>
      </c>
      <c r="J839">
        <v>2</v>
      </c>
      <c r="K839">
        <v>480</v>
      </c>
      <c r="L839">
        <v>960</v>
      </c>
      <c r="M839">
        <v>4.5999999999999996</v>
      </c>
      <c r="N839">
        <v>45</v>
      </c>
      <c r="P839">
        <v>0</v>
      </c>
      <c r="Q839" t="s">
        <v>27</v>
      </c>
      <c r="R839">
        <v>47</v>
      </c>
      <c r="S839" t="s">
        <v>41</v>
      </c>
    </row>
    <row r="840" spans="1:19" x14ac:dyDescent="0.3">
      <c r="A840" t="s">
        <v>2354</v>
      </c>
      <c r="B840" s="2">
        <v>45486</v>
      </c>
      <c r="C840" t="s">
        <v>59</v>
      </c>
      <c r="D840" t="s">
        <v>100</v>
      </c>
      <c r="E840" t="s">
        <v>2355</v>
      </c>
      <c r="F840" t="s">
        <v>192</v>
      </c>
      <c r="G840" t="s">
        <v>53</v>
      </c>
      <c r="H840" t="s">
        <v>53</v>
      </c>
      <c r="I840" t="s">
        <v>26</v>
      </c>
      <c r="J840">
        <v>3</v>
      </c>
      <c r="K840">
        <v>266</v>
      </c>
      <c r="L840">
        <v>798</v>
      </c>
      <c r="M840">
        <v>4.3</v>
      </c>
      <c r="N840">
        <v>54</v>
      </c>
      <c r="P840">
        <v>0</v>
      </c>
      <c r="Q840" t="s">
        <v>75</v>
      </c>
      <c r="R840">
        <v>48</v>
      </c>
      <c r="S840" t="s">
        <v>28</v>
      </c>
    </row>
    <row r="841" spans="1:19" x14ac:dyDescent="0.3">
      <c r="A841" t="s">
        <v>2356</v>
      </c>
      <c r="B841" s="2">
        <v>45464</v>
      </c>
      <c r="C841" t="s">
        <v>30</v>
      </c>
      <c r="D841" t="s">
        <v>21</v>
      </c>
      <c r="E841" t="s">
        <v>2357</v>
      </c>
      <c r="F841" t="s">
        <v>824</v>
      </c>
      <c r="G841" t="s">
        <v>418</v>
      </c>
      <c r="H841" t="s">
        <v>80</v>
      </c>
      <c r="I841" t="s">
        <v>26</v>
      </c>
      <c r="J841">
        <v>2</v>
      </c>
      <c r="K841">
        <v>145</v>
      </c>
      <c r="L841">
        <v>290</v>
      </c>
      <c r="M841">
        <v>3.7</v>
      </c>
      <c r="N841">
        <v>56</v>
      </c>
      <c r="P841">
        <v>0</v>
      </c>
      <c r="Q841" t="s">
        <v>49</v>
      </c>
      <c r="R841">
        <v>49</v>
      </c>
      <c r="S841" t="s">
        <v>28</v>
      </c>
    </row>
    <row r="842" spans="1:19" x14ac:dyDescent="0.3">
      <c r="A842" t="s">
        <v>2358</v>
      </c>
      <c r="B842" s="2">
        <v>45432</v>
      </c>
      <c r="C842" t="s">
        <v>71</v>
      </c>
      <c r="D842" t="s">
        <v>44</v>
      </c>
      <c r="E842" t="s">
        <v>2359</v>
      </c>
      <c r="F842" t="s">
        <v>78</v>
      </c>
      <c r="G842" t="s">
        <v>2360</v>
      </c>
      <c r="H842" t="s">
        <v>80</v>
      </c>
      <c r="I842" t="s">
        <v>26</v>
      </c>
      <c r="J842">
        <v>3</v>
      </c>
      <c r="K842">
        <v>427</v>
      </c>
      <c r="L842">
        <v>1281</v>
      </c>
      <c r="M842">
        <v>4.5999999999999996</v>
      </c>
      <c r="N842">
        <v>54</v>
      </c>
      <c r="P842">
        <v>0</v>
      </c>
      <c r="Q842" t="s">
        <v>34</v>
      </c>
      <c r="R842">
        <v>20</v>
      </c>
      <c r="S842" t="s">
        <v>41</v>
      </c>
    </row>
    <row r="843" spans="1:19" x14ac:dyDescent="0.3">
      <c r="A843" t="s">
        <v>2361</v>
      </c>
      <c r="B843" s="2">
        <v>45511</v>
      </c>
      <c r="C843" t="s">
        <v>82</v>
      </c>
      <c r="D843" t="s">
        <v>72</v>
      </c>
      <c r="E843" t="s">
        <v>2362</v>
      </c>
      <c r="F843" t="s">
        <v>713</v>
      </c>
      <c r="G843" t="s">
        <v>2363</v>
      </c>
      <c r="H843" t="s">
        <v>80</v>
      </c>
      <c r="I843" t="s">
        <v>26</v>
      </c>
      <c r="J843">
        <v>3</v>
      </c>
      <c r="K843">
        <v>212</v>
      </c>
      <c r="L843">
        <v>636</v>
      </c>
      <c r="M843">
        <v>4.5</v>
      </c>
      <c r="N843">
        <v>48</v>
      </c>
      <c r="P843">
        <v>0</v>
      </c>
      <c r="Q843" t="s">
        <v>49</v>
      </c>
      <c r="R843">
        <v>42</v>
      </c>
      <c r="S843" t="s">
        <v>41</v>
      </c>
    </row>
    <row r="844" spans="1:19" x14ac:dyDescent="0.3">
      <c r="A844" t="s">
        <v>2364</v>
      </c>
      <c r="B844" s="2">
        <v>45417</v>
      </c>
      <c r="C844" t="s">
        <v>71</v>
      </c>
      <c r="D844" t="s">
        <v>60</v>
      </c>
      <c r="E844" t="s">
        <v>2365</v>
      </c>
      <c r="F844" t="s">
        <v>115</v>
      </c>
      <c r="G844" t="s">
        <v>227</v>
      </c>
      <c r="H844" t="s">
        <v>80</v>
      </c>
      <c r="I844" t="s">
        <v>26</v>
      </c>
      <c r="J844">
        <v>2</v>
      </c>
      <c r="K844">
        <v>525</v>
      </c>
      <c r="L844">
        <v>1050</v>
      </c>
      <c r="M844">
        <v>5</v>
      </c>
      <c r="N844">
        <v>58</v>
      </c>
      <c r="P844">
        <v>0</v>
      </c>
      <c r="Q844" t="s">
        <v>27</v>
      </c>
      <c r="R844">
        <v>38</v>
      </c>
      <c r="S844" t="s">
        <v>41</v>
      </c>
    </row>
    <row r="845" spans="1:19" x14ac:dyDescent="0.3">
      <c r="A845" t="s">
        <v>2366</v>
      </c>
      <c r="B845" s="2">
        <v>45349</v>
      </c>
      <c r="C845" t="s">
        <v>113</v>
      </c>
      <c r="D845" t="s">
        <v>36</v>
      </c>
      <c r="E845" t="s">
        <v>2367</v>
      </c>
      <c r="F845" t="s">
        <v>78</v>
      </c>
      <c r="G845" t="s">
        <v>2368</v>
      </c>
      <c r="H845" t="s">
        <v>40</v>
      </c>
      <c r="I845" t="s">
        <v>33</v>
      </c>
      <c r="J845">
        <v>2</v>
      </c>
      <c r="K845">
        <v>351</v>
      </c>
      <c r="L845">
        <v>702</v>
      </c>
      <c r="M845">
        <v>4.3</v>
      </c>
      <c r="N845">
        <v>54</v>
      </c>
      <c r="P845">
        <v>0</v>
      </c>
      <c r="Q845" t="s">
        <v>75</v>
      </c>
      <c r="R845">
        <v>46</v>
      </c>
      <c r="S845" t="s">
        <v>41</v>
      </c>
    </row>
    <row r="846" spans="1:19" x14ac:dyDescent="0.3">
      <c r="A846" t="s">
        <v>2369</v>
      </c>
      <c r="B846" s="2">
        <v>45439</v>
      </c>
      <c r="C846" t="s">
        <v>71</v>
      </c>
      <c r="D846" t="s">
        <v>44</v>
      </c>
      <c r="E846" t="s">
        <v>2370</v>
      </c>
      <c r="F846" t="s">
        <v>517</v>
      </c>
      <c r="G846" t="s">
        <v>2371</v>
      </c>
      <c r="H846" t="s">
        <v>48</v>
      </c>
      <c r="I846" t="s">
        <v>33</v>
      </c>
      <c r="J846">
        <v>1</v>
      </c>
      <c r="K846">
        <v>140</v>
      </c>
      <c r="L846">
        <v>140</v>
      </c>
      <c r="O846">
        <v>599</v>
      </c>
      <c r="P846">
        <v>0</v>
      </c>
      <c r="Q846" t="s">
        <v>75</v>
      </c>
      <c r="R846">
        <v>48</v>
      </c>
      <c r="S846" t="s">
        <v>28</v>
      </c>
    </row>
    <row r="847" spans="1:19" x14ac:dyDescent="0.3">
      <c r="A847" t="s">
        <v>2372</v>
      </c>
      <c r="B847" s="2">
        <v>45511</v>
      </c>
      <c r="C847" t="s">
        <v>82</v>
      </c>
      <c r="D847" t="s">
        <v>72</v>
      </c>
      <c r="E847" t="s">
        <v>2373</v>
      </c>
      <c r="F847" t="s">
        <v>713</v>
      </c>
      <c r="G847" t="s">
        <v>227</v>
      </c>
      <c r="H847" t="s">
        <v>80</v>
      </c>
      <c r="I847" t="s">
        <v>26</v>
      </c>
      <c r="J847">
        <v>4</v>
      </c>
      <c r="K847">
        <v>426</v>
      </c>
      <c r="L847">
        <v>1704</v>
      </c>
      <c r="M847">
        <v>3</v>
      </c>
      <c r="N847">
        <v>40</v>
      </c>
      <c r="P847">
        <v>0</v>
      </c>
      <c r="Q847" t="s">
        <v>75</v>
      </c>
      <c r="R847">
        <v>36</v>
      </c>
      <c r="S847" t="s">
        <v>28</v>
      </c>
    </row>
    <row r="848" spans="1:19" x14ac:dyDescent="0.3">
      <c r="A848" t="s">
        <v>2374</v>
      </c>
      <c r="B848" s="2">
        <v>45491</v>
      </c>
      <c r="C848" t="s">
        <v>59</v>
      </c>
      <c r="D848" t="s">
        <v>92</v>
      </c>
      <c r="E848" t="s">
        <v>2375</v>
      </c>
      <c r="F848" t="s">
        <v>46</v>
      </c>
      <c r="G848" t="s">
        <v>48</v>
      </c>
      <c r="H848" t="s">
        <v>48</v>
      </c>
      <c r="I848" t="s">
        <v>33</v>
      </c>
      <c r="J848">
        <v>3</v>
      </c>
      <c r="K848">
        <v>157</v>
      </c>
      <c r="L848">
        <v>471</v>
      </c>
      <c r="P848">
        <v>0</v>
      </c>
      <c r="Q848" t="s">
        <v>49</v>
      </c>
      <c r="R848">
        <v>48</v>
      </c>
      <c r="S848" t="s">
        <v>41</v>
      </c>
    </row>
    <row r="849" spans="1:19" x14ac:dyDescent="0.3">
      <c r="A849" t="s">
        <v>2376</v>
      </c>
      <c r="B849" s="2">
        <v>45352</v>
      </c>
      <c r="C849" t="s">
        <v>55</v>
      </c>
      <c r="D849" t="s">
        <v>21</v>
      </c>
      <c r="E849" t="s">
        <v>2377</v>
      </c>
      <c r="F849" t="s">
        <v>450</v>
      </c>
      <c r="G849" t="s">
        <v>227</v>
      </c>
      <c r="H849" t="s">
        <v>80</v>
      </c>
      <c r="I849" t="s">
        <v>26</v>
      </c>
      <c r="J849">
        <v>1</v>
      </c>
      <c r="K849">
        <v>395</v>
      </c>
      <c r="L849">
        <v>395</v>
      </c>
      <c r="P849">
        <v>0</v>
      </c>
      <c r="Q849" t="s">
        <v>34</v>
      </c>
      <c r="R849">
        <v>38</v>
      </c>
      <c r="S849" t="s">
        <v>28</v>
      </c>
    </row>
    <row r="850" spans="1:19" x14ac:dyDescent="0.3">
      <c r="A850" t="s">
        <v>2378</v>
      </c>
      <c r="B850" s="2">
        <v>45418</v>
      </c>
      <c r="C850" t="s">
        <v>71</v>
      </c>
      <c r="D850" t="s">
        <v>44</v>
      </c>
      <c r="E850" t="s">
        <v>2379</v>
      </c>
      <c r="F850" t="s">
        <v>192</v>
      </c>
      <c r="G850" t="s">
        <v>227</v>
      </c>
      <c r="H850" t="s">
        <v>80</v>
      </c>
      <c r="I850" t="s">
        <v>26</v>
      </c>
      <c r="J850">
        <v>2</v>
      </c>
      <c r="K850">
        <v>276</v>
      </c>
      <c r="L850">
        <v>552</v>
      </c>
      <c r="M850">
        <v>4.5999999999999996</v>
      </c>
      <c r="N850">
        <v>60</v>
      </c>
      <c r="P850">
        <v>0</v>
      </c>
      <c r="Q850" t="s">
        <v>49</v>
      </c>
      <c r="R850">
        <v>49</v>
      </c>
      <c r="S850" t="s">
        <v>28</v>
      </c>
    </row>
    <row r="851" spans="1:19" x14ac:dyDescent="0.3">
      <c r="A851" t="s">
        <v>2380</v>
      </c>
      <c r="B851" s="2">
        <v>45396</v>
      </c>
      <c r="C851" t="s">
        <v>20</v>
      </c>
      <c r="D851" t="s">
        <v>60</v>
      </c>
      <c r="E851" t="s">
        <v>2381</v>
      </c>
      <c r="F851" t="s">
        <v>2197</v>
      </c>
      <c r="G851" t="s">
        <v>2382</v>
      </c>
      <c r="H851" t="s">
        <v>40</v>
      </c>
      <c r="I851" t="s">
        <v>26</v>
      </c>
      <c r="J851">
        <v>4</v>
      </c>
      <c r="K851">
        <v>298</v>
      </c>
      <c r="L851">
        <v>1192</v>
      </c>
      <c r="P851">
        <v>0</v>
      </c>
      <c r="Q851" t="s">
        <v>49</v>
      </c>
      <c r="R851">
        <v>19</v>
      </c>
      <c r="S851" t="s">
        <v>41</v>
      </c>
    </row>
    <row r="852" spans="1:19" x14ac:dyDescent="0.3">
      <c r="A852" t="s">
        <v>2383</v>
      </c>
      <c r="B852" s="2">
        <v>45458</v>
      </c>
      <c r="C852" t="s">
        <v>30</v>
      </c>
      <c r="D852" t="s">
        <v>100</v>
      </c>
      <c r="E852" t="s">
        <v>2384</v>
      </c>
      <c r="F852" t="s">
        <v>78</v>
      </c>
      <c r="G852" t="s">
        <v>84</v>
      </c>
      <c r="H852" t="s">
        <v>64</v>
      </c>
      <c r="I852" t="s">
        <v>26</v>
      </c>
      <c r="J852">
        <v>1</v>
      </c>
      <c r="K852">
        <v>251</v>
      </c>
      <c r="L852">
        <v>251</v>
      </c>
      <c r="M852">
        <v>5</v>
      </c>
      <c r="N852">
        <v>50</v>
      </c>
      <c r="P852">
        <v>0</v>
      </c>
      <c r="Q852" t="s">
        <v>27</v>
      </c>
      <c r="R852">
        <v>44</v>
      </c>
      <c r="S852" t="s">
        <v>28</v>
      </c>
    </row>
    <row r="853" spans="1:19" x14ac:dyDescent="0.3">
      <c r="A853" t="s">
        <v>2385</v>
      </c>
      <c r="B853" s="2">
        <v>45292</v>
      </c>
      <c r="C853" t="s">
        <v>43</v>
      </c>
      <c r="D853" t="s">
        <v>44</v>
      </c>
      <c r="E853" t="s">
        <v>2386</v>
      </c>
      <c r="F853" t="s">
        <v>2387</v>
      </c>
      <c r="G853" t="s">
        <v>154</v>
      </c>
      <c r="H853" t="s">
        <v>80</v>
      </c>
      <c r="I853" t="s">
        <v>26</v>
      </c>
      <c r="J853">
        <v>3</v>
      </c>
      <c r="K853">
        <v>430</v>
      </c>
      <c r="L853">
        <v>1290</v>
      </c>
      <c r="M853">
        <v>4.4000000000000004</v>
      </c>
      <c r="N853">
        <v>51</v>
      </c>
      <c r="P853">
        <v>0</v>
      </c>
      <c r="Q853" t="s">
        <v>27</v>
      </c>
      <c r="R853">
        <v>37</v>
      </c>
      <c r="S853" t="s">
        <v>28</v>
      </c>
    </row>
    <row r="854" spans="1:19" x14ac:dyDescent="0.3">
      <c r="A854" t="s">
        <v>2388</v>
      </c>
      <c r="B854" s="2">
        <v>45422</v>
      </c>
      <c r="C854" t="s">
        <v>71</v>
      </c>
      <c r="D854" t="s">
        <v>21</v>
      </c>
      <c r="E854" t="s">
        <v>2389</v>
      </c>
      <c r="F854" t="s">
        <v>87</v>
      </c>
      <c r="G854" t="s">
        <v>2390</v>
      </c>
      <c r="H854" t="s">
        <v>40</v>
      </c>
      <c r="I854" t="s">
        <v>26</v>
      </c>
      <c r="J854">
        <v>1</v>
      </c>
      <c r="K854">
        <v>574</v>
      </c>
      <c r="L854">
        <v>574</v>
      </c>
      <c r="M854">
        <v>4.2</v>
      </c>
      <c r="N854">
        <v>40</v>
      </c>
      <c r="O854">
        <v>150</v>
      </c>
      <c r="P854">
        <v>30</v>
      </c>
      <c r="Q854" t="s">
        <v>27</v>
      </c>
      <c r="R854">
        <v>27</v>
      </c>
      <c r="S854" t="s">
        <v>28</v>
      </c>
    </row>
    <row r="855" spans="1:19" x14ac:dyDescent="0.3">
      <c r="A855" t="s">
        <v>2391</v>
      </c>
      <c r="B855" s="2">
        <v>45496</v>
      </c>
      <c r="C855" t="s">
        <v>59</v>
      </c>
      <c r="D855" t="s">
        <v>36</v>
      </c>
      <c r="E855" t="s">
        <v>2392</v>
      </c>
      <c r="F855" t="s">
        <v>115</v>
      </c>
      <c r="G855" t="s">
        <v>2393</v>
      </c>
      <c r="H855" t="s">
        <v>80</v>
      </c>
      <c r="I855" t="s">
        <v>26</v>
      </c>
      <c r="J855">
        <v>3</v>
      </c>
      <c r="K855">
        <v>467</v>
      </c>
      <c r="L855">
        <v>1401</v>
      </c>
      <c r="M855">
        <v>4.4000000000000004</v>
      </c>
      <c r="N855">
        <v>42</v>
      </c>
      <c r="P855">
        <v>0</v>
      </c>
      <c r="Q855" t="s">
        <v>34</v>
      </c>
      <c r="R855">
        <v>19</v>
      </c>
      <c r="S855" t="s">
        <v>41</v>
      </c>
    </row>
    <row r="856" spans="1:19" x14ac:dyDescent="0.3">
      <c r="A856" t="s">
        <v>2394</v>
      </c>
      <c r="B856" s="2">
        <v>45383</v>
      </c>
      <c r="C856" t="s">
        <v>20</v>
      </c>
      <c r="D856" t="s">
        <v>44</v>
      </c>
      <c r="E856" t="s">
        <v>2395</v>
      </c>
      <c r="F856" t="s">
        <v>23</v>
      </c>
      <c r="G856" t="s">
        <v>2396</v>
      </c>
      <c r="H856" t="s">
        <v>80</v>
      </c>
      <c r="I856" t="s">
        <v>26</v>
      </c>
      <c r="J856">
        <v>2</v>
      </c>
      <c r="K856">
        <v>147</v>
      </c>
      <c r="L856">
        <v>294</v>
      </c>
      <c r="M856">
        <v>3.9</v>
      </c>
      <c r="N856">
        <v>49</v>
      </c>
      <c r="P856">
        <v>0</v>
      </c>
      <c r="Q856" t="s">
        <v>34</v>
      </c>
      <c r="R856">
        <v>19</v>
      </c>
      <c r="S856" t="s">
        <v>41</v>
      </c>
    </row>
    <row r="857" spans="1:19" x14ac:dyDescent="0.3">
      <c r="A857" t="s">
        <v>2397</v>
      </c>
      <c r="B857" s="2">
        <v>45481</v>
      </c>
      <c r="C857" t="s">
        <v>59</v>
      </c>
      <c r="D857" t="s">
        <v>44</v>
      </c>
      <c r="E857" t="s">
        <v>2398</v>
      </c>
      <c r="F857" t="s">
        <v>268</v>
      </c>
      <c r="G857" t="s">
        <v>887</v>
      </c>
      <c r="H857" t="s">
        <v>48</v>
      </c>
      <c r="I857" t="s">
        <v>33</v>
      </c>
      <c r="J857">
        <v>4</v>
      </c>
      <c r="K857">
        <v>379</v>
      </c>
      <c r="L857">
        <v>1516</v>
      </c>
      <c r="M857">
        <v>4.0999999999999996</v>
      </c>
      <c r="N857">
        <v>50</v>
      </c>
      <c r="O857">
        <v>150</v>
      </c>
      <c r="P857">
        <v>30</v>
      </c>
      <c r="Q857" t="s">
        <v>27</v>
      </c>
      <c r="R857">
        <v>45</v>
      </c>
      <c r="S857" t="s">
        <v>28</v>
      </c>
    </row>
    <row r="858" spans="1:19" x14ac:dyDescent="0.3">
      <c r="A858" t="s">
        <v>2399</v>
      </c>
      <c r="B858" s="2">
        <v>45482</v>
      </c>
      <c r="C858" t="s">
        <v>59</v>
      </c>
      <c r="D858" t="s">
        <v>36</v>
      </c>
      <c r="E858" t="s">
        <v>2400</v>
      </c>
      <c r="F858" t="s">
        <v>62</v>
      </c>
      <c r="G858" t="s">
        <v>2401</v>
      </c>
      <c r="H858" t="s">
        <v>80</v>
      </c>
      <c r="I858" t="s">
        <v>26</v>
      </c>
      <c r="J858">
        <v>4</v>
      </c>
      <c r="K858">
        <v>525</v>
      </c>
      <c r="L858">
        <v>2100</v>
      </c>
      <c r="M858">
        <v>3.9</v>
      </c>
      <c r="N858">
        <v>40</v>
      </c>
      <c r="P858">
        <v>0</v>
      </c>
      <c r="Q858" t="s">
        <v>27</v>
      </c>
      <c r="R858">
        <v>41</v>
      </c>
      <c r="S858" t="s">
        <v>41</v>
      </c>
    </row>
    <row r="859" spans="1:19" x14ac:dyDescent="0.3">
      <c r="A859" t="s">
        <v>2402</v>
      </c>
      <c r="B859" s="2">
        <v>45404</v>
      </c>
      <c r="C859" t="s">
        <v>20</v>
      </c>
      <c r="D859" t="s">
        <v>44</v>
      </c>
      <c r="E859" t="s">
        <v>2403</v>
      </c>
      <c r="F859" t="s">
        <v>578</v>
      </c>
      <c r="G859" t="s">
        <v>2404</v>
      </c>
      <c r="H859" t="s">
        <v>64</v>
      </c>
      <c r="I859" t="s">
        <v>26</v>
      </c>
      <c r="J859">
        <v>4</v>
      </c>
      <c r="K859">
        <v>195</v>
      </c>
      <c r="L859">
        <v>780</v>
      </c>
      <c r="M859">
        <v>4.0999999999999996</v>
      </c>
      <c r="N859">
        <v>42</v>
      </c>
      <c r="P859">
        <v>0</v>
      </c>
      <c r="Q859" t="s">
        <v>34</v>
      </c>
      <c r="R859">
        <v>34</v>
      </c>
      <c r="S859" t="s">
        <v>41</v>
      </c>
    </row>
    <row r="860" spans="1:19" x14ac:dyDescent="0.3">
      <c r="A860" t="s">
        <v>2405</v>
      </c>
      <c r="B860" s="2">
        <v>45444</v>
      </c>
      <c r="C860" t="s">
        <v>30</v>
      </c>
      <c r="D860" t="s">
        <v>100</v>
      </c>
      <c r="E860" t="s">
        <v>2406</v>
      </c>
      <c r="F860" t="s">
        <v>78</v>
      </c>
      <c r="G860" t="s">
        <v>2407</v>
      </c>
      <c r="H860" t="s">
        <v>48</v>
      </c>
      <c r="I860" t="s">
        <v>33</v>
      </c>
      <c r="J860">
        <v>2</v>
      </c>
      <c r="K860">
        <v>548</v>
      </c>
      <c r="L860">
        <v>1096</v>
      </c>
      <c r="M860">
        <v>4.3</v>
      </c>
      <c r="N860">
        <v>55</v>
      </c>
      <c r="P860">
        <v>0</v>
      </c>
      <c r="Q860" t="s">
        <v>75</v>
      </c>
      <c r="R860">
        <v>49</v>
      </c>
      <c r="S860" t="s">
        <v>41</v>
      </c>
    </row>
    <row r="861" spans="1:19" x14ac:dyDescent="0.3">
      <c r="A861" t="s">
        <v>2408</v>
      </c>
      <c r="B861" s="2">
        <v>45347</v>
      </c>
      <c r="C861" t="s">
        <v>113</v>
      </c>
      <c r="D861" t="s">
        <v>60</v>
      </c>
      <c r="E861" t="s">
        <v>2409</v>
      </c>
      <c r="F861" t="s">
        <v>46</v>
      </c>
      <c r="G861" t="s">
        <v>2410</v>
      </c>
      <c r="H861" t="s">
        <v>48</v>
      </c>
      <c r="I861" t="s">
        <v>33</v>
      </c>
      <c r="J861">
        <v>3</v>
      </c>
      <c r="K861">
        <v>186</v>
      </c>
      <c r="L861">
        <v>558</v>
      </c>
      <c r="M861">
        <v>4.5999999999999996</v>
      </c>
      <c r="N861">
        <v>25</v>
      </c>
      <c r="P861">
        <v>0</v>
      </c>
      <c r="Q861" t="s">
        <v>34</v>
      </c>
      <c r="R861">
        <v>33</v>
      </c>
      <c r="S861" t="s">
        <v>28</v>
      </c>
    </row>
    <row r="862" spans="1:19" x14ac:dyDescent="0.3">
      <c r="A862" t="s">
        <v>2411</v>
      </c>
      <c r="B862" s="2">
        <v>45452</v>
      </c>
      <c r="C862" t="s">
        <v>30</v>
      </c>
      <c r="D862" t="s">
        <v>60</v>
      </c>
      <c r="E862" t="s">
        <v>2412</v>
      </c>
      <c r="F862" t="s">
        <v>46</v>
      </c>
      <c r="G862" t="s">
        <v>2413</v>
      </c>
      <c r="H862" t="s">
        <v>80</v>
      </c>
      <c r="I862" t="s">
        <v>26</v>
      </c>
      <c r="J862">
        <v>2</v>
      </c>
      <c r="K862">
        <v>461</v>
      </c>
      <c r="L862">
        <v>922</v>
      </c>
      <c r="M862">
        <v>2.8</v>
      </c>
      <c r="N862">
        <v>17</v>
      </c>
      <c r="O862">
        <v>50</v>
      </c>
      <c r="P862">
        <v>20</v>
      </c>
      <c r="Q862" t="s">
        <v>34</v>
      </c>
      <c r="R862">
        <v>33</v>
      </c>
      <c r="S862" t="s">
        <v>28</v>
      </c>
    </row>
    <row r="863" spans="1:19" x14ac:dyDescent="0.3">
      <c r="A863" t="s">
        <v>2414</v>
      </c>
      <c r="B863" s="2">
        <v>45457</v>
      </c>
      <c r="C863" t="s">
        <v>30</v>
      </c>
      <c r="D863" t="s">
        <v>21</v>
      </c>
      <c r="E863" t="s">
        <v>2415</v>
      </c>
      <c r="F863" t="s">
        <v>46</v>
      </c>
      <c r="G863" t="s">
        <v>1058</v>
      </c>
      <c r="H863" t="s">
        <v>80</v>
      </c>
      <c r="I863" t="s">
        <v>26</v>
      </c>
      <c r="J863">
        <v>4</v>
      </c>
      <c r="K863">
        <v>313</v>
      </c>
      <c r="L863">
        <v>1252</v>
      </c>
      <c r="O863">
        <v>75</v>
      </c>
      <c r="P863">
        <v>30</v>
      </c>
      <c r="Q863" t="s">
        <v>34</v>
      </c>
      <c r="R863">
        <v>31</v>
      </c>
      <c r="S863" t="s">
        <v>41</v>
      </c>
    </row>
    <row r="864" spans="1:19" x14ac:dyDescent="0.3">
      <c r="A864" t="s">
        <v>2416</v>
      </c>
      <c r="B864" s="2">
        <v>45408</v>
      </c>
      <c r="C864" t="s">
        <v>20</v>
      </c>
      <c r="D864" t="s">
        <v>21</v>
      </c>
      <c r="E864" t="s">
        <v>2417</v>
      </c>
      <c r="F864" t="s">
        <v>2418</v>
      </c>
      <c r="G864" t="s">
        <v>2419</v>
      </c>
      <c r="H864" t="s">
        <v>48</v>
      </c>
      <c r="I864" t="s">
        <v>33</v>
      </c>
      <c r="J864">
        <v>2</v>
      </c>
      <c r="K864">
        <v>591</v>
      </c>
      <c r="L864">
        <v>1182</v>
      </c>
      <c r="M864">
        <v>4.7</v>
      </c>
      <c r="N864">
        <v>49</v>
      </c>
      <c r="P864">
        <v>0</v>
      </c>
      <c r="Q864" t="s">
        <v>27</v>
      </c>
      <c r="R864">
        <v>24</v>
      </c>
      <c r="S864" t="s">
        <v>28</v>
      </c>
    </row>
    <row r="865" spans="1:19" x14ac:dyDescent="0.3">
      <c r="A865" t="s">
        <v>2420</v>
      </c>
      <c r="B865" s="2">
        <v>45425</v>
      </c>
      <c r="C865" t="s">
        <v>71</v>
      </c>
      <c r="D865" t="s">
        <v>44</v>
      </c>
      <c r="E865" t="s">
        <v>2421</v>
      </c>
      <c r="F865" t="s">
        <v>23</v>
      </c>
      <c r="G865" t="s">
        <v>53</v>
      </c>
      <c r="H865" t="s">
        <v>53</v>
      </c>
      <c r="I865" t="s">
        <v>26</v>
      </c>
      <c r="J865">
        <v>2</v>
      </c>
      <c r="K865">
        <v>281</v>
      </c>
      <c r="L865">
        <v>562</v>
      </c>
      <c r="M865">
        <v>2.7</v>
      </c>
      <c r="N865">
        <v>33</v>
      </c>
      <c r="P865">
        <v>0</v>
      </c>
      <c r="Q865" t="s">
        <v>75</v>
      </c>
      <c r="R865">
        <v>38</v>
      </c>
      <c r="S865" t="s">
        <v>28</v>
      </c>
    </row>
    <row r="866" spans="1:19" x14ac:dyDescent="0.3">
      <c r="A866" t="s">
        <v>2422</v>
      </c>
      <c r="B866" s="2">
        <v>45349</v>
      </c>
      <c r="C866" t="s">
        <v>113</v>
      </c>
      <c r="D866" t="s">
        <v>36</v>
      </c>
      <c r="E866" t="s">
        <v>2423</v>
      </c>
      <c r="F866" t="s">
        <v>2424</v>
      </c>
      <c r="G866" t="s">
        <v>227</v>
      </c>
      <c r="H866" t="s">
        <v>80</v>
      </c>
      <c r="I866" t="s">
        <v>26</v>
      </c>
      <c r="J866">
        <v>2</v>
      </c>
      <c r="K866">
        <v>466</v>
      </c>
      <c r="L866">
        <v>932</v>
      </c>
      <c r="M866">
        <v>4.7</v>
      </c>
      <c r="N866">
        <v>23</v>
      </c>
      <c r="O866">
        <v>700</v>
      </c>
      <c r="P866">
        <v>20</v>
      </c>
      <c r="Q866" t="s">
        <v>34</v>
      </c>
      <c r="R866">
        <v>48</v>
      </c>
      <c r="S866" t="s">
        <v>28</v>
      </c>
    </row>
    <row r="867" spans="1:19" x14ac:dyDescent="0.3">
      <c r="A867" t="s">
        <v>2425</v>
      </c>
      <c r="B867" s="2">
        <v>45335</v>
      </c>
      <c r="C867" t="s">
        <v>113</v>
      </c>
      <c r="D867" t="s">
        <v>36</v>
      </c>
      <c r="E867" t="s">
        <v>2426</v>
      </c>
      <c r="F867" t="s">
        <v>46</v>
      </c>
      <c r="G867" t="s">
        <v>64</v>
      </c>
      <c r="H867" t="s">
        <v>64</v>
      </c>
      <c r="I867" t="s">
        <v>26</v>
      </c>
      <c r="J867">
        <v>3</v>
      </c>
      <c r="K867">
        <v>558</v>
      </c>
      <c r="L867">
        <v>1674</v>
      </c>
      <c r="M867">
        <v>4</v>
      </c>
      <c r="N867">
        <v>23</v>
      </c>
      <c r="P867">
        <v>0</v>
      </c>
      <c r="Q867" t="s">
        <v>27</v>
      </c>
      <c r="R867">
        <v>28</v>
      </c>
      <c r="S867" t="s">
        <v>28</v>
      </c>
    </row>
    <row r="868" spans="1:19" x14ac:dyDescent="0.3">
      <c r="A868" t="s">
        <v>2427</v>
      </c>
      <c r="B868" s="2">
        <v>45464</v>
      </c>
      <c r="C868" t="s">
        <v>30</v>
      </c>
      <c r="D868" t="s">
        <v>21</v>
      </c>
      <c r="E868" t="s">
        <v>2428</v>
      </c>
      <c r="F868" t="s">
        <v>46</v>
      </c>
      <c r="G868" t="s">
        <v>2429</v>
      </c>
      <c r="H868" t="s">
        <v>64</v>
      </c>
      <c r="I868" t="s">
        <v>26</v>
      </c>
      <c r="J868">
        <v>1</v>
      </c>
      <c r="K868">
        <v>480</v>
      </c>
      <c r="L868">
        <v>480</v>
      </c>
      <c r="P868">
        <v>0</v>
      </c>
      <c r="Q868" t="s">
        <v>49</v>
      </c>
      <c r="R868">
        <v>41</v>
      </c>
      <c r="S868" t="s">
        <v>28</v>
      </c>
    </row>
    <row r="869" spans="1:19" x14ac:dyDescent="0.3">
      <c r="A869" t="s">
        <v>2430</v>
      </c>
      <c r="B869" s="2">
        <v>45451</v>
      </c>
      <c r="C869" t="s">
        <v>30</v>
      </c>
      <c r="D869" t="s">
        <v>100</v>
      </c>
      <c r="E869" t="s">
        <v>2431</v>
      </c>
      <c r="F869" t="s">
        <v>46</v>
      </c>
      <c r="G869" t="s">
        <v>2432</v>
      </c>
      <c r="H869" t="s">
        <v>53</v>
      </c>
      <c r="I869" t="s">
        <v>26</v>
      </c>
      <c r="J869">
        <v>1</v>
      </c>
      <c r="K869">
        <v>376</v>
      </c>
      <c r="L869">
        <v>376</v>
      </c>
      <c r="M869">
        <v>3.9</v>
      </c>
      <c r="N869">
        <v>27</v>
      </c>
      <c r="O869">
        <v>200</v>
      </c>
      <c r="P869">
        <v>40</v>
      </c>
      <c r="Q869" t="s">
        <v>49</v>
      </c>
      <c r="R869">
        <v>18</v>
      </c>
      <c r="S869" t="s">
        <v>41</v>
      </c>
    </row>
    <row r="870" spans="1:19" x14ac:dyDescent="0.3">
      <c r="A870" t="s">
        <v>2433</v>
      </c>
      <c r="B870" s="2">
        <v>45464</v>
      </c>
      <c r="C870" t="s">
        <v>30</v>
      </c>
      <c r="D870" t="s">
        <v>21</v>
      </c>
      <c r="E870" t="s">
        <v>2434</v>
      </c>
      <c r="F870" t="s">
        <v>46</v>
      </c>
      <c r="G870" t="s">
        <v>53</v>
      </c>
      <c r="H870" t="s">
        <v>53</v>
      </c>
      <c r="I870" t="s">
        <v>26</v>
      </c>
      <c r="J870">
        <v>2</v>
      </c>
      <c r="K870">
        <v>191</v>
      </c>
      <c r="L870">
        <v>382</v>
      </c>
      <c r="M870">
        <v>2.8</v>
      </c>
      <c r="N870">
        <v>23</v>
      </c>
      <c r="P870">
        <v>0</v>
      </c>
      <c r="Q870" t="s">
        <v>34</v>
      </c>
      <c r="R870">
        <v>28</v>
      </c>
      <c r="S870" t="s">
        <v>28</v>
      </c>
    </row>
    <row r="871" spans="1:19" x14ac:dyDescent="0.3">
      <c r="A871" t="s">
        <v>2435</v>
      </c>
      <c r="B871" s="2">
        <v>45352</v>
      </c>
      <c r="C871" t="s">
        <v>55</v>
      </c>
      <c r="D871" t="s">
        <v>21</v>
      </c>
      <c r="E871" t="s">
        <v>2436</v>
      </c>
      <c r="F871" t="s">
        <v>667</v>
      </c>
      <c r="G871" t="s">
        <v>2104</v>
      </c>
      <c r="H871" t="s">
        <v>64</v>
      </c>
      <c r="I871" t="s">
        <v>26</v>
      </c>
      <c r="J871">
        <v>1</v>
      </c>
      <c r="K871">
        <v>206</v>
      </c>
      <c r="L871">
        <v>206</v>
      </c>
      <c r="M871">
        <v>3.9</v>
      </c>
      <c r="N871">
        <v>31</v>
      </c>
      <c r="O871">
        <v>499</v>
      </c>
      <c r="P871">
        <v>0</v>
      </c>
      <c r="Q871" t="s">
        <v>49</v>
      </c>
      <c r="R871">
        <v>40</v>
      </c>
      <c r="S871" t="s">
        <v>28</v>
      </c>
    </row>
    <row r="872" spans="1:19" x14ac:dyDescent="0.3">
      <c r="A872" t="s">
        <v>2437</v>
      </c>
      <c r="B872" s="2">
        <v>45338</v>
      </c>
      <c r="C872" t="s">
        <v>113</v>
      </c>
      <c r="D872" t="s">
        <v>21</v>
      </c>
      <c r="E872" t="s">
        <v>2438</v>
      </c>
      <c r="F872" t="s">
        <v>23</v>
      </c>
      <c r="G872" t="s">
        <v>2439</v>
      </c>
      <c r="H872" t="s">
        <v>53</v>
      </c>
      <c r="I872" t="s">
        <v>26</v>
      </c>
      <c r="J872">
        <v>1</v>
      </c>
      <c r="K872">
        <v>541</v>
      </c>
      <c r="L872">
        <v>541</v>
      </c>
      <c r="M872">
        <v>3.8</v>
      </c>
      <c r="N872">
        <v>33</v>
      </c>
      <c r="P872">
        <v>0</v>
      </c>
      <c r="Q872" t="s">
        <v>75</v>
      </c>
      <c r="R872">
        <v>38</v>
      </c>
      <c r="S872" t="s">
        <v>28</v>
      </c>
    </row>
    <row r="873" spans="1:19" x14ac:dyDescent="0.3">
      <c r="A873" t="s">
        <v>2440</v>
      </c>
      <c r="B873" s="2">
        <v>45440</v>
      </c>
      <c r="C873" t="s">
        <v>71</v>
      </c>
      <c r="D873" t="s">
        <v>36</v>
      </c>
      <c r="E873" t="s">
        <v>2441</v>
      </c>
      <c r="F873" t="s">
        <v>23</v>
      </c>
      <c r="G873" t="s">
        <v>2442</v>
      </c>
      <c r="H873" t="s">
        <v>48</v>
      </c>
      <c r="I873" t="s">
        <v>33</v>
      </c>
      <c r="J873">
        <v>2</v>
      </c>
      <c r="K873">
        <v>381</v>
      </c>
      <c r="L873">
        <v>762</v>
      </c>
      <c r="M873">
        <v>4.3</v>
      </c>
      <c r="N873">
        <v>33</v>
      </c>
      <c r="O873">
        <v>50</v>
      </c>
      <c r="P873">
        <v>20</v>
      </c>
      <c r="Q873" t="s">
        <v>49</v>
      </c>
      <c r="R873">
        <v>21</v>
      </c>
      <c r="S873" t="s">
        <v>41</v>
      </c>
    </row>
    <row r="874" spans="1:19" x14ac:dyDescent="0.3">
      <c r="A874" t="s">
        <v>2443</v>
      </c>
      <c r="B874" s="2">
        <v>45371</v>
      </c>
      <c r="C874" t="s">
        <v>55</v>
      </c>
      <c r="D874" t="s">
        <v>72</v>
      </c>
      <c r="E874" t="s">
        <v>2444</v>
      </c>
      <c r="F874" t="s">
        <v>115</v>
      </c>
      <c r="G874" t="s">
        <v>2445</v>
      </c>
      <c r="H874" t="s">
        <v>25</v>
      </c>
      <c r="I874" t="s">
        <v>26</v>
      </c>
      <c r="J874">
        <v>2</v>
      </c>
      <c r="K874">
        <v>333</v>
      </c>
      <c r="L874">
        <v>666</v>
      </c>
      <c r="M874">
        <v>4.5</v>
      </c>
      <c r="N874">
        <v>42</v>
      </c>
      <c r="P874">
        <v>0</v>
      </c>
      <c r="Q874" t="s">
        <v>49</v>
      </c>
      <c r="R874">
        <v>24</v>
      </c>
      <c r="S874" t="s">
        <v>41</v>
      </c>
    </row>
    <row r="875" spans="1:19" x14ac:dyDescent="0.3">
      <c r="A875" t="s">
        <v>2446</v>
      </c>
      <c r="B875" s="2">
        <v>45409</v>
      </c>
      <c r="C875" t="s">
        <v>20</v>
      </c>
      <c r="D875" t="s">
        <v>100</v>
      </c>
      <c r="E875" t="s">
        <v>2447</v>
      </c>
      <c r="F875" t="s">
        <v>713</v>
      </c>
      <c r="G875" t="s">
        <v>769</v>
      </c>
      <c r="H875" t="s">
        <v>80</v>
      </c>
      <c r="I875" t="s">
        <v>26</v>
      </c>
      <c r="J875">
        <v>4</v>
      </c>
      <c r="K875">
        <v>272</v>
      </c>
      <c r="L875">
        <v>1088</v>
      </c>
      <c r="P875">
        <v>0</v>
      </c>
      <c r="Q875" t="s">
        <v>75</v>
      </c>
      <c r="R875">
        <v>43</v>
      </c>
      <c r="S875" t="s">
        <v>41</v>
      </c>
    </row>
    <row r="876" spans="1:19" x14ac:dyDescent="0.3">
      <c r="A876" t="s">
        <v>2448</v>
      </c>
      <c r="B876" s="2">
        <v>45504</v>
      </c>
      <c r="C876" t="s">
        <v>59</v>
      </c>
      <c r="D876" t="s">
        <v>72</v>
      </c>
      <c r="E876" t="s">
        <v>2449</v>
      </c>
      <c r="F876" t="s">
        <v>450</v>
      </c>
      <c r="G876" t="s">
        <v>2450</v>
      </c>
      <c r="H876" t="s">
        <v>80</v>
      </c>
      <c r="I876" t="s">
        <v>26</v>
      </c>
      <c r="J876">
        <v>1</v>
      </c>
      <c r="K876">
        <v>329</v>
      </c>
      <c r="L876">
        <v>329</v>
      </c>
      <c r="P876">
        <v>0</v>
      </c>
      <c r="Q876" t="s">
        <v>34</v>
      </c>
      <c r="R876">
        <v>32</v>
      </c>
      <c r="S876" t="s">
        <v>28</v>
      </c>
    </row>
    <row r="877" spans="1:19" x14ac:dyDescent="0.3">
      <c r="A877" t="s">
        <v>2451</v>
      </c>
      <c r="B877" s="2">
        <v>45494</v>
      </c>
      <c r="C877" t="s">
        <v>59</v>
      </c>
      <c r="D877" t="s">
        <v>60</v>
      </c>
      <c r="E877" t="s">
        <v>2452</v>
      </c>
      <c r="F877" t="s">
        <v>46</v>
      </c>
      <c r="G877" t="s">
        <v>154</v>
      </c>
      <c r="H877" t="s">
        <v>80</v>
      </c>
      <c r="I877" t="s">
        <v>26</v>
      </c>
      <c r="J877">
        <v>3</v>
      </c>
      <c r="K877">
        <v>520</v>
      </c>
      <c r="L877">
        <v>1560</v>
      </c>
      <c r="P877">
        <v>0</v>
      </c>
      <c r="Q877" t="s">
        <v>34</v>
      </c>
      <c r="R877">
        <v>35</v>
      </c>
      <c r="S877" t="s">
        <v>41</v>
      </c>
    </row>
    <row r="878" spans="1:19" x14ac:dyDescent="0.3">
      <c r="A878" t="s">
        <v>2453</v>
      </c>
      <c r="B878" s="2">
        <v>45520</v>
      </c>
      <c r="C878" t="s">
        <v>82</v>
      </c>
      <c r="D878" t="s">
        <v>21</v>
      </c>
      <c r="E878" t="s">
        <v>2454</v>
      </c>
      <c r="F878" t="s">
        <v>78</v>
      </c>
      <c r="G878" t="s">
        <v>1907</v>
      </c>
      <c r="H878" t="s">
        <v>80</v>
      </c>
      <c r="I878" t="s">
        <v>26</v>
      </c>
      <c r="J878">
        <v>2</v>
      </c>
      <c r="K878">
        <v>180</v>
      </c>
      <c r="L878">
        <v>360</v>
      </c>
      <c r="P878">
        <v>0</v>
      </c>
      <c r="Q878" t="s">
        <v>75</v>
      </c>
      <c r="R878">
        <v>29</v>
      </c>
      <c r="S878" t="s">
        <v>41</v>
      </c>
    </row>
    <row r="879" spans="1:19" x14ac:dyDescent="0.3">
      <c r="A879" t="s">
        <v>2455</v>
      </c>
      <c r="B879" s="2">
        <v>45455</v>
      </c>
      <c r="C879" t="s">
        <v>30</v>
      </c>
      <c r="D879" t="s">
        <v>72</v>
      </c>
      <c r="E879" t="s">
        <v>2456</v>
      </c>
      <c r="F879" t="s">
        <v>137</v>
      </c>
      <c r="G879" t="s">
        <v>1644</v>
      </c>
      <c r="H879" t="s">
        <v>48</v>
      </c>
      <c r="I879" t="s">
        <v>33</v>
      </c>
      <c r="J879">
        <v>4</v>
      </c>
      <c r="K879">
        <v>387</v>
      </c>
      <c r="L879">
        <v>1548</v>
      </c>
      <c r="M879">
        <v>4.5</v>
      </c>
      <c r="N879">
        <v>45</v>
      </c>
      <c r="P879">
        <v>0</v>
      </c>
      <c r="Q879" t="s">
        <v>75</v>
      </c>
      <c r="R879">
        <v>48</v>
      </c>
      <c r="S879" t="s">
        <v>41</v>
      </c>
    </row>
    <row r="880" spans="1:19" x14ac:dyDescent="0.3">
      <c r="A880" t="s">
        <v>2457</v>
      </c>
      <c r="B880" s="2">
        <v>45518</v>
      </c>
      <c r="C880" t="s">
        <v>82</v>
      </c>
      <c r="D880" t="s">
        <v>72</v>
      </c>
      <c r="E880" t="s">
        <v>2458</v>
      </c>
      <c r="F880" t="s">
        <v>46</v>
      </c>
      <c r="G880" t="s">
        <v>2459</v>
      </c>
      <c r="H880" t="s">
        <v>25</v>
      </c>
      <c r="I880" t="s">
        <v>26</v>
      </c>
      <c r="J880">
        <v>3</v>
      </c>
      <c r="K880">
        <v>381</v>
      </c>
      <c r="L880">
        <v>1143</v>
      </c>
      <c r="P880">
        <v>0</v>
      </c>
      <c r="Q880" t="s">
        <v>75</v>
      </c>
      <c r="R880">
        <v>34</v>
      </c>
      <c r="S880" t="s">
        <v>41</v>
      </c>
    </row>
    <row r="881" spans="1:19" x14ac:dyDescent="0.3">
      <c r="A881" t="s">
        <v>2460</v>
      </c>
      <c r="B881" s="2">
        <v>45438</v>
      </c>
      <c r="C881" t="s">
        <v>71</v>
      </c>
      <c r="D881" t="s">
        <v>60</v>
      </c>
      <c r="E881" t="s">
        <v>2461</v>
      </c>
      <c r="F881" t="s">
        <v>46</v>
      </c>
      <c r="G881" t="s">
        <v>53</v>
      </c>
      <c r="H881" t="s">
        <v>53</v>
      </c>
      <c r="I881" t="s">
        <v>26</v>
      </c>
      <c r="J881">
        <v>1</v>
      </c>
      <c r="K881">
        <v>337</v>
      </c>
      <c r="L881">
        <v>337</v>
      </c>
      <c r="M881">
        <v>4.8</v>
      </c>
      <c r="N881">
        <v>15</v>
      </c>
      <c r="P881">
        <v>0</v>
      </c>
      <c r="Q881" t="s">
        <v>49</v>
      </c>
      <c r="R881">
        <v>18</v>
      </c>
      <c r="S881" t="s">
        <v>28</v>
      </c>
    </row>
    <row r="882" spans="1:19" x14ac:dyDescent="0.3">
      <c r="A882" t="s">
        <v>2462</v>
      </c>
      <c r="B882" s="2">
        <v>45311</v>
      </c>
      <c r="C882" t="s">
        <v>43</v>
      </c>
      <c r="D882" t="s">
        <v>100</v>
      </c>
      <c r="E882" t="s">
        <v>2463</v>
      </c>
      <c r="F882" t="s">
        <v>23</v>
      </c>
      <c r="G882" t="s">
        <v>2464</v>
      </c>
      <c r="H882" t="s">
        <v>40</v>
      </c>
      <c r="I882" t="s">
        <v>26</v>
      </c>
      <c r="J882">
        <v>4</v>
      </c>
      <c r="K882">
        <v>402</v>
      </c>
      <c r="L882">
        <v>1608</v>
      </c>
      <c r="M882">
        <v>4.0999999999999996</v>
      </c>
      <c r="N882">
        <v>31</v>
      </c>
      <c r="O882">
        <v>50</v>
      </c>
      <c r="P882">
        <v>20</v>
      </c>
      <c r="Q882" t="s">
        <v>75</v>
      </c>
      <c r="R882">
        <v>28</v>
      </c>
      <c r="S882" t="s">
        <v>41</v>
      </c>
    </row>
    <row r="883" spans="1:19" x14ac:dyDescent="0.3">
      <c r="A883" t="s">
        <v>2465</v>
      </c>
      <c r="B883" s="2">
        <v>45476</v>
      </c>
      <c r="C883" t="s">
        <v>59</v>
      </c>
      <c r="D883" t="s">
        <v>72</v>
      </c>
      <c r="E883" t="s">
        <v>2466</v>
      </c>
      <c r="F883" t="s">
        <v>46</v>
      </c>
      <c r="G883" t="s">
        <v>1246</v>
      </c>
      <c r="H883" t="s">
        <v>80</v>
      </c>
      <c r="I883" t="s">
        <v>26</v>
      </c>
      <c r="J883">
        <v>2</v>
      </c>
      <c r="K883">
        <v>255</v>
      </c>
      <c r="L883">
        <v>510</v>
      </c>
      <c r="M883">
        <v>4.5</v>
      </c>
      <c r="N883">
        <v>21</v>
      </c>
      <c r="O883">
        <v>749</v>
      </c>
      <c r="P883">
        <v>0</v>
      </c>
      <c r="Q883" t="s">
        <v>27</v>
      </c>
      <c r="R883">
        <v>45</v>
      </c>
      <c r="S883" t="s">
        <v>41</v>
      </c>
    </row>
    <row r="884" spans="1:19" x14ac:dyDescent="0.3">
      <c r="A884" t="s">
        <v>2467</v>
      </c>
      <c r="B884" s="2">
        <v>45437</v>
      </c>
      <c r="C884" t="s">
        <v>71</v>
      </c>
      <c r="D884" t="s">
        <v>100</v>
      </c>
      <c r="E884" t="s">
        <v>2468</v>
      </c>
      <c r="F884" t="s">
        <v>46</v>
      </c>
      <c r="G884" t="s">
        <v>2469</v>
      </c>
      <c r="H884" t="s">
        <v>64</v>
      </c>
      <c r="I884" t="s">
        <v>26</v>
      </c>
      <c r="J884">
        <v>3</v>
      </c>
      <c r="K884">
        <v>586</v>
      </c>
      <c r="L884">
        <v>1758</v>
      </c>
      <c r="M884">
        <v>4.5</v>
      </c>
      <c r="N884">
        <v>19</v>
      </c>
      <c r="P884">
        <v>0</v>
      </c>
      <c r="Q884" t="s">
        <v>49</v>
      </c>
      <c r="R884">
        <v>49</v>
      </c>
      <c r="S884" t="s">
        <v>28</v>
      </c>
    </row>
    <row r="885" spans="1:19" x14ac:dyDescent="0.3">
      <c r="A885" t="s">
        <v>2470</v>
      </c>
      <c r="B885" s="2">
        <v>45338</v>
      </c>
      <c r="C885" t="s">
        <v>113</v>
      </c>
      <c r="D885" t="s">
        <v>21</v>
      </c>
      <c r="E885" t="s">
        <v>2471</v>
      </c>
      <c r="F885" t="s">
        <v>2472</v>
      </c>
      <c r="G885" t="s">
        <v>2473</v>
      </c>
      <c r="H885" t="s">
        <v>53</v>
      </c>
      <c r="I885" t="s">
        <v>26</v>
      </c>
      <c r="J885">
        <v>2</v>
      </c>
      <c r="K885">
        <v>499</v>
      </c>
      <c r="L885">
        <v>998</v>
      </c>
      <c r="O885">
        <v>50</v>
      </c>
      <c r="P885">
        <v>20</v>
      </c>
      <c r="Q885" t="s">
        <v>34</v>
      </c>
      <c r="R885">
        <v>18</v>
      </c>
      <c r="S885" t="s">
        <v>28</v>
      </c>
    </row>
    <row r="886" spans="1:19" x14ac:dyDescent="0.3">
      <c r="A886" t="s">
        <v>2474</v>
      </c>
      <c r="B886" s="2">
        <v>45524</v>
      </c>
      <c r="C886" t="s">
        <v>82</v>
      </c>
      <c r="D886" t="s">
        <v>36</v>
      </c>
      <c r="E886" t="s">
        <v>2475</v>
      </c>
      <c r="F886" t="s">
        <v>115</v>
      </c>
      <c r="G886" t="s">
        <v>1644</v>
      </c>
      <c r="H886" t="s">
        <v>48</v>
      </c>
      <c r="I886" t="s">
        <v>33</v>
      </c>
      <c r="J886">
        <v>1</v>
      </c>
      <c r="K886">
        <v>481</v>
      </c>
      <c r="L886">
        <v>481</v>
      </c>
      <c r="M886">
        <v>3.9</v>
      </c>
      <c r="N886">
        <v>31</v>
      </c>
      <c r="P886">
        <v>0</v>
      </c>
      <c r="Q886" t="s">
        <v>34</v>
      </c>
      <c r="R886">
        <v>32</v>
      </c>
      <c r="S886" t="s">
        <v>41</v>
      </c>
    </row>
    <row r="887" spans="1:19" x14ac:dyDescent="0.3">
      <c r="A887" t="s">
        <v>2476</v>
      </c>
      <c r="B887" s="2">
        <v>45340</v>
      </c>
      <c r="C887" t="s">
        <v>113</v>
      </c>
      <c r="D887" t="s">
        <v>60</v>
      </c>
      <c r="E887" t="s">
        <v>2477</v>
      </c>
      <c r="F887" t="s">
        <v>517</v>
      </c>
      <c r="G887" t="s">
        <v>2478</v>
      </c>
      <c r="H887" t="s">
        <v>80</v>
      </c>
      <c r="I887" t="s">
        <v>26</v>
      </c>
      <c r="J887">
        <v>3</v>
      </c>
      <c r="K887">
        <v>568</v>
      </c>
      <c r="L887">
        <v>1704</v>
      </c>
      <c r="M887">
        <v>4.4000000000000004</v>
      </c>
      <c r="N887">
        <v>34</v>
      </c>
      <c r="P887">
        <v>0</v>
      </c>
      <c r="Q887" t="s">
        <v>34</v>
      </c>
      <c r="R887">
        <v>45</v>
      </c>
      <c r="S887" t="s">
        <v>28</v>
      </c>
    </row>
    <row r="888" spans="1:19" x14ac:dyDescent="0.3">
      <c r="A888" t="s">
        <v>2479</v>
      </c>
      <c r="B888" s="2">
        <v>45305</v>
      </c>
      <c r="C888" t="s">
        <v>43</v>
      </c>
      <c r="D888" t="s">
        <v>60</v>
      </c>
      <c r="E888" t="s">
        <v>2480</v>
      </c>
      <c r="F888" t="s">
        <v>115</v>
      </c>
      <c r="G888" t="s">
        <v>154</v>
      </c>
      <c r="H888" t="s">
        <v>80</v>
      </c>
      <c r="I888" t="s">
        <v>26</v>
      </c>
      <c r="J888">
        <v>1</v>
      </c>
      <c r="K888">
        <v>560</v>
      </c>
      <c r="L888">
        <v>560</v>
      </c>
      <c r="M888">
        <v>3.9</v>
      </c>
      <c r="N888">
        <v>34</v>
      </c>
      <c r="P888">
        <v>0</v>
      </c>
      <c r="Q888" t="s">
        <v>49</v>
      </c>
      <c r="R888">
        <v>38</v>
      </c>
      <c r="S888" t="s">
        <v>41</v>
      </c>
    </row>
    <row r="889" spans="1:19" x14ac:dyDescent="0.3">
      <c r="A889" t="s">
        <v>2481</v>
      </c>
      <c r="B889" s="2">
        <v>45434</v>
      </c>
      <c r="C889" t="s">
        <v>71</v>
      </c>
      <c r="D889" t="s">
        <v>72</v>
      </c>
      <c r="E889" t="s">
        <v>2482</v>
      </c>
      <c r="F889" t="s">
        <v>713</v>
      </c>
      <c r="G889" t="s">
        <v>2483</v>
      </c>
      <c r="H889" t="s">
        <v>80</v>
      </c>
      <c r="I889" t="s">
        <v>26</v>
      </c>
      <c r="J889">
        <v>1</v>
      </c>
      <c r="K889">
        <v>212</v>
      </c>
      <c r="L889">
        <v>212</v>
      </c>
      <c r="M889">
        <v>4.0999999999999996</v>
      </c>
      <c r="N889">
        <v>30</v>
      </c>
      <c r="O889">
        <v>120</v>
      </c>
      <c r="P889">
        <v>20</v>
      </c>
      <c r="Q889" t="s">
        <v>27</v>
      </c>
      <c r="R889">
        <v>27</v>
      </c>
      <c r="S889" t="s">
        <v>28</v>
      </c>
    </row>
    <row r="890" spans="1:19" x14ac:dyDescent="0.3">
      <c r="A890" t="s">
        <v>2484</v>
      </c>
      <c r="B890" s="2">
        <v>45450</v>
      </c>
      <c r="C890" t="s">
        <v>30</v>
      </c>
      <c r="D890" t="s">
        <v>21</v>
      </c>
      <c r="E890" t="s">
        <v>2485</v>
      </c>
      <c r="F890" t="s">
        <v>2486</v>
      </c>
      <c r="G890" t="s">
        <v>2487</v>
      </c>
      <c r="H890" t="s">
        <v>80</v>
      </c>
      <c r="I890" t="s">
        <v>26</v>
      </c>
      <c r="J890">
        <v>4</v>
      </c>
      <c r="K890">
        <v>228</v>
      </c>
      <c r="L890">
        <v>912</v>
      </c>
      <c r="M890">
        <v>5</v>
      </c>
      <c r="N890">
        <v>38</v>
      </c>
      <c r="P890">
        <v>0</v>
      </c>
      <c r="Q890" t="s">
        <v>75</v>
      </c>
      <c r="R890">
        <v>24</v>
      </c>
      <c r="S890" t="s">
        <v>28</v>
      </c>
    </row>
    <row r="891" spans="1:19" x14ac:dyDescent="0.3">
      <c r="A891" t="s">
        <v>2488</v>
      </c>
      <c r="B891" s="2">
        <v>45292</v>
      </c>
      <c r="C891" t="s">
        <v>43</v>
      </c>
      <c r="D891" t="s">
        <v>44</v>
      </c>
      <c r="E891" t="s">
        <v>2489</v>
      </c>
      <c r="F891" t="s">
        <v>2490</v>
      </c>
      <c r="G891" t="s">
        <v>94</v>
      </c>
      <c r="H891" t="s">
        <v>80</v>
      </c>
      <c r="I891" t="s">
        <v>26</v>
      </c>
      <c r="J891">
        <v>2</v>
      </c>
      <c r="K891">
        <v>360</v>
      </c>
      <c r="L891">
        <v>720</v>
      </c>
      <c r="M891">
        <v>4.5999999999999996</v>
      </c>
      <c r="N891">
        <v>14</v>
      </c>
      <c r="P891">
        <v>0</v>
      </c>
      <c r="Q891" t="s">
        <v>75</v>
      </c>
      <c r="R891">
        <v>19</v>
      </c>
      <c r="S891" t="s">
        <v>41</v>
      </c>
    </row>
    <row r="892" spans="1:19" x14ac:dyDescent="0.3">
      <c r="A892" t="s">
        <v>2491</v>
      </c>
      <c r="B892" s="2">
        <v>45408</v>
      </c>
      <c r="C892" t="s">
        <v>20</v>
      </c>
      <c r="D892" t="s">
        <v>21</v>
      </c>
      <c r="E892" t="s">
        <v>2492</v>
      </c>
      <c r="F892" t="s">
        <v>62</v>
      </c>
      <c r="G892" t="s">
        <v>2493</v>
      </c>
      <c r="H892" t="s">
        <v>48</v>
      </c>
      <c r="I892" t="s">
        <v>33</v>
      </c>
      <c r="J892">
        <v>3</v>
      </c>
      <c r="K892">
        <v>474</v>
      </c>
      <c r="L892">
        <v>1422</v>
      </c>
      <c r="M892">
        <v>3.8</v>
      </c>
      <c r="N892">
        <v>39</v>
      </c>
      <c r="O892">
        <v>175</v>
      </c>
      <c r="P892">
        <v>35</v>
      </c>
      <c r="Q892" t="s">
        <v>34</v>
      </c>
      <c r="R892">
        <v>27</v>
      </c>
      <c r="S892" t="s">
        <v>28</v>
      </c>
    </row>
    <row r="893" spans="1:19" x14ac:dyDescent="0.3">
      <c r="A893" t="s">
        <v>2494</v>
      </c>
      <c r="B893" s="2">
        <v>45345</v>
      </c>
      <c r="C893" t="s">
        <v>113</v>
      </c>
      <c r="D893" t="s">
        <v>21</v>
      </c>
      <c r="E893" t="s">
        <v>2495</v>
      </c>
      <c r="F893" t="s">
        <v>115</v>
      </c>
      <c r="G893" t="s">
        <v>2496</v>
      </c>
      <c r="H893" t="s">
        <v>64</v>
      </c>
      <c r="I893" t="s">
        <v>26</v>
      </c>
      <c r="J893">
        <v>1</v>
      </c>
      <c r="K893">
        <v>543</v>
      </c>
      <c r="L893">
        <v>543</v>
      </c>
      <c r="M893">
        <v>3.7</v>
      </c>
      <c r="N893">
        <v>34</v>
      </c>
      <c r="P893">
        <v>0</v>
      </c>
      <c r="Q893" t="s">
        <v>34</v>
      </c>
      <c r="R893">
        <v>41</v>
      </c>
      <c r="S893" t="s">
        <v>41</v>
      </c>
    </row>
    <row r="894" spans="1:19" x14ac:dyDescent="0.3">
      <c r="A894" t="s">
        <v>2497</v>
      </c>
      <c r="B894" s="2">
        <v>45409</v>
      </c>
      <c r="C894" t="s">
        <v>20</v>
      </c>
      <c r="D894" t="s">
        <v>100</v>
      </c>
      <c r="E894" t="s">
        <v>2498</v>
      </c>
      <c r="F894" t="s">
        <v>115</v>
      </c>
      <c r="G894" t="s">
        <v>2499</v>
      </c>
      <c r="H894" t="s">
        <v>53</v>
      </c>
      <c r="I894" t="s">
        <v>26</v>
      </c>
      <c r="J894">
        <v>1</v>
      </c>
      <c r="K894">
        <v>261</v>
      </c>
      <c r="L894">
        <v>261</v>
      </c>
      <c r="M894">
        <v>3.7</v>
      </c>
      <c r="N894">
        <v>46</v>
      </c>
      <c r="O894">
        <v>449</v>
      </c>
      <c r="P894">
        <v>0</v>
      </c>
      <c r="Q894" t="s">
        <v>49</v>
      </c>
      <c r="R894">
        <v>21</v>
      </c>
      <c r="S894" t="s">
        <v>28</v>
      </c>
    </row>
    <row r="895" spans="1:19" x14ac:dyDescent="0.3">
      <c r="A895" t="s">
        <v>2500</v>
      </c>
      <c r="B895" s="2">
        <v>45294</v>
      </c>
      <c r="C895" t="s">
        <v>43</v>
      </c>
      <c r="D895" t="s">
        <v>72</v>
      </c>
      <c r="E895" t="s">
        <v>2501</v>
      </c>
      <c r="F895" t="s">
        <v>115</v>
      </c>
      <c r="G895" t="s">
        <v>825</v>
      </c>
      <c r="H895" t="s">
        <v>80</v>
      </c>
      <c r="I895" t="s">
        <v>26</v>
      </c>
      <c r="J895">
        <v>3</v>
      </c>
      <c r="K895">
        <v>410</v>
      </c>
      <c r="L895">
        <v>1230</v>
      </c>
      <c r="M895">
        <v>4.7</v>
      </c>
      <c r="N895">
        <v>46</v>
      </c>
      <c r="O895">
        <v>449</v>
      </c>
      <c r="P895">
        <v>0</v>
      </c>
      <c r="Q895" t="s">
        <v>27</v>
      </c>
      <c r="R895">
        <v>29</v>
      </c>
      <c r="S895" t="s">
        <v>41</v>
      </c>
    </row>
    <row r="896" spans="1:19" x14ac:dyDescent="0.3">
      <c r="A896" t="s">
        <v>2502</v>
      </c>
      <c r="B896" s="2">
        <v>45435</v>
      </c>
      <c r="C896" t="s">
        <v>71</v>
      </c>
      <c r="D896" t="s">
        <v>92</v>
      </c>
      <c r="E896" t="s">
        <v>2503</v>
      </c>
      <c r="F896" t="s">
        <v>956</v>
      </c>
      <c r="G896" t="s">
        <v>2504</v>
      </c>
      <c r="H896" t="s">
        <v>80</v>
      </c>
      <c r="I896" t="s">
        <v>26</v>
      </c>
      <c r="J896">
        <v>1</v>
      </c>
      <c r="K896">
        <v>551</v>
      </c>
      <c r="L896">
        <v>551</v>
      </c>
      <c r="M896">
        <v>3.8</v>
      </c>
      <c r="N896">
        <v>50</v>
      </c>
      <c r="P896">
        <v>0</v>
      </c>
      <c r="Q896" t="s">
        <v>75</v>
      </c>
      <c r="R896">
        <v>36</v>
      </c>
      <c r="S896" t="s">
        <v>28</v>
      </c>
    </row>
    <row r="897" spans="1:19" x14ac:dyDescent="0.3">
      <c r="A897" t="s">
        <v>2505</v>
      </c>
      <c r="B897" s="2">
        <v>45506</v>
      </c>
      <c r="C897" t="s">
        <v>82</v>
      </c>
      <c r="D897" t="s">
        <v>21</v>
      </c>
      <c r="E897" t="s">
        <v>2506</v>
      </c>
      <c r="F897" t="s">
        <v>2507</v>
      </c>
      <c r="G897" t="s">
        <v>64</v>
      </c>
      <c r="H897" t="s">
        <v>64</v>
      </c>
      <c r="I897" t="s">
        <v>26</v>
      </c>
      <c r="J897">
        <v>4</v>
      </c>
      <c r="K897">
        <v>356</v>
      </c>
      <c r="L897">
        <v>1424</v>
      </c>
      <c r="M897">
        <v>5</v>
      </c>
      <c r="N897">
        <v>50</v>
      </c>
      <c r="P897">
        <v>0</v>
      </c>
      <c r="Q897" t="s">
        <v>49</v>
      </c>
      <c r="R897">
        <v>43</v>
      </c>
      <c r="S897" t="s">
        <v>28</v>
      </c>
    </row>
    <row r="898" spans="1:19" x14ac:dyDescent="0.3">
      <c r="A898" t="s">
        <v>2508</v>
      </c>
      <c r="B898" s="2">
        <v>45476</v>
      </c>
      <c r="C898" t="s">
        <v>59</v>
      </c>
      <c r="D898" t="s">
        <v>72</v>
      </c>
      <c r="E898" t="s">
        <v>2509</v>
      </c>
      <c r="F898" t="s">
        <v>450</v>
      </c>
      <c r="G898" t="s">
        <v>2510</v>
      </c>
      <c r="H898" t="s">
        <v>40</v>
      </c>
      <c r="I898" t="s">
        <v>26</v>
      </c>
      <c r="J898">
        <v>4</v>
      </c>
      <c r="K898">
        <v>459</v>
      </c>
      <c r="L898">
        <v>1836</v>
      </c>
      <c r="M898">
        <v>4</v>
      </c>
      <c r="N898">
        <v>53</v>
      </c>
      <c r="P898">
        <v>0</v>
      </c>
      <c r="Q898" t="s">
        <v>75</v>
      </c>
      <c r="R898">
        <v>28</v>
      </c>
      <c r="S898" t="s">
        <v>28</v>
      </c>
    </row>
    <row r="899" spans="1:19" x14ac:dyDescent="0.3">
      <c r="A899" t="s">
        <v>2511</v>
      </c>
      <c r="B899" s="2">
        <v>45494</v>
      </c>
      <c r="C899" t="s">
        <v>59</v>
      </c>
      <c r="D899" t="s">
        <v>60</v>
      </c>
      <c r="E899" t="s">
        <v>2512</v>
      </c>
      <c r="F899" t="s">
        <v>115</v>
      </c>
      <c r="G899" t="s">
        <v>79</v>
      </c>
      <c r="H899" t="s">
        <v>80</v>
      </c>
      <c r="I899" t="s">
        <v>26</v>
      </c>
      <c r="J899">
        <v>4</v>
      </c>
      <c r="K899">
        <v>431</v>
      </c>
      <c r="L899">
        <v>1724</v>
      </c>
      <c r="M899">
        <v>4.8</v>
      </c>
      <c r="N899">
        <v>45</v>
      </c>
      <c r="P899">
        <v>0</v>
      </c>
      <c r="Q899" t="s">
        <v>34</v>
      </c>
      <c r="R899">
        <v>25</v>
      </c>
      <c r="S899" t="s">
        <v>28</v>
      </c>
    </row>
    <row r="900" spans="1:19" x14ac:dyDescent="0.3">
      <c r="A900" t="s">
        <v>2513</v>
      </c>
      <c r="B900" s="2">
        <v>45303</v>
      </c>
      <c r="C900" t="s">
        <v>43</v>
      </c>
      <c r="D900" t="s">
        <v>21</v>
      </c>
      <c r="E900" t="s">
        <v>2514</v>
      </c>
      <c r="F900" t="s">
        <v>78</v>
      </c>
      <c r="G900" t="s">
        <v>2515</v>
      </c>
      <c r="H900" t="s">
        <v>80</v>
      </c>
      <c r="I900" t="s">
        <v>26</v>
      </c>
      <c r="J900">
        <v>4</v>
      </c>
      <c r="K900">
        <v>296</v>
      </c>
      <c r="L900">
        <v>1184</v>
      </c>
      <c r="M900">
        <v>4.3</v>
      </c>
      <c r="N900">
        <v>57</v>
      </c>
      <c r="O900">
        <v>100</v>
      </c>
      <c r="P900">
        <v>20</v>
      </c>
      <c r="Q900" t="s">
        <v>75</v>
      </c>
      <c r="R900">
        <v>35</v>
      </c>
      <c r="S900" t="s">
        <v>28</v>
      </c>
    </row>
    <row r="901" spans="1:19" x14ac:dyDescent="0.3">
      <c r="A901" t="s">
        <v>2516</v>
      </c>
      <c r="B901" s="2">
        <v>45365</v>
      </c>
      <c r="C901" t="s">
        <v>55</v>
      </c>
      <c r="D901" t="s">
        <v>92</v>
      </c>
      <c r="E901" t="s">
        <v>2517</v>
      </c>
      <c r="F901" t="s">
        <v>62</v>
      </c>
      <c r="G901" t="s">
        <v>2518</v>
      </c>
      <c r="H901" t="s">
        <v>80</v>
      </c>
      <c r="I901" t="s">
        <v>26</v>
      </c>
      <c r="J901">
        <v>1</v>
      </c>
      <c r="K901">
        <v>260</v>
      </c>
      <c r="L901">
        <v>260</v>
      </c>
      <c r="M901">
        <v>4.4000000000000004</v>
      </c>
      <c r="N901">
        <v>41</v>
      </c>
      <c r="P901">
        <v>0</v>
      </c>
      <c r="Q901" t="s">
        <v>27</v>
      </c>
      <c r="R901">
        <v>28</v>
      </c>
      <c r="S901" t="s">
        <v>41</v>
      </c>
    </row>
    <row r="902" spans="1:19" x14ac:dyDescent="0.3">
      <c r="A902" t="s">
        <v>2519</v>
      </c>
      <c r="B902" s="2">
        <v>45515</v>
      </c>
      <c r="C902" t="s">
        <v>82</v>
      </c>
      <c r="D902" t="s">
        <v>60</v>
      </c>
      <c r="E902" t="s">
        <v>2520</v>
      </c>
      <c r="F902" t="s">
        <v>956</v>
      </c>
      <c r="G902" t="s">
        <v>1424</v>
      </c>
      <c r="H902" t="s">
        <v>80</v>
      </c>
      <c r="I902" t="s">
        <v>26</v>
      </c>
      <c r="J902">
        <v>3</v>
      </c>
      <c r="K902">
        <v>308</v>
      </c>
      <c r="L902">
        <v>924</v>
      </c>
      <c r="M902">
        <v>4.0999999999999996</v>
      </c>
      <c r="N902">
        <v>45</v>
      </c>
      <c r="O902">
        <v>449</v>
      </c>
      <c r="P902">
        <v>0</v>
      </c>
      <c r="Q902" t="s">
        <v>27</v>
      </c>
      <c r="R902">
        <v>28</v>
      </c>
      <c r="S902" t="s">
        <v>28</v>
      </c>
    </row>
    <row r="903" spans="1:19" x14ac:dyDescent="0.3">
      <c r="A903" t="s">
        <v>2521</v>
      </c>
      <c r="B903" s="2">
        <v>45307</v>
      </c>
      <c r="C903" t="s">
        <v>43</v>
      </c>
      <c r="D903" t="s">
        <v>36</v>
      </c>
      <c r="E903" t="s">
        <v>2522</v>
      </c>
      <c r="F903" t="s">
        <v>192</v>
      </c>
      <c r="G903" t="s">
        <v>1365</v>
      </c>
      <c r="H903" t="s">
        <v>80</v>
      </c>
      <c r="I903" t="s">
        <v>26</v>
      </c>
      <c r="J903">
        <v>3</v>
      </c>
      <c r="K903">
        <v>168</v>
      </c>
      <c r="L903">
        <v>504</v>
      </c>
      <c r="M903">
        <v>4.0999999999999996</v>
      </c>
      <c r="N903">
        <v>49</v>
      </c>
      <c r="P903">
        <v>0</v>
      </c>
      <c r="Q903" t="s">
        <v>34</v>
      </c>
      <c r="R903">
        <v>30</v>
      </c>
      <c r="S903" t="s">
        <v>41</v>
      </c>
    </row>
    <row r="904" spans="1:19" x14ac:dyDescent="0.3">
      <c r="A904" t="s">
        <v>2523</v>
      </c>
      <c r="B904" s="2">
        <v>45491</v>
      </c>
      <c r="C904" t="s">
        <v>59</v>
      </c>
      <c r="D904" t="s">
        <v>92</v>
      </c>
      <c r="E904" t="s">
        <v>2524</v>
      </c>
      <c r="F904" t="s">
        <v>450</v>
      </c>
      <c r="G904" t="s">
        <v>2525</v>
      </c>
      <c r="H904" t="s">
        <v>64</v>
      </c>
      <c r="I904" t="s">
        <v>26</v>
      </c>
      <c r="J904">
        <v>3</v>
      </c>
      <c r="K904">
        <v>421</v>
      </c>
      <c r="L904">
        <v>1263</v>
      </c>
      <c r="M904">
        <v>4.3</v>
      </c>
      <c r="N904">
        <v>47</v>
      </c>
      <c r="O904">
        <v>449</v>
      </c>
      <c r="P904">
        <v>0</v>
      </c>
      <c r="Q904" t="s">
        <v>27</v>
      </c>
      <c r="R904">
        <v>20</v>
      </c>
      <c r="S904" t="s">
        <v>41</v>
      </c>
    </row>
    <row r="905" spans="1:19" x14ac:dyDescent="0.3">
      <c r="A905" t="s">
        <v>2526</v>
      </c>
      <c r="B905" s="2">
        <v>45393</v>
      </c>
      <c r="C905" t="s">
        <v>20</v>
      </c>
      <c r="D905" t="s">
        <v>92</v>
      </c>
      <c r="E905" t="s">
        <v>2527</v>
      </c>
      <c r="F905" t="s">
        <v>62</v>
      </c>
      <c r="G905" t="s">
        <v>2528</v>
      </c>
      <c r="H905" t="s">
        <v>80</v>
      </c>
      <c r="I905" t="s">
        <v>26</v>
      </c>
      <c r="J905">
        <v>3</v>
      </c>
      <c r="K905">
        <v>488</v>
      </c>
      <c r="L905">
        <v>1464</v>
      </c>
      <c r="M905">
        <v>4</v>
      </c>
      <c r="N905">
        <v>53</v>
      </c>
      <c r="P905">
        <v>0</v>
      </c>
      <c r="Q905" t="s">
        <v>27</v>
      </c>
      <c r="R905">
        <v>29</v>
      </c>
      <c r="S905" t="s">
        <v>41</v>
      </c>
    </row>
    <row r="906" spans="1:19" x14ac:dyDescent="0.3">
      <c r="A906" t="s">
        <v>2529</v>
      </c>
      <c r="B906" s="2">
        <v>45495</v>
      </c>
      <c r="C906" t="s">
        <v>59</v>
      </c>
      <c r="D906" t="s">
        <v>44</v>
      </c>
      <c r="E906" t="s">
        <v>2530</v>
      </c>
      <c r="F906" t="s">
        <v>115</v>
      </c>
      <c r="G906" t="s">
        <v>2531</v>
      </c>
      <c r="H906" t="s">
        <v>48</v>
      </c>
      <c r="I906" t="s">
        <v>33</v>
      </c>
      <c r="J906">
        <v>2</v>
      </c>
      <c r="K906">
        <v>309</v>
      </c>
      <c r="L906">
        <v>618</v>
      </c>
      <c r="M906">
        <v>4.4000000000000004</v>
      </c>
      <c r="N906">
        <v>40</v>
      </c>
      <c r="O906">
        <v>600</v>
      </c>
      <c r="P906">
        <v>10</v>
      </c>
      <c r="Q906" t="s">
        <v>49</v>
      </c>
      <c r="R906">
        <v>20</v>
      </c>
      <c r="S906" t="s">
        <v>28</v>
      </c>
    </row>
    <row r="907" spans="1:19" x14ac:dyDescent="0.3">
      <c r="A907" t="s">
        <v>2532</v>
      </c>
      <c r="B907" s="2">
        <v>45443</v>
      </c>
      <c r="C907" t="s">
        <v>71</v>
      </c>
      <c r="D907" t="s">
        <v>21</v>
      </c>
      <c r="E907" t="s">
        <v>2533</v>
      </c>
      <c r="F907" t="s">
        <v>450</v>
      </c>
      <c r="G907" t="s">
        <v>201</v>
      </c>
      <c r="H907" t="s">
        <v>80</v>
      </c>
      <c r="I907" t="s">
        <v>26</v>
      </c>
      <c r="J907">
        <v>3</v>
      </c>
      <c r="K907">
        <v>255</v>
      </c>
      <c r="L907">
        <v>765</v>
      </c>
      <c r="P907">
        <v>0</v>
      </c>
      <c r="Q907" t="s">
        <v>75</v>
      </c>
      <c r="R907">
        <v>27</v>
      </c>
      <c r="S907" t="s">
        <v>41</v>
      </c>
    </row>
    <row r="908" spans="1:19" x14ac:dyDescent="0.3">
      <c r="A908" t="s">
        <v>2534</v>
      </c>
      <c r="B908" s="2">
        <v>45447</v>
      </c>
      <c r="C908" t="s">
        <v>30</v>
      </c>
      <c r="D908" t="s">
        <v>36</v>
      </c>
      <c r="E908" t="s">
        <v>2535</v>
      </c>
      <c r="F908" t="s">
        <v>78</v>
      </c>
      <c r="G908" t="s">
        <v>2536</v>
      </c>
      <c r="H908" t="s">
        <v>53</v>
      </c>
      <c r="I908" t="s">
        <v>26</v>
      </c>
      <c r="J908">
        <v>2</v>
      </c>
      <c r="K908">
        <v>162</v>
      </c>
      <c r="L908">
        <v>324</v>
      </c>
      <c r="M908">
        <v>3.7</v>
      </c>
      <c r="N908">
        <v>51</v>
      </c>
      <c r="P908">
        <v>0</v>
      </c>
      <c r="Q908" t="s">
        <v>34</v>
      </c>
      <c r="R908">
        <v>44</v>
      </c>
      <c r="S908" t="s">
        <v>28</v>
      </c>
    </row>
    <row r="909" spans="1:19" x14ac:dyDescent="0.3">
      <c r="A909" t="s">
        <v>2537</v>
      </c>
      <c r="B909" s="2">
        <v>45408</v>
      </c>
      <c r="C909" t="s">
        <v>20</v>
      </c>
      <c r="D909" t="s">
        <v>21</v>
      </c>
      <c r="E909" t="s">
        <v>2538</v>
      </c>
      <c r="F909" t="s">
        <v>2539</v>
      </c>
      <c r="G909" t="s">
        <v>2540</v>
      </c>
      <c r="H909" t="s">
        <v>80</v>
      </c>
      <c r="I909" t="s">
        <v>26</v>
      </c>
      <c r="J909">
        <v>2</v>
      </c>
      <c r="K909">
        <v>523</v>
      </c>
      <c r="L909">
        <v>1046</v>
      </c>
      <c r="M909">
        <v>4.3</v>
      </c>
      <c r="N909">
        <v>49</v>
      </c>
      <c r="O909">
        <v>100</v>
      </c>
      <c r="P909">
        <v>15</v>
      </c>
      <c r="Q909" t="s">
        <v>34</v>
      </c>
      <c r="R909">
        <v>34</v>
      </c>
      <c r="S909" t="s">
        <v>41</v>
      </c>
    </row>
    <row r="910" spans="1:19" x14ac:dyDescent="0.3">
      <c r="A910" t="s">
        <v>2541</v>
      </c>
      <c r="B910" s="2">
        <v>45299</v>
      </c>
      <c r="C910" t="s">
        <v>43</v>
      </c>
      <c r="D910" t="s">
        <v>44</v>
      </c>
      <c r="E910" t="s">
        <v>2542</v>
      </c>
      <c r="F910" t="s">
        <v>450</v>
      </c>
      <c r="G910" t="s">
        <v>2543</v>
      </c>
      <c r="H910" t="s">
        <v>53</v>
      </c>
      <c r="I910" t="s">
        <v>26</v>
      </c>
      <c r="J910">
        <v>4</v>
      </c>
      <c r="K910">
        <v>499</v>
      </c>
      <c r="L910">
        <v>1996</v>
      </c>
      <c r="M910">
        <v>4.2</v>
      </c>
      <c r="N910">
        <v>44</v>
      </c>
      <c r="P910">
        <v>0</v>
      </c>
      <c r="Q910" t="s">
        <v>34</v>
      </c>
      <c r="R910">
        <v>39</v>
      </c>
      <c r="S910" t="s">
        <v>41</v>
      </c>
    </row>
    <row r="911" spans="1:19" x14ac:dyDescent="0.3">
      <c r="A911" t="s">
        <v>2544</v>
      </c>
      <c r="B911" s="2">
        <v>45413</v>
      </c>
      <c r="C911" t="s">
        <v>71</v>
      </c>
      <c r="D911" t="s">
        <v>72</v>
      </c>
      <c r="E911" t="s">
        <v>2545</v>
      </c>
      <c r="F911" t="s">
        <v>78</v>
      </c>
      <c r="G911" t="s">
        <v>1255</v>
      </c>
      <c r="H911" t="s">
        <v>53</v>
      </c>
      <c r="I911" t="s">
        <v>26</v>
      </c>
      <c r="J911">
        <v>2</v>
      </c>
      <c r="K911">
        <v>472</v>
      </c>
      <c r="L911">
        <v>944</v>
      </c>
      <c r="M911">
        <v>4.0999999999999996</v>
      </c>
      <c r="N911">
        <v>50</v>
      </c>
      <c r="O911">
        <v>499</v>
      </c>
      <c r="P911">
        <v>0</v>
      </c>
      <c r="Q911" t="s">
        <v>34</v>
      </c>
      <c r="R911">
        <v>19</v>
      </c>
      <c r="S911" t="s">
        <v>41</v>
      </c>
    </row>
    <row r="912" spans="1:19" x14ac:dyDescent="0.3">
      <c r="A912" t="s">
        <v>2546</v>
      </c>
      <c r="B912" s="2">
        <v>45383</v>
      </c>
      <c r="C912" t="s">
        <v>20</v>
      </c>
      <c r="D912" t="s">
        <v>44</v>
      </c>
      <c r="E912" t="s">
        <v>2547</v>
      </c>
      <c r="F912" t="s">
        <v>115</v>
      </c>
      <c r="G912" t="s">
        <v>158</v>
      </c>
      <c r="H912" t="s">
        <v>40</v>
      </c>
      <c r="I912" t="s">
        <v>26</v>
      </c>
      <c r="J912">
        <v>1</v>
      </c>
      <c r="K912">
        <v>209</v>
      </c>
      <c r="L912">
        <v>209</v>
      </c>
      <c r="M912">
        <v>4.4000000000000004</v>
      </c>
      <c r="N912">
        <v>45</v>
      </c>
      <c r="O912">
        <v>125</v>
      </c>
      <c r="P912">
        <v>25</v>
      </c>
      <c r="Q912" t="s">
        <v>34</v>
      </c>
      <c r="R912">
        <v>34</v>
      </c>
      <c r="S912" t="s">
        <v>41</v>
      </c>
    </row>
    <row r="913" spans="1:19" x14ac:dyDescent="0.3">
      <c r="A913" t="s">
        <v>2548</v>
      </c>
      <c r="B913" s="2">
        <v>45455</v>
      </c>
      <c r="C913" t="s">
        <v>30</v>
      </c>
      <c r="D913" t="s">
        <v>72</v>
      </c>
      <c r="E913" t="s">
        <v>2549</v>
      </c>
      <c r="F913" t="s">
        <v>115</v>
      </c>
      <c r="G913" t="s">
        <v>2550</v>
      </c>
      <c r="H913" t="s">
        <v>53</v>
      </c>
      <c r="I913" t="s">
        <v>26</v>
      </c>
      <c r="J913">
        <v>2</v>
      </c>
      <c r="K913">
        <v>414</v>
      </c>
      <c r="L913">
        <v>828</v>
      </c>
      <c r="M913">
        <v>4.0999999999999996</v>
      </c>
      <c r="N913">
        <v>58</v>
      </c>
      <c r="O913">
        <v>999</v>
      </c>
      <c r="P913">
        <v>0</v>
      </c>
      <c r="Q913" t="s">
        <v>27</v>
      </c>
      <c r="R913">
        <v>33</v>
      </c>
      <c r="S913" t="s">
        <v>41</v>
      </c>
    </row>
    <row r="914" spans="1:19" x14ac:dyDescent="0.3">
      <c r="A914" t="s">
        <v>2551</v>
      </c>
      <c r="B914" s="2">
        <v>45381</v>
      </c>
      <c r="C914" t="s">
        <v>55</v>
      </c>
      <c r="D914" t="s">
        <v>100</v>
      </c>
      <c r="E914" t="s">
        <v>2552</v>
      </c>
      <c r="F914" t="s">
        <v>78</v>
      </c>
      <c r="G914" t="s">
        <v>825</v>
      </c>
      <c r="H914" t="s">
        <v>80</v>
      </c>
      <c r="I914" t="s">
        <v>26</v>
      </c>
      <c r="J914">
        <v>4</v>
      </c>
      <c r="K914">
        <v>460</v>
      </c>
      <c r="L914">
        <v>1840</v>
      </c>
      <c r="M914">
        <v>4.4000000000000004</v>
      </c>
      <c r="N914">
        <v>61</v>
      </c>
      <c r="P914">
        <v>0</v>
      </c>
      <c r="Q914" t="s">
        <v>49</v>
      </c>
      <c r="R914">
        <v>19</v>
      </c>
      <c r="S914" t="s">
        <v>28</v>
      </c>
    </row>
    <row r="915" spans="1:19" x14ac:dyDescent="0.3">
      <c r="A915" t="s">
        <v>2553</v>
      </c>
      <c r="B915" s="2">
        <v>45427</v>
      </c>
      <c r="C915" t="s">
        <v>71</v>
      </c>
      <c r="D915" t="s">
        <v>72</v>
      </c>
      <c r="E915" t="s">
        <v>2554</v>
      </c>
      <c r="F915" t="s">
        <v>62</v>
      </c>
      <c r="G915" t="s">
        <v>1246</v>
      </c>
      <c r="H915" t="s">
        <v>80</v>
      </c>
      <c r="I915" t="s">
        <v>26</v>
      </c>
      <c r="J915">
        <v>2</v>
      </c>
      <c r="K915">
        <v>364</v>
      </c>
      <c r="L915">
        <v>728</v>
      </c>
      <c r="M915">
        <v>4.5</v>
      </c>
      <c r="N915">
        <v>44</v>
      </c>
      <c r="P915">
        <v>0</v>
      </c>
      <c r="Q915" t="s">
        <v>34</v>
      </c>
      <c r="R915">
        <v>45</v>
      </c>
      <c r="S915" t="s">
        <v>41</v>
      </c>
    </row>
    <row r="916" spans="1:19" x14ac:dyDescent="0.3">
      <c r="A916" t="s">
        <v>2555</v>
      </c>
      <c r="B916" s="2">
        <v>45477</v>
      </c>
      <c r="C916" t="s">
        <v>59</v>
      </c>
      <c r="D916" t="s">
        <v>92</v>
      </c>
      <c r="E916" t="s">
        <v>2556</v>
      </c>
      <c r="F916" t="s">
        <v>2557</v>
      </c>
      <c r="G916" t="s">
        <v>154</v>
      </c>
      <c r="H916" t="s">
        <v>80</v>
      </c>
      <c r="I916" t="s">
        <v>26</v>
      </c>
      <c r="J916">
        <v>1</v>
      </c>
      <c r="K916">
        <v>552</v>
      </c>
      <c r="L916">
        <v>552</v>
      </c>
      <c r="M916">
        <v>4.5999999999999996</v>
      </c>
      <c r="N916">
        <v>58</v>
      </c>
      <c r="P916">
        <v>0</v>
      </c>
      <c r="Q916" t="s">
        <v>49</v>
      </c>
      <c r="R916">
        <v>39</v>
      </c>
      <c r="S916" t="s">
        <v>41</v>
      </c>
    </row>
    <row r="917" spans="1:19" x14ac:dyDescent="0.3">
      <c r="A917" t="s">
        <v>2558</v>
      </c>
      <c r="B917" s="2">
        <v>45351</v>
      </c>
      <c r="C917" t="s">
        <v>113</v>
      </c>
      <c r="D917" t="s">
        <v>92</v>
      </c>
      <c r="E917" t="s">
        <v>2559</v>
      </c>
      <c r="F917" t="s">
        <v>192</v>
      </c>
      <c r="G917" t="s">
        <v>186</v>
      </c>
      <c r="H917" t="s">
        <v>80</v>
      </c>
      <c r="I917" t="s">
        <v>26</v>
      </c>
      <c r="J917">
        <v>1</v>
      </c>
      <c r="K917">
        <v>311</v>
      </c>
      <c r="L917">
        <v>311</v>
      </c>
      <c r="M917">
        <v>4.4000000000000004</v>
      </c>
      <c r="N917">
        <v>45</v>
      </c>
      <c r="P917">
        <v>0</v>
      </c>
      <c r="Q917" t="s">
        <v>49</v>
      </c>
      <c r="R917">
        <v>47</v>
      </c>
      <c r="S917" t="s">
        <v>28</v>
      </c>
    </row>
    <row r="918" spans="1:19" x14ac:dyDescent="0.3">
      <c r="A918" t="s">
        <v>2560</v>
      </c>
      <c r="B918" s="2">
        <v>45469</v>
      </c>
      <c r="C918" t="s">
        <v>30</v>
      </c>
      <c r="D918" t="s">
        <v>72</v>
      </c>
      <c r="E918" t="s">
        <v>2561</v>
      </c>
      <c r="F918" t="s">
        <v>115</v>
      </c>
      <c r="G918" t="s">
        <v>2562</v>
      </c>
      <c r="H918" t="s">
        <v>80</v>
      </c>
      <c r="I918" t="s">
        <v>26</v>
      </c>
      <c r="J918">
        <v>1</v>
      </c>
      <c r="K918">
        <v>437</v>
      </c>
      <c r="L918">
        <v>437</v>
      </c>
      <c r="M918">
        <v>4.3</v>
      </c>
      <c r="N918">
        <v>53</v>
      </c>
      <c r="O918">
        <v>749</v>
      </c>
      <c r="P918">
        <v>0</v>
      </c>
      <c r="Q918" t="s">
        <v>27</v>
      </c>
      <c r="R918">
        <v>37</v>
      </c>
      <c r="S918" t="s">
        <v>28</v>
      </c>
    </row>
    <row r="919" spans="1:19" x14ac:dyDescent="0.3">
      <c r="A919" t="s">
        <v>2563</v>
      </c>
      <c r="B919" s="2">
        <v>45319</v>
      </c>
      <c r="C919" t="s">
        <v>43</v>
      </c>
      <c r="D919" t="s">
        <v>60</v>
      </c>
      <c r="E919" t="s">
        <v>2564</v>
      </c>
      <c r="F919" t="s">
        <v>78</v>
      </c>
      <c r="G919" t="s">
        <v>2565</v>
      </c>
      <c r="H919" t="s">
        <v>80</v>
      </c>
      <c r="I919" t="s">
        <v>26</v>
      </c>
      <c r="J919">
        <v>4</v>
      </c>
      <c r="K919">
        <v>225</v>
      </c>
      <c r="L919">
        <v>900</v>
      </c>
      <c r="M919">
        <v>4.5</v>
      </c>
      <c r="N919">
        <v>57</v>
      </c>
      <c r="P919">
        <v>0</v>
      </c>
      <c r="Q919" t="s">
        <v>34</v>
      </c>
      <c r="R919">
        <v>23</v>
      </c>
      <c r="S919" t="s">
        <v>28</v>
      </c>
    </row>
    <row r="920" spans="1:19" x14ac:dyDescent="0.3">
      <c r="A920" t="s">
        <v>2566</v>
      </c>
      <c r="B920" s="2">
        <v>45511</v>
      </c>
      <c r="C920" t="s">
        <v>82</v>
      </c>
      <c r="D920" t="s">
        <v>72</v>
      </c>
      <c r="E920" t="s">
        <v>2567</v>
      </c>
      <c r="F920" t="s">
        <v>713</v>
      </c>
      <c r="G920" t="s">
        <v>154</v>
      </c>
      <c r="H920" t="s">
        <v>80</v>
      </c>
      <c r="I920" t="s">
        <v>26</v>
      </c>
      <c r="J920">
        <v>4</v>
      </c>
      <c r="K920">
        <v>482</v>
      </c>
      <c r="L920">
        <v>1928</v>
      </c>
      <c r="M920">
        <v>4</v>
      </c>
      <c r="N920">
        <v>49</v>
      </c>
      <c r="O920">
        <v>150</v>
      </c>
      <c r="P920">
        <v>30</v>
      </c>
      <c r="Q920" t="s">
        <v>27</v>
      </c>
      <c r="R920">
        <v>45</v>
      </c>
      <c r="S920" t="s">
        <v>41</v>
      </c>
    </row>
    <row r="921" spans="1:19" x14ac:dyDescent="0.3">
      <c r="A921" t="s">
        <v>2568</v>
      </c>
      <c r="B921" s="2">
        <v>45392</v>
      </c>
      <c r="C921" t="s">
        <v>20</v>
      </c>
      <c r="D921" t="s">
        <v>72</v>
      </c>
      <c r="E921" t="s">
        <v>2569</v>
      </c>
      <c r="F921" t="s">
        <v>115</v>
      </c>
      <c r="G921" t="s">
        <v>311</v>
      </c>
      <c r="H921" t="s">
        <v>64</v>
      </c>
      <c r="I921" t="s">
        <v>26</v>
      </c>
      <c r="J921">
        <v>3</v>
      </c>
      <c r="K921">
        <v>429</v>
      </c>
      <c r="L921">
        <v>1287</v>
      </c>
      <c r="P921">
        <v>0</v>
      </c>
      <c r="Q921" t="s">
        <v>34</v>
      </c>
      <c r="R921">
        <v>42</v>
      </c>
      <c r="S921" t="s">
        <v>41</v>
      </c>
    </row>
    <row r="922" spans="1:19" x14ac:dyDescent="0.3">
      <c r="A922" t="s">
        <v>2570</v>
      </c>
      <c r="B922" s="2">
        <v>45332</v>
      </c>
      <c r="C922" t="s">
        <v>113</v>
      </c>
      <c r="D922" t="s">
        <v>100</v>
      </c>
      <c r="E922" t="s">
        <v>2571</v>
      </c>
      <c r="F922" t="s">
        <v>62</v>
      </c>
      <c r="G922" t="s">
        <v>227</v>
      </c>
      <c r="H922" t="s">
        <v>80</v>
      </c>
      <c r="I922" t="s">
        <v>26</v>
      </c>
      <c r="J922">
        <v>4</v>
      </c>
      <c r="K922">
        <v>501</v>
      </c>
      <c r="L922">
        <v>2004</v>
      </c>
      <c r="M922">
        <v>3.9</v>
      </c>
      <c r="N922">
        <v>47</v>
      </c>
      <c r="P922">
        <v>0</v>
      </c>
      <c r="Q922" t="s">
        <v>27</v>
      </c>
      <c r="R922">
        <v>49</v>
      </c>
      <c r="S922" t="s">
        <v>41</v>
      </c>
    </row>
    <row r="923" spans="1:19" x14ac:dyDescent="0.3">
      <c r="A923" t="s">
        <v>2572</v>
      </c>
      <c r="B923" s="2">
        <v>45519</v>
      </c>
      <c r="C923" t="s">
        <v>82</v>
      </c>
      <c r="D923" t="s">
        <v>92</v>
      </c>
      <c r="E923" t="s">
        <v>2573</v>
      </c>
      <c r="F923" t="s">
        <v>517</v>
      </c>
      <c r="G923" t="s">
        <v>1164</v>
      </c>
      <c r="H923" t="s">
        <v>80</v>
      </c>
      <c r="I923" t="s">
        <v>26</v>
      </c>
      <c r="J923">
        <v>1</v>
      </c>
      <c r="K923">
        <v>352</v>
      </c>
      <c r="L923">
        <v>352</v>
      </c>
      <c r="M923">
        <v>4.5999999999999996</v>
      </c>
      <c r="N923">
        <v>60</v>
      </c>
      <c r="P923">
        <v>0</v>
      </c>
      <c r="Q923" t="s">
        <v>49</v>
      </c>
      <c r="R923">
        <v>46</v>
      </c>
      <c r="S923" t="s">
        <v>41</v>
      </c>
    </row>
    <row r="924" spans="1:19" x14ac:dyDescent="0.3">
      <c r="A924" t="s">
        <v>2574</v>
      </c>
      <c r="B924" s="2">
        <v>45483</v>
      </c>
      <c r="C924" t="s">
        <v>59</v>
      </c>
      <c r="D924" t="s">
        <v>72</v>
      </c>
      <c r="E924" t="s">
        <v>2575</v>
      </c>
      <c r="F924" t="s">
        <v>956</v>
      </c>
      <c r="G924" t="s">
        <v>154</v>
      </c>
      <c r="H924" t="s">
        <v>80</v>
      </c>
      <c r="I924" t="s">
        <v>26</v>
      </c>
      <c r="J924">
        <v>1</v>
      </c>
      <c r="K924">
        <v>384</v>
      </c>
      <c r="L924">
        <v>384</v>
      </c>
      <c r="M924">
        <v>3.9</v>
      </c>
      <c r="N924">
        <v>45</v>
      </c>
      <c r="O924">
        <v>449</v>
      </c>
      <c r="P924">
        <v>0</v>
      </c>
      <c r="Q924" t="s">
        <v>34</v>
      </c>
      <c r="R924">
        <v>27</v>
      </c>
      <c r="S924" t="s">
        <v>41</v>
      </c>
    </row>
    <row r="925" spans="1:19" x14ac:dyDescent="0.3">
      <c r="A925" t="s">
        <v>2576</v>
      </c>
      <c r="B925" s="2">
        <v>45446</v>
      </c>
      <c r="C925" t="s">
        <v>30</v>
      </c>
      <c r="D925" t="s">
        <v>44</v>
      </c>
      <c r="E925" t="s">
        <v>2577</v>
      </c>
      <c r="F925" t="s">
        <v>192</v>
      </c>
      <c r="G925" t="s">
        <v>1347</v>
      </c>
      <c r="H925" t="s">
        <v>64</v>
      </c>
      <c r="I925" t="s">
        <v>26</v>
      </c>
      <c r="J925">
        <v>4</v>
      </c>
      <c r="K925">
        <v>463</v>
      </c>
      <c r="L925">
        <v>1852</v>
      </c>
      <c r="M925">
        <v>3.7</v>
      </c>
      <c r="N925">
        <v>59</v>
      </c>
      <c r="O925">
        <v>599</v>
      </c>
      <c r="P925">
        <v>0</v>
      </c>
      <c r="Q925" t="s">
        <v>75</v>
      </c>
      <c r="R925">
        <v>45</v>
      </c>
      <c r="S925" t="s">
        <v>41</v>
      </c>
    </row>
    <row r="926" spans="1:19" x14ac:dyDescent="0.3">
      <c r="A926" t="s">
        <v>2578</v>
      </c>
      <c r="B926" s="2">
        <v>45482</v>
      </c>
      <c r="C926" t="s">
        <v>59</v>
      </c>
      <c r="D926" t="s">
        <v>36</v>
      </c>
      <c r="E926" t="s">
        <v>2579</v>
      </c>
      <c r="F926" t="s">
        <v>192</v>
      </c>
      <c r="G926" t="s">
        <v>227</v>
      </c>
      <c r="H926" t="s">
        <v>80</v>
      </c>
      <c r="I926" t="s">
        <v>26</v>
      </c>
      <c r="J926">
        <v>2</v>
      </c>
      <c r="K926">
        <v>156</v>
      </c>
      <c r="L926">
        <v>312</v>
      </c>
      <c r="M926">
        <v>4.7</v>
      </c>
      <c r="N926">
        <v>56</v>
      </c>
      <c r="P926">
        <v>0</v>
      </c>
      <c r="Q926" t="s">
        <v>49</v>
      </c>
      <c r="R926">
        <v>27</v>
      </c>
      <c r="S926" t="s">
        <v>28</v>
      </c>
    </row>
    <row r="927" spans="1:19" x14ac:dyDescent="0.3">
      <c r="A927" t="s">
        <v>2580</v>
      </c>
      <c r="B927" s="2">
        <v>45436</v>
      </c>
      <c r="C927" t="s">
        <v>71</v>
      </c>
      <c r="D927" t="s">
        <v>21</v>
      </c>
      <c r="E927" t="s">
        <v>2581</v>
      </c>
      <c r="F927" t="s">
        <v>192</v>
      </c>
      <c r="G927" t="s">
        <v>1326</v>
      </c>
      <c r="H927" t="s">
        <v>53</v>
      </c>
      <c r="I927" t="s">
        <v>26</v>
      </c>
      <c r="J927">
        <v>4</v>
      </c>
      <c r="K927">
        <v>424</v>
      </c>
      <c r="L927">
        <v>1696</v>
      </c>
      <c r="M927">
        <v>2.9</v>
      </c>
      <c r="N927">
        <v>46</v>
      </c>
      <c r="P927">
        <v>0</v>
      </c>
      <c r="Q927" t="s">
        <v>75</v>
      </c>
      <c r="R927">
        <v>25</v>
      </c>
      <c r="S927" t="s">
        <v>28</v>
      </c>
    </row>
    <row r="928" spans="1:19" x14ac:dyDescent="0.3">
      <c r="A928" t="s">
        <v>2582</v>
      </c>
      <c r="B928" s="2">
        <v>45492</v>
      </c>
      <c r="C928" t="s">
        <v>59</v>
      </c>
      <c r="D928" t="s">
        <v>21</v>
      </c>
      <c r="E928" t="s">
        <v>2583</v>
      </c>
      <c r="F928" t="s">
        <v>102</v>
      </c>
      <c r="G928" t="s">
        <v>2584</v>
      </c>
      <c r="H928" t="s">
        <v>80</v>
      </c>
      <c r="I928" t="s">
        <v>26</v>
      </c>
      <c r="J928">
        <v>4</v>
      </c>
      <c r="K928">
        <v>160</v>
      </c>
      <c r="L928">
        <v>640</v>
      </c>
      <c r="M928">
        <v>4.3</v>
      </c>
      <c r="N928">
        <v>53</v>
      </c>
      <c r="P928">
        <v>0</v>
      </c>
      <c r="Q928" t="s">
        <v>49</v>
      </c>
      <c r="R928">
        <v>18</v>
      </c>
      <c r="S928" t="s">
        <v>41</v>
      </c>
    </row>
    <row r="929" spans="1:19" x14ac:dyDescent="0.3">
      <c r="A929" t="s">
        <v>2585</v>
      </c>
      <c r="B929" s="2">
        <v>45452</v>
      </c>
      <c r="C929" t="s">
        <v>30</v>
      </c>
      <c r="D929" t="s">
        <v>60</v>
      </c>
      <c r="E929" t="s">
        <v>2586</v>
      </c>
      <c r="F929" t="s">
        <v>62</v>
      </c>
      <c r="G929" t="s">
        <v>2587</v>
      </c>
      <c r="H929" t="s">
        <v>80</v>
      </c>
      <c r="I929" t="s">
        <v>26</v>
      </c>
      <c r="J929">
        <v>1</v>
      </c>
      <c r="K929">
        <v>136</v>
      </c>
      <c r="L929">
        <v>136</v>
      </c>
      <c r="M929">
        <v>4.5999999999999996</v>
      </c>
      <c r="N929">
        <v>50</v>
      </c>
      <c r="P929">
        <v>0</v>
      </c>
      <c r="Q929" t="s">
        <v>27</v>
      </c>
      <c r="R929">
        <v>30</v>
      </c>
      <c r="S929" t="s">
        <v>41</v>
      </c>
    </row>
    <row r="930" spans="1:19" x14ac:dyDescent="0.3">
      <c r="A930" t="s">
        <v>2588</v>
      </c>
      <c r="B930" s="2">
        <v>45503</v>
      </c>
      <c r="C930" t="s">
        <v>59</v>
      </c>
      <c r="D930" t="s">
        <v>36</v>
      </c>
      <c r="E930" t="s">
        <v>2589</v>
      </c>
      <c r="F930" t="s">
        <v>517</v>
      </c>
      <c r="G930" t="s">
        <v>2590</v>
      </c>
      <c r="H930" t="s">
        <v>53</v>
      </c>
      <c r="I930" t="s">
        <v>26</v>
      </c>
      <c r="J930">
        <v>3</v>
      </c>
      <c r="K930">
        <v>463</v>
      </c>
      <c r="L930">
        <v>1389</v>
      </c>
      <c r="M930">
        <v>4.3</v>
      </c>
      <c r="N930">
        <v>45</v>
      </c>
      <c r="P930">
        <v>0</v>
      </c>
      <c r="Q930" t="s">
        <v>34</v>
      </c>
      <c r="R930">
        <v>41</v>
      </c>
      <c r="S930" t="s">
        <v>41</v>
      </c>
    </row>
    <row r="931" spans="1:19" x14ac:dyDescent="0.3">
      <c r="A931" t="s">
        <v>2591</v>
      </c>
      <c r="B931" s="2">
        <v>45496</v>
      </c>
      <c r="C931" t="s">
        <v>59</v>
      </c>
      <c r="D931" t="s">
        <v>36</v>
      </c>
      <c r="E931" t="s">
        <v>2592</v>
      </c>
      <c r="F931" t="s">
        <v>78</v>
      </c>
      <c r="G931" t="s">
        <v>373</v>
      </c>
      <c r="H931" t="s">
        <v>80</v>
      </c>
      <c r="I931" t="s">
        <v>26</v>
      </c>
      <c r="J931">
        <v>1</v>
      </c>
      <c r="K931">
        <v>396</v>
      </c>
      <c r="L931">
        <v>396</v>
      </c>
      <c r="M931">
        <v>4.4000000000000004</v>
      </c>
      <c r="N931">
        <v>63</v>
      </c>
      <c r="P931">
        <v>0</v>
      </c>
      <c r="Q931" t="s">
        <v>49</v>
      </c>
      <c r="R931">
        <v>26</v>
      </c>
      <c r="S931" t="s">
        <v>41</v>
      </c>
    </row>
    <row r="932" spans="1:19" x14ac:dyDescent="0.3">
      <c r="A932" t="s">
        <v>2593</v>
      </c>
      <c r="B932" s="2">
        <v>45511</v>
      </c>
      <c r="C932" t="s">
        <v>82</v>
      </c>
      <c r="D932" t="s">
        <v>72</v>
      </c>
      <c r="E932" t="s">
        <v>2594</v>
      </c>
      <c r="F932" t="s">
        <v>713</v>
      </c>
      <c r="G932" t="s">
        <v>373</v>
      </c>
      <c r="H932" t="s">
        <v>80</v>
      </c>
      <c r="I932" t="s">
        <v>26</v>
      </c>
      <c r="J932">
        <v>3</v>
      </c>
      <c r="K932">
        <v>426</v>
      </c>
      <c r="L932">
        <v>1278</v>
      </c>
      <c r="M932">
        <v>4.3</v>
      </c>
      <c r="N932">
        <v>54</v>
      </c>
      <c r="P932">
        <v>0</v>
      </c>
      <c r="Q932" t="s">
        <v>27</v>
      </c>
      <c r="R932">
        <v>39</v>
      </c>
      <c r="S932" t="s">
        <v>41</v>
      </c>
    </row>
    <row r="933" spans="1:19" x14ac:dyDescent="0.3">
      <c r="A933" t="s">
        <v>2595</v>
      </c>
      <c r="B933" s="2">
        <v>45531</v>
      </c>
      <c r="C933" t="s">
        <v>82</v>
      </c>
      <c r="D933" t="s">
        <v>36</v>
      </c>
      <c r="E933" t="s">
        <v>2596</v>
      </c>
      <c r="F933" t="s">
        <v>78</v>
      </c>
      <c r="G933" t="s">
        <v>227</v>
      </c>
      <c r="H933" t="s">
        <v>80</v>
      </c>
      <c r="I933" t="s">
        <v>26</v>
      </c>
      <c r="J933">
        <v>1</v>
      </c>
      <c r="K933">
        <v>178</v>
      </c>
      <c r="L933">
        <v>178</v>
      </c>
      <c r="M933">
        <v>4.4000000000000004</v>
      </c>
      <c r="N933">
        <v>60</v>
      </c>
      <c r="P933">
        <v>0</v>
      </c>
      <c r="Q933" t="s">
        <v>34</v>
      </c>
      <c r="R933">
        <v>27</v>
      </c>
      <c r="S933" t="s">
        <v>28</v>
      </c>
    </row>
    <row r="934" spans="1:19" x14ac:dyDescent="0.3">
      <c r="A934" t="s">
        <v>2597</v>
      </c>
      <c r="B934" s="2">
        <v>45448</v>
      </c>
      <c r="C934" t="s">
        <v>30</v>
      </c>
      <c r="D934" t="s">
        <v>72</v>
      </c>
      <c r="E934" t="s">
        <v>2598</v>
      </c>
      <c r="F934" t="s">
        <v>115</v>
      </c>
      <c r="G934" t="s">
        <v>957</v>
      </c>
      <c r="H934" t="s">
        <v>80</v>
      </c>
      <c r="I934" t="s">
        <v>26</v>
      </c>
      <c r="J934">
        <v>4</v>
      </c>
      <c r="K934">
        <v>542</v>
      </c>
      <c r="L934">
        <v>2168</v>
      </c>
      <c r="M934">
        <v>4.0999999999999996</v>
      </c>
      <c r="N934">
        <v>41</v>
      </c>
      <c r="O934">
        <v>449</v>
      </c>
      <c r="P934">
        <v>0</v>
      </c>
      <c r="Q934" t="s">
        <v>34</v>
      </c>
      <c r="R934">
        <v>32</v>
      </c>
      <c r="S934" t="s">
        <v>28</v>
      </c>
    </row>
    <row r="935" spans="1:19" x14ac:dyDescent="0.3">
      <c r="A935" t="s">
        <v>2599</v>
      </c>
      <c r="B935" s="2">
        <v>45432</v>
      </c>
      <c r="C935" t="s">
        <v>71</v>
      </c>
      <c r="D935" t="s">
        <v>44</v>
      </c>
      <c r="E935" t="s">
        <v>2600</v>
      </c>
      <c r="F935" t="s">
        <v>450</v>
      </c>
      <c r="G935" t="s">
        <v>2601</v>
      </c>
      <c r="H935" t="s">
        <v>48</v>
      </c>
      <c r="I935" t="s">
        <v>33</v>
      </c>
      <c r="J935">
        <v>1</v>
      </c>
      <c r="K935">
        <v>302</v>
      </c>
      <c r="L935">
        <v>302</v>
      </c>
      <c r="M935">
        <v>4</v>
      </c>
      <c r="N935">
        <v>48</v>
      </c>
      <c r="P935">
        <v>0</v>
      </c>
      <c r="Q935" t="s">
        <v>49</v>
      </c>
      <c r="R935">
        <v>22</v>
      </c>
      <c r="S935" t="s">
        <v>41</v>
      </c>
    </row>
    <row r="936" spans="1:19" x14ac:dyDescent="0.3">
      <c r="A936" t="s">
        <v>2602</v>
      </c>
      <c r="B936" s="2">
        <v>45337</v>
      </c>
      <c r="C936" t="s">
        <v>113</v>
      </c>
      <c r="D936" t="s">
        <v>92</v>
      </c>
      <c r="E936" t="s">
        <v>2603</v>
      </c>
      <c r="F936" t="s">
        <v>115</v>
      </c>
      <c r="G936" t="s">
        <v>2604</v>
      </c>
      <c r="H936" t="s">
        <v>80</v>
      </c>
      <c r="I936" t="s">
        <v>26</v>
      </c>
      <c r="J936">
        <v>1</v>
      </c>
      <c r="K936">
        <v>160</v>
      </c>
      <c r="L936">
        <v>160</v>
      </c>
      <c r="M936">
        <v>3.8</v>
      </c>
      <c r="N936">
        <v>49</v>
      </c>
      <c r="O936">
        <v>1300</v>
      </c>
      <c r="P936">
        <v>10</v>
      </c>
      <c r="Q936" t="s">
        <v>34</v>
      </c>
      <c r="R936">
        <v>39</v>
      </c>
      <c r="S936" t="s">
        <v>28</v>
      </c>
    </row>
    <row r="937" spans="1:19" x14ac:dyDescent="0.3">
      <c r="A937" t="s">
        <v>2605</v>
      </c>
      <c r="B937" s="2">
        <v>45326</v>
      </c>
      <c r="C937" t="s">
        <v>113</v>
      </c>
      <c r="D937" t="s">
        <v>60</v>
      </c>
      <c r="E937" t="s">
        <v>2606</v>
      </c>
      <c r="F937" t="s">
        <v>115</v>
      </c>
      <c r="G937" t="s">
        <v>418</v>
      </c>
      <c r="H937" t="s">
        <v>80</v>
      </c>
      <c r="I937" t="s">
        <v>26</v>
      </c>
      <c r="J937">
        <v>1</v>
      </c>
      <c r="K937">
        <v>158</v>
      </c>
      <c r="L937">
        <v>158</v>
      </c>
      <c r="M937">
        <v>3.8</v>
      </c>
      <c r="N937">
        <v>42</v>
      </c>
      <c r="P937">
        <v>0</v>
      </c>
      <c r="Q937" t="s">
        <v>49</v>
      </c>
      <c r="R937">
        <v>33</v>
      </c>
      <c r="S937" t="s">
        <v>41</v>
      </c>
    </row>
    <row r="938" spans="1:19" x14ac:dyDescent="0.3">
      <c r="A938" t="s">
        <v>2607</v>
      </c>
      <c r="B938" s="2">
        <v>45425</v>
      </c>
      <c r="C938" t="s">
        <v>71</v>
      </c>
      <c r="D938" t="s">
        <v>44</v>
      </c>
      <c r="E938" t="s">
        <v>2608</v>
      </c>
      <c r="F938" t="s">
        <v>78</v>
      </c>
      <c r="G938" t="s">
        <v>154</v>
      </c>
      <c r="H938" t="s">
        <v>80</v>
      </c>
      <c r="I938" t="s">
        <v>26</v>
      </c>
      <c r="J938">
        <v>4</v>
      </c>
      <c r="K938">
        <v>516</v>
      </c>
      <c r="L938">
        <v>2064</v>
      </c>
      <c r="M938">
        <v>4.3</v>
      </c>
      <c r="N938">
        <v>51</v>
      </c>
      <c r="P938">
        <v>0</v>
      </c>
      <c r="Q938" t="s">
        <v>34</v>
      </c>
      <c r="R938">
        <v>30</v>
      </c>
      <c r="S938" t="s">
        <v>41</v>
      </c>
    </row>
    <row r="939" spans="1:19" x14ac:dyDescent="0.3">
      <c r="A939" t="s">
        <v>2609</v>
      </c>
      <c r="B939" s="2">
        <v>45373</v>
      </c>
      <c r="C939" t="s">
        <v>55</v>
      </c>
      <c r="D939" t="s">
        <v>21</v>
      </c>
      <c r="E939" t="s">
        <v>2610</v>
      </c>
      <c r="F939" t="s">
        <v>87</v>
      </c>
      <c r="G939" t="s">
        <v>2611</v>
      </c>
      <c r="H939" t="s">
        <v>80</v>
      </c>
      <c r="I939" t="s">
        <v>26</v>
      </c>
      <c r="J939">
        <v>4</v>
      </c>
      <c r="K939">
        <v>311</v>
      </c>
      <c r="L939">
        <v>1244</v>
      </c>
      <c r="M939">
        <v>4.3</v>
      </c>
      <c r="N939">
        <v>60</v>
      </c>
      <c r="O939">
        <v>150</v>
      </c>
      <c r="P939">
        <v>30</v>
      </c>
      <c r="Q939" t="s">
        <v>75</v>
      </c>
      <c r="R939">
        <v>39</v>
      </c>
      <c r="S939" t="s">
        <v>41</v>
      </c>
    </row>
    <row r="940" spans="1:19" x14ac:dyDescent="0.3">
      <c r="A940" t="s">
        <v>2612</v>
      </c>
      <c r="B940" s="2">
        <v>45406</v>
      </c>
      <c r="C940" t="s">
        <v>20</v>
      </c>
      <c r="D940" t="s">
        <v>72</v>
      </c>
      <c r="E940" t="s">
        <v>2613</v>
      </c>
      <c r="F940" t="s">
        <v>192</v>
      </c>
      <c r="G940" t="s">
        <v>201</v>
      </c>
      <c r="H940" t="s">
        <v>80</v>
      </c>
      <c r="I940" t="s">
        <v>26</v>
      </c>
      <c r="J940">
        <v>4</v>
      </c>
      <c r="K940">
        <v>386</v>
      </c>
      <c r="L940">
        <v>1544</v>
      </c>
      <c r="M940">
        <v>3.9</v>
      </c>
      <c r="N940">
        <v>49</v>
      </c>
      <c r="P940">
        <v>0</v>
      </c>
      <c r="Q940" t="s">
        <v>27</v>
      </c>
      <c r="R940">
        <v>42</v>
      </c>
      <c r="S940" t="s">
        <v>28</v>
      </c>
    </row>
    <row r="941" spans="1:19" x14ac:dyDescent="0.3">
      <c r="A941" t="s">
        <v>2614</v>
      </c>
      <c r="B941" s="2">
        <v>45488</v>
      </c>
      <c r="C941" t="s">
        <v>59</v>
      </c>
      <c r="D941" t="s">
        <v>44</v>
      </c>
      <c r="E941" t="s">
        <v>2615</v>
      </c>
      <c r="F941" t="s">
        <v>23</v>
      </c>
      <c r="G941" t="s">
        <v>63</v>
      </c>
      <c r="H941" t="s">
        <v>64</v>
      </c>
      <c r="I941" t="s">
        <v>26</v>
      </c>
      <c r="J941">
        <v>4</v>
      </c>
      <c r="K941">
        <v>266</v>
      </c>
      <c r="L941">
        <v>1064</v>
      </c>
      <c r="O941">
        <v>159</v>
      </c>
      <c r="P941">
        <v>10</v>
      </c>
      <c r="Q941" t="s">
        <v>75</v>
      </c>
      <c r="R941">
        <v>37</v>
      </c>
      <c r="S941" t="s">
        <v>28</v>
      </c>
    </row>
    <row r="942" spans="1:19" x14ac:dyDescent="0.3">
      <c r="A942" t="s">
        <v>2616</v>
      </c>
      <c r="B942" s="2">
        <v>45338</v>
      </c>
      <c r="C942" t="s">
        <v>113</v>
      </c>
      <c r="D942" t="s">
        <v>21</v>
      </c>
      <c r="E942" t="s">
        <v>2617</v>
      </c>
      <c r="F942" t="s">
        <v>115</v>
      </c>
      <c r="G942" t="s">
        <v>186</v>
      </c>
      <c r="H942" t="s">
        <v>80</v>
      </c>
      <c r="I942" t="s">
        <v>26</v>
      </c>
      <c r="J942">
        <v>3</v>
      </c>
      <c r="K942">
        <v>514</v>
      </c>
      <c r="L942">
        <v>1542</v>
      </c>
      <c r="P942">
        <v>0</v>
      </c>
      <c r="Q942" t="s">
        <v>49</v>
      </c>
      <c r="R942">
        <v>35</v>
      </c>
      <c r="S942" t="s">
        <v>41</v>
      </c>
    </row>
    <row r="943" spans="1:19" x14ac:dyDescent="0.3">
      <c r="A943" t="s">
        <v>2618</v>
      </c>
      <c r="B943" s="2">
        <v>45444</v>
      </c>
      <c r="C943" t="s">
        <v>30</v>
      </c>
      <c r="D943" t="s">
        <v>100</v>
      </c>
      <c r="E943" t="s">
        <v>2619</v>
      </c>
      <c r="F943" t="s">
        <v>23</v>
      </c>
      <c r="G943" t="s">
        <v>2620</v>
      </c>
      <c r="H943" t="s">
        <v>80</v>
      </c>
      <c r="I943" t="s">
        <v>26</v>
      </c>
      <c r="J943">
        <v>3</v>
      </c>
      <c r="K943">
        <v>452</v>
      </c>
      <c r="L943">
        <v>1356</v>
      </c>
      <c r="M943">
        <v>4</v>
      </c>
      <c r="N943">
        <v>34</v>
      </c>
      <c r="P943">
        <v>0</v>
      </c>
      <c r="Q943" t="s">
        <v>75</v>
      </c>
      <c r="R943">
        <v>28</v>
      </c>
      <c r="S943" t="s">
        <v>28</v>
      </c>
    </row>
    <row r="944" spans="1:19" x14ac:dyDescent="0.3">
      <c r="A944" t="s">
        <v>2621</v>
      </c>
      <c r="B944" s="2">
        <v>45485</v>
      </c>
      <c r="C944" t="s">
        <v>59</v>
      </c>
      <c r="D944" t="s">
        <v>21</v>
      </c>
      <c r="E944" t="s">
        <v>2622</v>
      </c>
      <c r="F944" t="s">
        <v>115</v>
      </c>
      <c r="G944" t="s">
        <v>308</v>
      </c>
      <c r="H944" t="s">
        <v>64</v>
      </c>
      <c r="I944" t="s">
        <v>26</v>
      </c>
      <c r="J944">
        <v>2</v>
      </c>
      <c r="K944">
        <v>246</v>
      </c>
      <c r="L944">
        <v>492</v>
      </c>
      <c r="M944">
        <v>3.5</v>
      </c>
      <c r="N944">
        <v>28</v>
      </c>
      <c r="P944">
        <v>0</v>
      </c>
      <c r="Q944" t="s">
        <v>49</v>
      </c>
      <c r="R944">
        <v>44</v>
      </c>
      <c r="S944" t="s">
        <v>28</v>
      </c>
    </row>
    <row r="945" spans="1:19" x14ac:dyDescent="0.3">
      <c r="A945" t="s">
        <v>2623</v>
      </c>
      <c r="B945" s="2">
        <v>45301</v>
      </c>
      <c r="C945" t="s">
        <v>43</v>
      </c>
      <c r="D945" t="s">
        <v>72</v>
      </c>
      <c r="E945" t="s">
        <v>2624</v>
      </c>
      <c r="F945" t="s">
        <v>713</v>
      </c>
      <c r="G945" t="s">
        <v>186</v>
      </c>
      <c r="H945" t="s">
        <v>80</v>
      </c>
      <c r="I945" t="s">
        <v>26</v>
      </c>
      <c r="J945">
        <v>4</v>
      </c>
      <c r="K945">
        <v>165</v>
      </c>
      <c r="L945">
        <v>660</v>
      </c>
      <c r="M945">
        <v>4.5999999999999996</v>
      </c>
      <c r="N945">
        <v>23</v>
      </c>
      <c r="P945">
        <v>0</v>
      </c>
      <c r="Q945" t="s">
        <v>34</v>
      </c>
      <c r="R945">
        <v>26</v>
      </c>
      <c r="S945" t="s">
        <v>41</v>
      </c>
    </row>
    <row r="946" spans="1:19" x14ac:dyDescent="0.3">
      <c r="A946" t="s">
        <v>2625</v>
      </c>
      <c r="B946" s="2">
        <v>45347</v>
      </c>
      <c r="C946" t="s">
        <v>113</v>
      </c>
      <c r="D946" t="s">
        <v>60</v>
      </c>
      <c r="E946" t="s">
        <v>2626</v>
      </c>
      <c r="F946" t="s">
        <v>115</v>
      </c>
      <c r="G946" t="s">
        <v>274</v>
      </c>
      <c r="H946" t="s">
        <v>80</v>
      </c>
      <c r="I946" t="s">
        <v>26</v>
      </c>
      <c r="J946">
        <v>3</v>
      </c>
      <c r="K946">
        <v>164</v>
      </c>
      <c r="L946">
        <v>492</v>
      </c>
      <c r="M946">
        <v>3.6</v>
      </c>
      <c r="N946">
        <v>26</v>
      </c>
      <c r="P946">
        <v>0</v>
      </c>
      <c r="Q946" t="s">
        <v>34</v>
      </c>
      <c r="R946">
        <v>33</v>
      </c>
      <c r="S946" t="s">
        <v>28</v>
      </c>
    </row>
    <row r="947" spans="1:19" x14ac:dyDescent="0.3">
      <c r="A947" t="s">
        <v>2627</v>
      </c>
      <c r="B947" s="2">
        <v>45321</v>
      </c>
      <c r="C947" t="s">
        <v>43</v>
      </c>
      <c r="D947" t="s">
        <v>36</v>
      </c>
      <c r="E947" t="s">
        <v>2628</v>
      </c>
      <c r="F947" t="s">
        <v>115</v>
      </c>
      <c r="G947" t="s">
        <v>109</v>
      </c>
      <c r="H947" t="s">
        <v>64</v>
      </c>
      <c r="I947" t="s">
        <v>26</v>
      </c>
      <c r="J947">
        <v>1</v>
      </c>
      <c r="K947">
        <v>120</v>
      </c>
      <c r="L947">
        <v>120</v>
      </c>
      <c r="M947">
        <v>4.2</v>
      </c>
      <c r="N947">
        <v>29</v>
      </c>
      <c r="P947">
        <v>0</v>
      </c>
      <c r="Q947" t="s">
        <v>49</v>
      </c>
      <c r="R947">
        <v>19</v>
      </c>
      <c r="S947" t="s">
        <v>28</v>
      </c>
    </row>
    <row r="948" spans="1:19" x14ac:dyDescent="0.3">
      <c r="A948" t="s">
        <v>2629</v>
      </c>
      <c r="B948" s="2">
        <v>45400</v>
      </c>
      <c r="C948" t="s">
        <v>20</v>
      </c>
      <c r="D948" t="s">
        <v>92</v>
      </c>
      <c r="E948" t="s">
        <v>2630</v>
      </c>
      <c r="F948" t="s">
        <v>115</v>
      </c>
      <c r="G948" t="s">
        <v>221</v>
      </c>
      <c r="H948" t="s">
        <v>80</v>
      </c>
      <c r="I948" t="s">
        <v>26</v>
      </c>
      <c r="J948">
        <v>4</v>
      </c>
      <c r="K948">
        <v>287</v>
      </c>
      <c r="L948">
        <v>1148</v>
      </c>
      <c r="M948">
        <v>4.5999999999999996</v>
      </c>
      <c r="N948">
        <v>34</v>
      </c>
      <c r="P948">
        <v>0</v>
      </c>
      <c r="Q948" t="s">
        <v>75</v>
      </c>
      <c r="R948">
        <v>49</v>
      </c>
      <c r="S948" t="s">
        <v>41</v>
      </c>
    </row>
    <row r="949" spans="1:19" x14ac:dyDescent="0.3">
      <c r="A949" t="s">
        <v>2631</v>
      </c>
      <c r="B949" s="2">
        <v>45296</v>
      </c>
      <c r="C949" t="s">
        <v>43</v>
      </c>
      <c r="D949" t="s">
        <v>21</v>
      </c>
      <c r="E949" t="s">
        <v>2632</v>
      </c>
      <c r="F949" t="s">
        <v>115</v>
      </c>
      <c r="G949" t="s">
        <v>2633</v>
      </c>
      <c r="H949" t="s">
        <v>40</v>
      </c>
      <c r="I949" t="s">
        <v>26</v>
      </c>
      <c r="J949">
        <v>2</v>
      </c>
      <c r="K949">
        <v>227</v>
      </c>
      <c r="L949">
        <v>454</v>
      </c>
      <c r="M949">
        <v>4.3</v>
      </c>
      <c r="N949">
        <v>34</v>
      </c>
      <c r="O949">
        <v>350</v>
      </c>
      <c r="P949">
        <v>20</v>
      </c>
      <c r="Q949" t="s">
        <v>34</v>
      </c>
      <c r="R949">
        <v>43</v>
      </c>
      <c r="S949" t="s">
        <v>41</v>
      </c>
    </row>
    <row r="950" spans="1:19" x14ac:dyDescent="0.3">
      <c r="A950" t="s">
        <v>2634</v>
      </c>
      <c r="B950" s="2">
        <v>45410</v>
      </c>
      <c r="C950" t="s">
        <v>20</v>
      </c>
      <c r="D950" t="s">
        <v>60</v>
      </c>
      <c r="E950" t="s">
        <v>2635</v>
      </c>
      <c r="F950" t="s">
        <v>46</v>
      </c>
      <c r="G950" t="s">
        <v>2636</v>
      </c>
      <c r="H950" t="s">
        <v>80</v>
      </c>
      <c r="I950" t="s">
        <v>26</v>
      </c>
      <c r="J950">
        <v>2</v>
      </c>
      <c r="K950">
        <v>138</v>
      </c>
      <c r="L950">
        <v>276</v>
      </c>
      <c r="O950">
        <v>100</v>
      </c>
      <c r="P950">
        <v>50</v>
      </c>
      <c r="Q950" t="s">
        <v>27</v>
      </c>
      <c r="R950">
        <v>42</v>
      </c>
      <c r="S950" t="s">
        <v>28</v>
      </c>
    </row>
    <row r="951" spans="1:19" x14ac:dyDescent="0.3">
      <c r="A951" t="s">
        <v>2637</v>
      </c>
      <c r="B951" s="2">
        <v>45324</v>
      </c>
      <c r="C951" t="s">
        <v>113</v>
      </c>
      <c r="D951" t="s">
        <v>21</v>
      </c>
      <c r="E951" t="s">
        <v>2638</v>
      </c>
      <c r="F951" t="s">
        <v>46</v>
      </c>
      <c r="G951" t="s">
        <v>2639</v>
      </c>
      <c r="H951" t="s">
        <v>80</v>
      </c>
      <c r="I951" t="s">
        <v>26</v>
      </c>
      <c r="J951">
        <v>2</v>
      </c>
      <c r="K951">
        <v>451</v>
      </c>
      <c r="L951">
        <v>902</v>
      </c>
      <c r="M951">
        <v>4.2</v>
      </c>
      <c r="N951">
        <v>44</v>
      </c>
      <c r="P951">
        <v>0</v>
      </c>
      <c r="Q951" t="s">
        <v>34</v>
      </c>
      <c r="R951">
        <v>19</v>
      </c>
      <c r="S951" t="s">
        <v>41</v>
      </c>
    </row>
    <row r="952" spans="1:19" x14ac:dyDescent="0.3">
      <c r="A952" t="s">
        <v>2640</v>
      </c>
      <c r="B952" s="2">
        <v>45409</v>
      </c>
      <c r="C952" t="s">
        <v>20</v>
      </c>
      <c r="D952" t="s">
        <v>100</v>
      </c>
      <c r="E952" t="s">
        <v>2641</v>
      </c>
      <c r="F952" t="s">
        <v>2642</v>
      </c>
      <c r="G952" t="s">
        <v>109</v>
      </c>
      <c r="H952" t="s">
        <v>64</v>
      </c>
      <c r="I952" t="s">
        <v>26</v>
      </c>
      <c r="J952">
        <v>1</v>
      </c>
      <c r="K952">
        <v>191</v>
      </c>
      <c r="L952">
        <v>191</v>
      </c>
      <c r="O952">
        <v>50</v>
      </c>
      <c r="P952">
        <v>20</v>
      </c>
      <c r="Q952" t="s">
        <v>27</v>
      </c>
      <c r="R952">
        <v>29</v>
      </c>
      <c r="S952" t="s">
        <v>28</v>
      </c>
    </row>
    <row r="953" spans="1:19" x14ac:dyDescent="0.3">
      <c r="A953" t="s">
        <v>2643</v>
      </c>
      <c r="B953" s="2">
        <v>45356</v>
      </c>
      <c r="C953" t="s">
        <v>55</v>
      </c>
      <c r="D953" t="s">
        <v>36</v>
      </c>
      <c r="E953" t="s">
        <v>2644</v>
      </c>
      <c r="F953" t="s">
        <v>2645</v>
      </c>
      <c r="G953" t="s">
        <v>2646</v>
      </c>
      <c r="H953" t="s">
        <v>40</v>
      </c>
      <c r="I953" t="s">
        <v>26</v>
      </c>
      <c r="J953">
        <v>3</v>
      </c>
      <c r="K953">
        <v>575</v>
      </c>
      <c r="L953">
        <v>1725</v>
      </c>
      <c r="O953">
        <v>150</v>
      </c>
      <c r="P953">
        <v>30</v>
      </c>
      <c r="Q953" t="s">
        <v>75</v>
      </c>
      <c r="R953">
        <v>25</v>
      </c>
      <c r="S953" t="s">
        <v>41</v>
      </c>
    </row>
    <row r="954" spans="1:19" x14ac:dyDescent="0.3">
      <c r="A954" t="s">
        <v>2647</v>
      </c>
      <c r="B954" s="2">
        <v>45437</v>
      </c>
      <c r="C954" t="s">
        <v>71</v>
      </c>
      <c r="D954" t="s">
        <v>100</v>
      </c>
      <c r="E954" t="s">
        <v>2648</v>
      </c>
      <c r="F954" t="s">
        <v>115</v>
      </c>
      <c r="G954" t="s">
        <v>230</v>
      </c>
      <c r="H954" t="s">
        <v>80</v>
      </c>
      <c r="I954" t="s">
        <v>26</v>
      </c>
      <c r="J954">
        <v>1</v>
      </c>
      <c r="K954">
        <v>564</v>
      </c>
      <c r="L954">
        <v>564</v>
      </c>
      <c r="M954">
        <v>3.9</v>
      </c>
      <c r="N954">
        <v>40</v>
      </c>
      <c r="P954">
        <v>0</v>
      </c>
      <c r="Q954" t="s">
        <v>27</v>
      </c>
      <c r="R954">
        <v>26</v>
      </c>
      <c r="S954" t="s">
        <v>41</v>
      </c>
    </row>
    <row r="955" spans="1:19" x14ac:dyDescent="0.3">
      <c r="A955" t="s">
        <v>2649</v>
      </c>
      <c r="B955" s="2">
        <v>45515</v>
      </c>
      <c r="C955" t="s">
        <v>82</v>
      </c>
      <c r="D955" t="s">
        <v>60</v>
      </c>
      <c r="E955" t="s">
        <v>2650</v>
      </c>
      <c r="F955" t="s">
        <v>62</v>
      </c>
      <c r="G955" t="s">
        <v>2651</v>
      </c>
      <c r="H955" t="s">
        <v>80</v>
      </c>
      <c r="I955" t="s">
        <v>26</v>
      </c>
      <c r="J955">
        <v>4</v>
      </c>
      <c r="K955">
        <v>228</v>
      </c>
      <c r="L955">
        <v>912</v>
      </c>
      <c r="M955">
        <v>3.9</v>
      </c>
      <c r="N955">
        <v>40</v>
      </c>
      <c r="O955">
        <v>150</v>
      </c>
      <c r="P955">
        <v>30</v>
      </c>
      <c r="Q955" t="s">
        <v>27</v>
      </c>
      <c r="R955">
        <v>29</v>
      </c>
      <c r="S955" t="s">
        <v>41</v>
      </c>
    </row>
    <row r="956" spans="1:19" x14ac:dyDescent="0.3">
      <c r="A956" t="s">
        <v>2652</v>
      </c>
      <c r="B956" s="2">
        <v>45530</v>
      </c>
      <c r="C956" t="s">
        <v>82</v>
      </c>
      <c r="D956" t="s">
        <v>44</v>
      </c>
      <c r="E956" t="s">
        <v>2653</v>
      </c>
      <c r="F956" t="s">
        <v>23</v>
      </c>
      <c r="G956" t="s">
        <v>2654</v>
      </c>
      <c r="H956" t="s">
        <v>80</v>
      </c>
      <c r="I956" t="s">
        <v>26</v>
      </c>
      <c r="J956">
        <v>2</v>
      </c>
      <c r="K956">
        <v>387</v>
      </c>
      <c r="L956">
        <v>774</v>
      </c>
      <c r="M956">
        <v>3.8</v>
      </c>
      <c r="N956">
        <v>41</v>
      </c>
      <c r="O956">
        <v>40</v>
      </c>
      <c r="P956">
        <v>10</v>
      </c>
      <c r="Q956" t="s">
        <v>27</v>
      </c>
      <c r="R956">
        <v>43</v>
      </c>
      <c r="S956" t="s">
        <v>41</v>
      </c>
    </row>
    <row r="957" spans="1:19" x14ac:dyDescent="0.3">
      <c r="A957" t="s">
        <v>2655</v>
      </c>
      <c r="B957" s="2">
        <v>45468</v>
      </c>
      <c r="C957" t="s">
        <v>30</v>
      </c>
      <c r="D957" t="s">
        <v>36</v>
      </c>
      <c r="E957" t="s">
        <v>2656</v>
      </c>
      <c r="F957" t="s">
        <v>115</v>
      </c>
      <c r="G957" t="s">
        <v>154</v>
      </c>
      <c r="H957" t="s">
        <v>80</v>
      </c>
      <c r="I957" t="s">
        <v>26</v>
      </c>
      <c r="J957">
        <v>1</v>
      </c>
      <c r="K957">
        <v>564</v>
      </c>
      <c r="L957">
        <v>564</v>
      </c>
      <c r="M957">
        <v>3.4</v>
      </c>
      <c r="N957">
        <v>37</v>
      </c>
      <c r="P957">
        <v>0</v>
      </c>
      <c r="Q957" t="s">
        <v>27</v>
      </c>
      <c r="R957">
        <v>26</v>
      </c>
      <c r="S957" t="s">
        <v>28</v>
      </c>
    </row>
    <row r="958" spans="1:19" x14ac:dyDescent="0.3">
      <c r="A958" t="s">
        <v>2657</v>
      </c>
      <c r="B958" s="2">
        <v>45302</v>
      </c>
      <c r="C958" t="s">
        <v>43</v>
      </c>
      <c r="D958" t="s">
        <v>92</v>
      </c>
      <c r="E958" t="s">
        <v>2658</v>
      </c>
      <c r="F958" t="s">
        <v>115</v>
      </c>
      <c r="G958" t="s">
        <v>2659</v>
      </c>
      <c r="H958" t="s">
        <v>40</v>
      </c>
      <c r="I958" t="s">
        <v>26</v>
      </c>
      <c r="J958">
        <v>1</v>
      </c>
      <c r="K958">
        <v>359</v>
      </c>
      <c r="L958">
        <v>359</v>
      </c>
      <c r="M958">
        <v>4.0999999999999996</v>
      </c>
      <c r="N958">
        <v>39</v>
      </c>
      <c r="P958">
        <v>0</v>
      </c>
      <c r="Q958" t="s">
        <v>34</v>
      </c>
      <c r="R958">
        <v>27</v>
      </c>
      <c r="S958" t="s">
        <v>41</v>
      </c>
    </row>
    <row r="959" spans="1:19" x14ac:dyDescent="0.3">
      <c r="A959" t="s">
        <v>2660</v>
      </c>
      <c r="B959" s="2">
        <v>45376</v>
      </c>
      <c r="C959" t="s">
        <v>55</v>
      </c>
      <c r="D959" t="s">
        <v>44</v>
      </c>
      <c r="E959" t="s">
        <v>2661</v>
      </c>
      <c r="F959" t="s">
        <v>23</v>
      </c>
      <c r="G959" t="s">
        <v>2662</v>
      </c>
      <c r="H959" t="s">
        <v>40</v>
      </c>
      <c r="I959" t="s">
        <v>26</v>
      </c>
      <c r="J959">
        <v>3</v>
      </c>
      <c r="K959">
        <v>536</v>
      </c>
      <c r="L959">
        <v>1608</v>
      </c>
      <c r="M959">
        <v>3.7</v>
      </c>
      <c r="N959">
        <v>38</v>
      </c>
      <c r="O959">
        <v>100</v>
      </c>
      <c r="P959">
        <v>50</v>
      </c>
      <c r="Q959" t="s">
        <v>27</v>
      </c>
      <c r="R959">
        <v>49</v>
      </c>
      <c r="S959" t="s">
        <v>41</v>
      </c>
    </row>
    <row r="960" spans="1:19" x14ac:dyDescent="0.3">
      <c r="A960" t="s">
        <v>2663</v>
      </c>
      <c r="B960" s="2">
        <v>45317</v>
      </c>
      <c r="C960" t="s">
        <v>43</v>
      </c>
      <c r="D960" t="s">
        <v>21</v>
      </c>
      <c r="E960" t="s">
        <v>2664</v>
      </c>
      <c r="F960" t="s">
        <v>450</v>
      </c>
      <c r="G960" t="s">
        <v>227</v>
      </c>
      <c r="H960" t="s">
        <v>80</v>
      </c>
      <c r="I960" t="s">
        <v>26</v>
      </c>
      <c r="J960">
        <v>3</v>
      </c>
      <c r="K960">
        <v>420</v>
      </c>
      <c r="L960">
        <v>1260</v>
      </c>
      <c r="P960">
        <v>0</v>
      </c>
      <c r="Q960" t="s">
        <v>34</v>
      </c>
      <c r="R960">
        <v>42</v>
      </c>
      <c r="S960" t="s">
        <v>41</v>
      </c>
    </row>
    <row r="961" spans="1:19" x14ac:dyDescent="0.3">
      <c r="A961" t="s">
        <v>2665</v>
      </c>
      <c r="B961" s="2">
        <v>45354</v>
      </c>
      <c r="C961" t="s">
        <v>55</v>
      </c>
      <c r="D961" t="s">
        <v>60</v>
      </c>
      <c r="E961" t="s">
        <v>2666</v>
      </c>
      <c r="F961" t="s">
        <v>137</v>
      </c>
      <c r="G961" t="s">
        <v>2667</v>
      </c>
      <c r="H961" t="s">
        <v>80</v>
      </c>
      <c r="I961" t="s">
        <v>26</v>
      </c>
      <c r="J961">
        <v>2</v>
      </c>
      <c r="K961">
        <v>209</v>
      </c>
      <c r="L961">
        <v>418</v>
      </c>
      <c r="M961">
        <v>4.2</v>
      </c>
      <c r="N961">
        <v>35</v>
      </c>
      <c r="P961">
        <v>0</v>
      </c>
      <c r="Q961" t="s">
        <v>27</v>
      </c>
      <c r="R961">
        <v>19</v>
      </c>
      <c r="S961" t="s">
        <v>28</v>
      </c>
    </row>
    <row r="962" spans="1:19" x14ac:dyDescent="0.3">
      <c r="A962" t="s">
        <v>2668</v>
      </c>
      <c r="B962" s="2">
        <v>45508</v>
      </c>
      <c r="C962" t="s">
        <v>82</v>
      </c>
      <c r="D962" t="s">
        <v>60</v>
      </c>
      <c r="E962" t="s">
        <v>2669</v>
      </c>
      <c r="F962" t="s">
        <v>115</v>
      </c>
      <c r="G962" t="s">
        <v>2670</v>
      </c>
      <c r="H962" t="s">
        <v>40</v>
      </c>
      <c r="I962" t="s">
        <v>33</v>
      </c>
      <c r="J962">
        <v>1</v>
      </c>
      <c r="K962">
        <v>222</v>
      </c>
      <c r="L962">
        <v>222</v>
      </c>
      <c r="M962">
        <v>4.3</v>
      </c>
      <c r="N962">
        <v>30</v>
      </c>
      <c r="P962">
        <v>0</v>
      </c>
      <c r="Q962" t="s">
        <v>49</v>
      </c>
      <c r="R962">
        <v>33</v>
      </c>
      <c r="S962" t="s">
        <v>28</v>
      </c>
    </row>
    <row r="963" spans="1:19" x14ac:dyDescent="0.3">
      <c r="A963" t="s">
        <v>2671</v>
      </c>
      <c r="B963" s="2">
        <v>45377</v>
      </c>
      <c r="C963" t="s">
        <v>55</v>
      </c>
      <c r="D963" t="s">
        <v>36</v>
      </c>
      <c r="E963" t="s">
        <v>2672</v>
      </c>
      <c r="F963" t="s">
        <v>23</v>
      </c>
      <c r="G963" t="s">
        <v>227</v>
      </c>
      <c r="H963" t="s">
        <v>80</v>
      </c>
      <c r="I963" t="s">
        <v>26</v>
      </c>
      <c r="J963">
        <v>1</v>
      </c>
      <c r="K963">
        <v>595</v>
      </c>
      <c r="L963">
        <v>595</v>
      </c>
      <c r="M963">
        <v>4.5999999999999996</v>
      </c>
      <c r="N963">
        <v>31</v>
      </c>
      <c r="P963">
        <v>0</v>
      </c>
      <c r="Q963" t="s">
        <v>75</v>
      </c>
      <c r="R963">
        <v>37</v>
      </c>
      <c r="S963" t="s">
        <v>41</v>
      </c>
    </row>
    <row r="964" spans="1:19" x14ac:dyDescent="0.3">
      <c r="A964" t="s">
        <v>2673</v>
      </c>
      <c r="B964" s="2">
        <v>45350</v>
      </c>
      <c r="C964" t="s">
        <v>113</v>
      </c>
      <c r="D964" t="s">
        <v>72</v>
      </c>
      <c r="E964" t="s">
        <v>2674</v>
      </c>
      <c r="F964" t="s">
        <v>115</v>
      </c>
      <c r="G964" t="s">
        <v>2675</v>
      </c>
      <c r="H964" t="s">
        <v>80</v>
      </c>
      <c r="I964" t="s">
        <v>26</v>
      </c>
      <c r="J964">
        <v>3</v>
      </c>
      <c r="K964">
        <v>369</v>
      </c>
      <c r="L964">
        <v>1107</v>
      </c>
      <c r="M964">
        <v>4.0999999999999996</v>
      </c>
      <c r="N964">
        <v>36</v>
      </c>
      <c r="P964">
        <v>0</v>
      </c>
      <c r="Q964" t="s">
        <v>27</v>
      </c>
      <c r="R964">
        <v>24</v>
      </c>
      <c r="S964" t="s">
        <v>41</v>
      </c>
    </row>
    <row r="965" spans="1:19" x14ac:dyDescent="0.3">
      <c r="A965" t="s">
        <v>2676</v>
      </c>
      <c r="B965" s="2">
        <v>45318</v>
      </c>
      <c r="C965" t="s">
        <v>43</v>
      </c>
      <c r="D965" t="s">
        <v>100</v>
      </c>
      <c r="E965" t="s">
        <v>2677</v>
      </c>
      <c r="F965" t="s">
        <v>46</v>
      </c>
      <c r="G965" t="s">
        <v>2550</v>
      </c>
      <c r="H965" t="s">
        <v>53</v>
      </c>
      <c r="I965" t="s">
        <v>26</v>
      </c>
      <c r="J965">
        <v>1</v>
      </c>
      <c r="K965">
        <v>572</v>
      </c>
      <c r="L965">
        <v>572</v>
      </c>
      <c r="O965">
        <v>100</v>
      </c>
      <c r="P965">
        <v>50</v>
      </c>
      <c r="Q965" t="s">
        <v>49</v>
      </c>
      <c r="R965">
        <v>45</v>
      </c>
      <c r="S965" t="s">
        <v>41</v>
      </c>
    </row>
    <row r="966" spans="1:19" x14ac:dyDescent="0.3">
      <c r="A966" t="s">
        <v>2678</v>
      </c>
      <c r="B966" s="2">
        <v>45468</v>
      </c>
      <c r="C966" t="s">
        <v>30</v>
      </c>
      <c r="D966" t="s">
        <v>36</v>
      </c>
      <c r="E966" t="s">
        <v>2679</v>
      </c>
      <c r="F966" t="s">
        <v>78</v>
      </c>
      <c r="G966" t="s">
        <v>2680</v>
      </c>
      <c r="H966" t="s">
        <v>40</v>
      </c>
      <c r="I966" t="s">
        <v>26</v>
      </c>
      <c r="J966">
        <v>1</v>
      </c>
      <c r="K966">
        <v>127</v>
      </c>
      <c r="L966">
        <v>127</v>
      </c>
      <c r="M966">
        <v>3.7</v>
      </c>
      <c r="N966">
        <v>50</v>
      </c>
      <c r="O966">
        <v>150</v>
      </c>
      <c r="P966">
        <v>30</v>
      </c>
      <c r="Q966" t="s">
        <v>27</v>
      </c>
      <c r="R966">
        <v>19</v>
      </c>
      <c r="S966" t="s">
        <v>41</v>
      </c>
    </row>
    <row r="967" spans="1:19" x14ac:dyDescent="0.3">
      <c r="A967" t="s">
        <v>2681</v>
      </c>
      <c r="B967" s="2">
        <v>45496</v>
      </c>
      <c r="C967" t="s">
        <v>59</v>
      </c>
      <c r="D967" t="s">
        <v>36</v>
      </c>
      <c r="E967" t="s">
        <v>2682</v>
      </c>
      <c r="F967" t="s">
        <v>517</v>
      </c>
      <c r="G967" t="s">
        <v>2251</v>
      </c>
      <c r="H967" t="s">
        <v>80</v>
      </c>
      <c r="I967" t="s">
        <v>26</v>
      </c>
      <c r="J967">
        <v>1</v>
      </c>
      <c r="K967">
        <v>272</v>
      </c>
      <c r="L967">
        <v>272</v>
      </c>
      <c r="M967">
        <v>3.7</v>
      </c>
      <c r="N967">
        <v>43</v>
      </c>
      <c r="O967">
        <v>200</v>
      </c>
      <c r="P967">
        <v>40</v>
      </c>
      <c r="Q967" t="s">
        <v>27</v>
      </c>
      <c r="R967">
        <v>18</v>
      </c>
      <c r="S967" t="s">
        <v>41</v>
      </c>
    </row>
    <row r="968" spans="1:19" x14ac:dyDescent="0.3">
      <c r="A968" t="s">
        <v>2683</v>
      </c>
      <c r="B968" s="2">
        <v>45452</v>
      </c>
      <c r="C968" t="s">
        <v>30</v>
      </c>
      <c r="D968" t="s">
        <v>60</v>
      </c>
      <c r="E968" t="s">
        <v>2684</v>
      </c>
      <c r="F968" t="s">
        <v>713</v>
      </c>
      <c r="G968" t="s">
        <v>2685</v>
      </c>
      <c r="H968" t="s">
        <v>80</v>
      </c>
      <c r="I968" t="s">
        <v>26</v>
      </c>
      <c r="J968">
        <v>3</v>
      </c>
      <c r="K968">
        <v>466</v>
      </c>
      <c r="L968">
        <v>1398</v>
      </c>
      <c r="O968">
        <v>999</v>
      </c>
      <c r="P968">
        <v>0</v>
      </c>
      <c r="Q968" t="s">
        <v>27</v>
      </c>
      <c r="R968">
        <v>36</v>
      </c>
      <c r="S968" t="s">
        <v>41</v>
      </c>
    </row>
    <row r="969" spans="1:19" x14ac:dyDescent="0.3">
      <c r="A969" t="s">
        <v>2686</v>
      </c>
      <c r="B969" s="2">
        <v>45389</v>
      </c>
      <c r="C969" t="s">
        <v>20</v>
      </c>
      <c r="D969" t="s">
        <v>60</v>
      </c>
      <c r="E969" t="s">
        <v>2687</v>
      </c>
      <c r="F969" t="s">
        <v>62</v>
      </c>
      <c r="G969" t="s">
        <v>186</v>
      </c>
      <c r="H969" t="s">
        <v>80</v>
      </c>
      <c r="I969" t="s">
        <v>26</v>
      </c>
      <c r="J969">
        <v>2</v>
      </c>
      <c r="K969">
        <v>293</v>
      </c>
      <c r="L969">
        <v>586</v>
      </c>
      <c r="M969">
        <v>2.6</v>
      </c>
      <c r="N969">
        <v>42</v>
      </c>
      <c r="P969">
        <v>0</v>
      </c>
      <c r="Q969" t="s">
        <v>49</v>
      </c>
      <c r="R969">
        <v>45</v>
      </c>
      <c r="S969" t="s">
        <v>28</v>
      </c>
    </row>
    <row r="970" spans="1:19" x14ac:dyDescent="0.3">
      <c r="A970" t="s">
        <v>2688</v>
      </c>
      <c r="B970" s="2">
        <v>45396</v>
      </c>
      <c r="C970" t="s">
        <v>20</v>
      </c>
      <c r="D970" t="s">
        <v>60</v>
      </c>
      <c r="E970" t="s">
        <v>2689</v>
      </c>
      <c r="F970" t="s">
        <v>192</v>
      </c>
      <c r="G970" t="s">
        <v>673</v>
      </c>
      <c r="H970" t="s">
        <v>80</v>
      </c>
      <c r="I970" t="s">
        <v>26</v>
      </c>
      <c r="J970">
        <v>4</v>
      </c>
      <c r="K970">
        <v>462</v>
      </c>
      <c r="L970">
        <v>1848</v>
      </c>
      <c r="M970">
        <v>4.5</v>
      </c>
      <c r="N970">
        <v>55</v>
      </c>
      <c r="O970">
        <v>499</v>
      </c>
      <c r="P970">
        <v>0</v>
      </c>
      <c r="Q970" t="s">
        <v>75</v>
      </c>
      <c r="R970">
        <v>21</v>
      </c>
      <c r="S970" t="s">
        <v>41</v>
      </c>
    </row>
    <row r="971" spans="1:19" x14ac:dyDescent="0.3">
      <c r="A971" t="s">
        <v>2690</v>
      </c>
      <c r="B971" s="2">
        <v>45390</v>
      </c>
      <c r="C971" t="s">
        <v>20</v>
      </c>
      <c r="D971" t="s">
        <v>44</v>
      </c>
      <c r="E971" t="s">
        <v>2691</v>
      </c>
      <c r="F971" t="s">
        <v>192</v>
      </c>
      <c r="G971" t="s">
        <v>2692</v>
      </c>
      <c r="H971" t="s">
        <v>25</v>
      </c>
      <c r="I971" t="s">
        <v>33</v>
      </c>
      <c r="J971">
        <v>2</v>
      </c>
      <c r="K971">
        <v>277</v>
      </c>
      <c r="L971">
        <v>554</v>
      </c>
      <c r="O971">
        <v>250</v>
      </c>
      <c r="P971">
        <v>50</v>
      </c>
      <c r="Q971" t="s">
        <v>49</v>
      </c>
      <c r="R971">
        <v>41</v>
      </c>
      <c r="S971" t="s">
        <v>41</v>
      </c>
    </row>
    <row r="972" spans="1:19" x14ac:dyDescent="0.3">
      <c r="A972" t="s">
        <v>2693</v>
      </c>
      <c r="B972" s="2">
        <v>45420</v>
      </c>
      <c r="C972" t="s">
        <v>71</v>
      </c>
      <c r="D972" t="s">
        <v>72</v>
      </c>
      <c r="E972" t="s">
        <v>2694</v>
      </c>
      <c r="F972" t="s">
        <v>115</v>
      </c>
      <c r="G972" t="s">
        <v>2695</v>
      </c>
      <c r="H972" t="s">
        <v>64</v>
      </c>
      <c r="I972" t="s">
        <v>26</v>
      </c>
      <c r="J972">
        <v>4</v>
      </c>
      <c r="K972">
        <v>550</v>
      </c>
      <c r="L972">
        <v>2200</v>
      </c>
      <c r="M972">
        <v>3.9</v>
      </c>
      <c r="N972">
        <v>42</v>
      </c>
      <c r="O972">
        <v>449</v>
      </c>
      <c r="P972">
        <v>0</v>
      </c>
      <c r="Q972" t="s">
        <v>75</v>
      </c>
      <c r="R972">
        <v>39</v>
      </c>
      <c r="S972" t="s">
        <v>41</v>
      </c>
    </row>
    <row r="973" spans="1:19" x14ac:dyDescent="0.3">
      <c r="A973" t="s">
        <v>2696</v>
      </c>
      <c r="B973" s="2">
        <v>45440</v>
      </c>
      <c r="C973" t="s">
        <v>71</v>
      </c>
      <c r="D973" t="s">
        <v>36</v>
      </c>
      <c r="E973" t="s">
        <v>2697</v>
      </c>
      <c r="F973" t="s">
        <v>450</v>
      </c>
      <c r="G973" t="s">
        <v>227</v>
      </c>
      <c r="H973" t="s">
        <v>80</v>
      </c>
      <c r="I973" t="s">
        <v>26</v>
      </c>
      <c r="J973">
        <v>1</v>
      </c>
      <c r="K973">
        <v>334</v>
      </c>
      <c r="L973">
        <v>334</v>
      </c>
      <c r="O973">
        <v>999</v>
      </c>
      <c r="P973">
        <v>0</v>
      </c>
      <c r="Q973" t="s">
        <v>27</v>
      </c>
      <c r="R973">
        <v>44</v>
      </c>
      <c r="S973" t="s">
        <v>41</v>
      </c>
    </row>
    <row r="974" spans="1:19" x14ac:dyDescent="0.3">
      <c r="A974" t="s">
        <v>2698</v>
      </c>
      <c r="B974" s="2">
        <v>45531</v>
      </c>
      <c r="C974" t="s">
        <v>82</v>
      </c>
      <c r="D974" t="s">
        <v>36</v>
      </c>
      <c r="E974" t="s">
        <v>2699</v>
      </c>
      <c r="F974" t="s">
        <v>713</v>
      </c>
      <c r="G974" t="s">
        <v>2700</v>
      </c>
      <c r="H974" t="s">
        <v>80</v>
      </c>
      <c r="I974" t="s">
        <v>26</v>
      </c>
      <c r="J974">
        <v>2</v>
      </c>
      <c r="K974">
        <v>296</v>
      </c>
      <c r="L974">
        <v>592</v>
      </c>
      <c r="M974">
        <v>3.8</v>
      </c>
      <c r="N974">
        <v>36</v>
      </c>
      <c r="P974">
        <v>0</v>
      </c>
      <c r="Q974" t="s">
        <v>34</v>
      </c>
      <c r="R974">
        <v>19</v>
      </c>
      <c r="S974" t="s">
        <v>41</v>
      </c>
    </row>
    <row r="975" spans="1:19" x14ac:dyDescent="0.3">
      <c r="A975" t="s">
        <v>2701</v>
      </c>
      <c r="B975" s="2">
        <v>45346</v>
      </c>
      <c r="C975" t="s">
        <v>113</v>
      </c>
      <c r="D975" t="s">
        <v>100</v>
      </c>
      <c r="E975" t="s">
        <v>2702</v>
      </c>
      <c r="F975" t="s">
        <v>565</v>
      </c>
      <c r="G975" t="s">
        <v>2703</v>
      </c>
      <c r="H975" t="s">
        <v>40</v>
      </c>
      <c r="I975" t="s">
        <v>33</v>
      </c>
      <c r="J975">
        <v>4</v>
      </c>
      <c r="K975">
        <v>294</v>
      </c>
      <c r="L975">
        <v>1176</v>
      </c>
      <c r="M975">
        <v>3</v>
      </c>
      <c r="N975">
        <v>36</v>
      </c>
      <c r="P975">
        <v>0</v>
      </c>
      <c r="Q975" t="s">
        <v>27</v>
      </c>
      <c r="R975">
        <v>48</v>
      </c>
      <c r="S975" t="s">
        <v>41</v>
      </c>
    </row>
    <row r="976" spans="1:19" x14ac:dyDescent="0.3">
      <c r="A976" t="s">
        <v>2704</v>
      </c>
      <c r="B976" s="2">
        <v>45297</v>
      </c>
      <c r="C976" t="s">
        <v>43</v>
      </c>
      <c r="D976" t="s">
        <v>100</v>
      </c>
      <c r="E976" t="s">
        <v>2705</v>
      </c>
      <c r="F976" t="s">
        <v>87</v>
      </c>
      <c r="G976" t="s">
        <v>64</v>
      </c>
      <c r="H976" t="s">
        <v>64</v>
      </c>
      <c r="I976" t="s">
        <v>26</v>
      </c>
      <c r="J976">
        <v>3</v>
      </c>
      <c r="K976">
        <v>459</v>
      </c>
      <c r="L976">
        <v>1377</v>
      </c>
      <c r="M976">
        <v>3.8</v>
      </c>
      <c r="N976">
        <v>39</v>
      </c>
      <c r="P976">
        <v>0</v>
      </c>
      <c r="Q976" t="s">
        <v>75</v>
      </c>
      <c r="R976">
        <v>42</v>
      </c>
      <c r="S976" t="s">
        <v>28</v>
      </c>
    </row>
    <row r="977" spans="1:19" x14ac:dyDescent="0.3">
      <c r="A977" t="s">
        <v>2706</v>
      </c>
      <c r="B977" s="2">
        <v>45511</v>
      </c>
      <c r="C977" t="s">
        <v>82</v>
      </c>
      <c r="D977" t="s">
        <v>72</v>
      </c>
      <c r="E977" t="s">
        <v>2707</v>
      </c>
      <c r="F977" t="s">
        <v>115</v>
      </c>
      <c r="G977" t="s">
        <v>1138</v>
      </c>
      <c r="H977" t="s">
        <v>64</v>
      </c>
      <c r="I977" t="s">
        <v>26</v>
      </c>
      <c r="J977">
        <v>3</v>
      </c>
      <c r="K977">
        <v>457</v>
      </c>
      <c r="L977">
        <v>1371</v>
      </c>
      <c r="M977">
        <v>4.0999999999999996</v>
      </c>
      <c r="N977">
        <v>38</v>
      </c>
      <c r="O977">
        <v>449</v>
      </c>
      <c r="P977">
        <v>0</v>
      </c>
      <c r="Q977" t="s">
        <v>49</v>
      </c>
      <c r="R977">
        <v>31</v>
      </c>
      <c r="S977" t="s">
        <v>28</v>
      </c>
    </row>
    <row r="978" spans="1:19" x14ac:dyDescent="0.3">
      <c r="A978" t="s">
        <v>2708</v>
      </c>
      <c r="B978" s="2">
        <v>45500</v>
      </c>
      <c r="C978" t="s">
        <v>59</v>
      </c>
      <c r="D978" t="s">
        <v>100</v>
      </c>
      <c r="E978" t="s">
        <v>2709</v>
      </c>
      <c r="F978" t="s">
        <v>115</v>
      </c>
      <c r="G978" t="s">
        <v>2710</v>
      </c>
      <c r="H978" t="s">
        <v>64</v>
      </c>
      <c r="I978" t="s">
        <v>26</v>
      </c>
      <c r="J978">
        <v>2</v>
      </c>
      <c r="K978">
        <v>265</v>
      </c>
      <c r="L978">
        <v>530</v>
      </c>
      <c r="M978">
        <v>4</v>
      </c>
      <c r="N978">
        <v>38</v>
      </c>
      <c r="O978">
        <v>449</v>
      </c>
      <c r="P978">
        <v>0</v>
      </c>
      <c r="Q978" t="s">
        <v>27</v>
      </c>
      <c r="R978">
        <v>19</v>
      </c>
      <c r="S978" t="s">
        <v>28</v>
      </c>
    </row>
    <row r="979" spans="1:19" x14ac:dyDescent="0.3">
      <c r="A979" t="s">
        <v>2711</v>
      </c>
      <c r="B979" s="2">
        <v>45488</v>
      </c>
      <c r="C979" t="s">
        <v>59</v>
      </c>
      <c r="D979" t="s">
        <v>44</v>
      </c>
      <c r="E979" t="s">
        <v>2712</v>
      </c>
      <c r="F979" t="s">
        <v>115</v>
      </c>
      <c r="G979" t="s">
        <v>1146</v>
      </c>
      <c r="H979" t="s">
        <v>40</v>
      </c>
      <c r="I979" t="s">
        <v>26</v>
      </c>
      <c r="J979">
        <v>2</v>
      </c>
      <c r="K979">
        <v>569</v>
      </c>
      <c r="L979">
        <v>1138</v>
      </c>
      <c r="M979">
        <v>3.8</v>
      </c>
      <c r="N979">
        <v>39</v>
      </c>
      <c r="O979">
        <v>449</v>
      </c>
      <c r="P979">
        <v>0</v>
      </c>
      <c r="Q979" t="s">
        <v>49</v>
      </c>
      <c r="R979">
        <v>46</v>
      </c>
      <c r="S979" t="s">
        <v>28</v>
      </c>
    </row>
    <row r="980" spans="1:19" x14ac:dyDescent="0.3">
      <c r="A980" t="s">
        <v>2713</v>
      </c>
      <c r="B980" s="2">
        <v>45386</v>
      </c>
      <c r="C980" t="s">
        <v>20</v>
      </c>
      <c r="D980" t="s">
        <v>92</v>
      </c>
      <c r="E980" t="s">
        <v>2714</v>
      </c>
      <c r="F980" t="s">
        <v>115</v>
      </c>
      <c r="G980" t="s">
        <v>1146</v>
      </c>
      <c r="H980" t="s">
        <v>40</v>
      </c>
      <c r="I980" t="s">
        <v>26</v>
      </c>
      <c r="J980">
        <v>1</v>
      </c>
      <c r="K980">
        <v>443</v>
      </c>
      <c r="L980">
        <v>443</v>
      </c>
      <c r="M980">
        <v>4</v>
      </c>
      <c r="N980">
        <v>39</v>
      </c>
      <c r="O980">
        <v>449</v>
      </c>
      <c r="P980">
        <v>0</v>
      </c>
      <c r="Q980" t="s">
        <v>49</v>
      </c>
      <c r="R980">
        <v>32</v>
      </c>
      <c r="S980" t="s">
        <v>28</v>
      </c>
    </row>
    <row r="981" spans="1:19" x14ac:dyDescent="0.3">
      <c r="A981" t="s">
        <v>2715</v>
      </c>
      <c r="B981" s="2">
        <v>45424</v>
      </c>
      <c r="C981" t="s">
        <v>71</v>
      </c>
      <c r="D981" t="s">
        <v>60</v>
      </c>
      <c r="E981" t="s">
        <v>2716</v>
      </c>
      <c r="F981" t="s">
        <v>115</v>
      </c>
      <c r="G981" t="s">
        <v>2717</v>
      </c>
      <c r="H981" t="s">
        <v>40</v>
      </c>
      <c r="I981" t="s">
        <v>26</v>
      </c>
      <c r="J981">
        <v>2</v>
      </c>
      <c r="K981">
        <v>597</v>
      </c>
      <c r="L981">
        <v>1194</v>
      </c>
      <c r="O981">
        <v>449</v>
      </c>
      <c r="P981">
        <v>0</v>
      </c>
      <c r="Q981" t="s">
        <v>49</v>
      </c>
      <c r="R981">
        <v>29</v>
      </c>
      <c r="S981" t="s">
        <v>28</v>
      </c>
    </row>
    <row r="982" spans="1:19" x14ac:dyDescent="0.3">
      <c r="A982" t="s">
        <v>2718</v>
      </c>
      <c r="B982" s="2">
        <v>45393</v>
      </c>
      <c r="C982" t="s">
        <v>20</v>
      </c>
      <c r="D982" t="s">
        <v>92</v>
      </c>
      <c r="E982" t="s">
        <v>2719</v>
      </c>
      <c r="F982" t="s">
        <v>23</v>
      </c>
      <c r="G982" t="s">
        <v>64</v>
      </c>
      <c r="H982" t="s">
        <v>64</v>
      </c>
      <c r="I982" t="s">
        <v>26</v>
      </c>
      <c r="J982">
        <v>1</v>
      </c>
      <c r="K982">
        <v>280</v>
      </c>
      <c r="L982">
        <v>280</v>
      </c>
      <c r="M982">
        <v>4.3</v>
      </c>
      <c r="N982">
        <v>28</v>
      </c>
      <c r="P982">
        <v>0</v>
      </c>
      <c r="Q982" t="s">
        <v>27</v>
      </c>
      <c r="R982">
        <v>22</v>
      </c>
      <c r="S982" t="s">
        <v>41</v>
      </c>
    </row>
    <row r="983" spans="1:19" x14ac:dyDescent="0.3">
      <c r="A983" t="s">
        <v>2720</v>
      </c>
      <c r="B983" s="2">
        <v>45294</v>
      </c>
      <c r="C983" t="s">
        <v>43</v>
      </c>
      <c r="D983" t="s">
        <v>72</v>
      </c>
      <c r="E983" t="s">
        <v>2721</v>
      </c>
      <c r="F983" t="s">
        <v>115</v>
      </c>
      <c r="G983" t="s">
        <v>2722</v>
      </c>
      <c r="H983" t="s">
        <v>64</v>
      </c>
      <c r="I983" t="s">
        <v>26</v>
      </c>
      <c r="J983">
        <v>1</v>
      </c>
      <c r="K983">
        <v>246</v>
      </c>
      <c r="L983">
        <v>246</v>
      </c>
      <c r="M983">
        <v>4.4000000000000004</v>
      </c>
      <c r="N983">
        <v>30</v>
      </c>
      <c r="O983">
        <v>449</v>
      </c>
      <c r="P983">
        <v>0</v>
      </c>
      <c r="Q983" t="s">
        <v>49</v>
      </c>
      <c r="R983">
        <v>45</v>
      </c>
      <c r="S983" t="s">
        <v>41</v>
      </c>
    </row>
    <row r="984" spans="1:19" x14ac:dyDescent="0.3">
      <c r="A984" t="s">
        <v>2723</v>
      </c>
      <c r="B984" s="2">
        <v>45472</v>
      </c>
      <c r="C984" t="s">
        <v>30</v>
      </c>
      <c r="D984" t="s">
        <v>100</v>
      </c>
      <c r="E984" t="s">
        <v>2724</v>
      </c>
      <c r="F984" t="s">
        <v>46</v>
      </c>
      <c r="G984" t="s">
        <v>154</v>
      </c>
      <c r="H984" t="s">
        <v>80</v>
      </c>
      <c r="I984" t="s">
        <v>26</v>
      </c>
      <c r="J984">
        <v>3</v>
      </c>
      <c r="K984">
        <v>539</v>
      </c>
      <c r="L984">
        <v>1617</v>
      </c>
      <c r="O984">
        <v>100</v>
      </c>
      <c r="P984">
        <v>20</v>
      </c>
      <c r="Q984" t="s">
        <v>49</v>
      </c>
      <c r="R984">
        <v>37</v>
      </c>
      <c r="S984" t="s">
        <v>41</v>
      </c>
    </row>
    <row r="985" spans="1:19" x14ac:dyDescent="0.3">
      <c r="A985" t="s">
        <v>2725</v>
      </c>
      <c r="B985" s="2">
        <v>45314</v>
      </c>
      <c r="C985" t="s">
        <v>43</v>
      </c>
      <c r="D985" t="s">
        <v>36</v>
      </c>
      <c r="E985" t="s">
        <v>2726</v>
      </c>
      <c r="F985" t="s">
        <v>192</v>
      </c>
      <c r="G985" t="s">
        <v>2727</v>
      </c>
      <c r="H985" t="s">
        <v>80</v>
      </c>
      <c r="I985" t="s">
        <v>26</v>
      </c>
      <c r="J985">
        <v>3</v>
      </c>
      <c r="K985">
        <v>201</v>
      </c>
      <c r="L985">
        <v>603</v>
      </c>
      <c r="M985">
        <v>4.3</v>
      </c>
      <c r="N985">
        <v>55</v>
      </c>
      <c r="O985">
        <v>999</v>
      </c>
      <c r="P985">
        <v>0</v>
      </c>
      <c r="Q985" t="s">
        <v>27</v>
      </c>
      <c r="R985">
        <v>46</v>
      </c>
      <c r="S985" t="s">
        <v>41</v>
      </c>
    </row>
    <row r="986" spans="1:19" x14ac:dyDescent="0.3">
      <c r="A986" t="s">
        <v>2728</v>
      </c>
      <c r="B986" s="2">
        <v>45520</v>
      </c>
      <c r="C986" t="s">
        <v>82</v>
      </c>
      <c r="D986" t="s">
        <v>21</v>
      </c>
      <c r="E986" t="s">
        <v>2729</v>
      </c>
      <c r="F986" t="s">
        <v>1469</v>
      </c>
      <c r="G986" t="s">
        <v>2730</v>
      </c>
      <c r="H986" t="s">
        <v>80</v>
      </c>
      <c r="I986" t="s">
        <v>26</v>
      </c>
      <c r="J986">
        <v>4</v>
      </c>
      <c r="K986">
        <v>266</v>
      </c>
      <c r="L986">
        <v>1064</v>
      </c>
      <c r="M986">
        <v>4.4000000000000004</v>
      </c>
      <c r="N986">
        <v>52</v>
      </c>
      <c r="P986">
        <v>0</v>
      </c>
      <c r="Q986" t="s">
        <v>49</v>
      </c>
      <c r="R986">
        <v>24</v>
      </c>
      <c r="S986" t="s">
        <v>41</v>
      </c>
    </row>
    <row r="987" spans="1:19" x14ac:dyDescent="0.3">
      <c r="A987" t="s">
        <v>2731</v>
      </c>
      <c r="B987" s="2">
        <v>45344</v>
      </c>
      <c r="C987" t="s">
        <v>113</v>
      </c>
      <c r="D987" t="s">
        <v>92</v>
      </c>
      <c r="E987" t="s">
        <v>2732</v>
      </c>
      <c r="F987" t="s">
        <v>824</v>
      </c>
      <c r="G987" t="s">
        <v>569</v>
      </c>
      <c r="H987" t="s">
        <v>25</v>
      </c>
      <c r="I987" t="s">
        <v>26</v>
      </c>
      <c r="J987">
        <v>3</v>
      </c>
      <c r="K987">
        <v>358</v>
      </c>
      <c r="L987">
        <v>1074</v>
      </c>
      <c r="O987">
        <v>499</v>
      </c>
      <c r="P987">
        <v>0</v>
      </c>
      <c r="Q987" t="s">
        <v>27</v>
      </c>
      <c r="R987">
        <v>41</v>
      </c>
      <c r="S987" t="s">
        <v>41</v>
      </c>
    </row>
    <row r="988" spans="1:19" x14ac:dyDescent="0.3">
      <c r="A988" t="s">
        <v>2733</v>
      </c>
      <c r="B988" s="2">
        <v>45456</v>
      </c>
      <c r="C988" t="s">
        <v>30</v>
      </c>
      <c r="D988" t="s">
        <v>92</v>
      </c>
      <c r="E988" t="s">
        <v>2734</v>
      </c>
      <c r="F988" t="s">
        <v>115</v>
      </c>
      <c r="G988" t="s">
        <v>2735</v>
      </c>
      <c r="H988" t="s">
        <v>80</v>
      </c>
      <c r="I988" t="s">
        <v>26</v>
      </c>
      <c r="J988">
        <v>3</v>
      </c>
      <c r="K988">
        <v>531</v>
      </c>
      <c r="L988">
        <v>1593</v>
      </c>
      <c r="M988">
        <v>3.5</v>
      </c>
      <c r="N988">
        <v>61</v>
      </c>
      <c r="O988">
        <v>100</v>
      </c>
      <c r="P988">
        <v>10</v>
      </c>
      <c r="Q988" t="s">
        <v>75</v>
      </c>
      <c r="R988">
        <v>38</v>
      </c>
      <c r="S988" t="s">
        <v>28</v>
      </c>
    </row>
    <row r="989" spans="1:19" x14ac:dyDescent="0.3">
      <c r="A989" t="s">
        <v>2736</v>
      </c>
      <c r="B989" s="2">
        <v>45493</v>
      </c>
      <c r="C989" t="s">
        <v>59</v>
      </c>
      <c r="D989" t="s">
        <v>100</v>
      </c>
      <c r="E989" t="s">
        <v>2737</v>
      </c>
      <c r="F989" t="s">
        <v>115</v>
      </c>
      <c r="G989" t="s">
        <v>109</v>
      </c>
      <c r="H989" t="s">
        <v>64</v>
      </c>
      <c r="I989" t="s">
        <v>26</v>
      </c>
      <c r="J989">
        <v>2</v>
      </c>
      <c r="K989">
        <v>543</v>
      </c>
      <c r="L989">
        <v>1086</v>
      </c>
      <c r="M989">
        <v>4.2</v>
      </c>
      <c r="N989">
        <v>40</v>
      </c>
      <c r="P989">
        <v>0</v>
      </c>
      <c r="Q989" t="s">
        <v>75</v>
      </c>
      <c r="R989">
        <v>27</v>
      </c>
      <c r="S989" t="s">
        <v>41</v>
      </c>
    </row>
    <row r="990" spans="1:19" x14ac:dyDescent="0.3">
      <c r="A990" t="s">
        <v>2738</v>
      </c>
      <c r="B990" s="2">
        <v>45493</v>
      </c>
      <c r="C990" t="s">
        <v>59</v>
      </c>
      <c r="D990" t="s">
        <v>100</v>
      </c>
      <c r="E990" t="s">
        <v>2739</v>
      </c>
      <c r="F990" t="s">
        <v>517</v>
      </c>
      <c r="G990" t="s">
        <v>2740</v>
      </c>
      <c r="H990" t="s">
        <v>80</v>
      </c>
      <c r="I990" t="s">
        <v>26</v>
      </c>
      <c r="J990">
        <v>3</v>
      </c>
      <c r="K990">
        <v>203</v>
      </c>
      <c r="L990">
        <v>609</v>
      </c>
      <c r="M990">
        <v>2.4</v>
      </c>
      <c r="N990">
        <v>40</v>
      </c>
      <c r="O990">
        <v>150</v>
      </c>
      <c r="P990">
        <v>30</v>
      </c>
      <c r="Q990" t="s">
        <v>75</v>
      </c>
      <c r="R990">
        <v>31</v>
      </c>
      <c r="S990" t="s">
        <v>28</v>
      </c>
    </row>
    <row r="991" spans="1:19" x14ac:dyDescent="0.3">
      <c r="A991" t="s">
        <v>2741</v>
      </c>
      <c r="B991" s="2">
        <v>45374</v>
      </c>
      <c r="C991" t="s">
        <v>55</v>
      </c>
      <c r="D991" t="s">
        <v>100</v>
      </c>
      <c r="E991" t="s">
        <v>2742</v>
      </c>
      <c r="F991" t="s">
        <v>62</v>
      </c>
      <c r="G991" t="s">
        <v>221</v>
      </c>
      <c r="H991" t="s">
        <v>80</v>
      </c>
      <c r="I991" t="s">
        <v>26</v>
      </c>
      <c r="J991">
        <v>4</v>
      </c>
      <c r="K991">
        <v>232</v>
      </c>
      <c r="L991">
        <v>928</v>
      </c>
      <c r="M991">
        <v>4.2</v>
      </c>
      <c r="N991">
        <v>44</v>
      </c>
      <c r="O991">
        <v>449</v>
      </c>
      <c r="P991">
        <v>0</v>
      </c>
      <c r="Q991" t="s">
        <v>49</v>
      </c>
      <c r="R991">
        <v>31</v>
      </c>
      <c r="S991" t="s">
        <v>28</v>
      </c>
    </row>
    <row r="992" spans="1:19" x14ac:dyDescent="0.3">
      <c r="A992" t="s">
        <v>2743</v>
      </c>
      <c r="B992" s="2">
        <v>45436</v>
      </c>
      <c r="C992" t="s">
        <v>71</v>
      </c>
      <c r="D992" t="s">
        <v>21</v>
      </c>
      <c r="E992" t="s">
        <v>2744</v>
      </c>
      <c r="F992" t="s">
        <v>87</v>
      </c>
      <c r="G992" t="s">
        <v>201</v>
      </c>
      <c r="H992" t="s">
        <v>80</v>
      </c>
      <c r="I992" t="s">
        <v>26</v>
      </c>
      <c r="J992">
        <v>2</v>
      </c>
      <c r="K992">
        <v>344</v>
      </c>
      <c r="L992">
        <v>688</v>
      </c>
      <c r="M992">
        <v>4.5</v>
      </c>
      <c r="N992">
        <v>43</v>
      </c>
      <c r="P992">
        <v>0</v>
      </c>
      <c r="Q992" t="s">
        <v>34</v>
      </c>
      <c r="R992">
        <v>22</v>
      </c>
      <c r="S992" t="s">
        <v>41</v>
      </c>
    </row>
    <row r="993" spans="1:19" x14ac:dyDescent="0.3">
      <c r="A993" t="s">
        <v>2745</v>
      </c>
      <c r="B993" s="2">
        <v>45376</v>
      </c>
      <c r="C993" t="s">
        <v>55</v>
      </c>
      <c r="D993" t="s">
        <v>44</v>
      </c>
      <c r="E993" t="s">
        <v>2746</v>
      </c>
      <c r="F993" t="s">
        <v>78</v>
      </c>
      <c r="G993" t="s">
        <v>227</v>
      </c>
      <c r="H993" t="s">
        <v>80</v>
      </c>
      <c r="I993" t="s">
        <v>26</v>
      </c>
      <c r="J993">
        <v>4</v>
      </c>
      <c r="K993">
        <v>451</v>
      </c>
      <c r="L993">
        <v>1804</v>
      </c>
      <c r="M993">
        <v>4.4000000000000004</v>
      </c>
      <c r="N993">
        <v>49</v>
      </c>
      <c r="O993">
        <v>120</v>
      </c>
      <c r="P993">
        <v>20</v>
      </c>
      <c r="Q993" t="s">
        <v>34</v>
      </c>
      <c r="R993">
        <v>35</v>
      </c>
      <c r="S993" t="s">
        <v>41</v>
      </c>
    </row>
    <row r="994" spans="1:19" x14ac:dyDescent="0.3">
      <c r="A994" t="s">
        <v>2747</v>
      </c>
      <c r="B994" s="2">
        <v>45369</v>
      </c>
      <c r="C994" t="s">
        <v>55</v>
      </c>
      <c r="D994" t="s">
        <v>44</v>
      </c>
      <c r="E994" t="s">
        <v>2748</v>
      </c>
      <c r="F994" t="s">
        <v>824</v>
      </c>
      <c r="G994" t="s">
        <v>2749</v>
      </c>
      <c r="H994" t="s">
        <v>53</v>
      </c>
      <c r="I994" t="s">
        <v>26</v>
      </c>
      <c r="J994">
        <v>3</v>
      </c>
      <c r="K994">
        <v>497</v>
      </c>
      <c r="L994">
        <v>1491</v>
      </c>
      <c r="O994">
        <v>399</v>
      </c>
      <c r="P994">
        <v>0</v>
      </c>
      <c r="Q994" t="s">
        <v>49</v>
      </c>
      <c r="R994">
        <v>41</v>
      </c>
      <c r="S994" t="s">
        <v>41</v>
      </c>
    </row>
    <row r="995" spans="1:19" x14ac:dyDescent="0.3">
      <c r="A995" t="s">
        <v>2750</v>
      </c>
      <c r="B995" s="2">
        <v>45492</v>
      </c>
      <c r="C995" t="s">
        <v>59</v>
      </c>
      <c r="D995" t="s">
        <v>21</v>
      </c>
      <c r="E995" t="s">
        <v>2751</v>
      </c>
      <c r="F995" t="s">
        <v>115</v>
      </c>
      <c r="G995" t="s">
        <v>2752</v>
      </c>
      <c r="H995" t="s">
        <v>64</v>
      </c>
      <c r="I995" t="s">
        <v>26</v>
      </c>
      <c r="J995">
        <v>4</v>
      </c>
      <c r="K995">
        <v>362</v>
      </c>
      <c r="L995">
        <v>1448</v>
      </c>
      <c r="M995">
        <v>4</v>
      </c>
      <c r="N995">
        <v>42</v>
      </c>
      <c r="O995">
        <v>449</v>
      </c>
      <c r="P995">
        <v>0</v>
      </c>
      <c r="Q995" t="s">
        <v>34</v>
      </c>
      <c r="R995">
        <v>31</v>
      </c>
      <c r="S995" t="s">
        <v>41</v>
      </c>
    </row>
    <row r="996" spans="1:19" x14ac:dyDescent="0.3">
      <c r="A996" t="s">
        <v>2753</v>
      </c>
      <c r="B996" s="2">
        <v>45401</v>
      </c>
      <c r="C996" t="s">
        <v>20</v>
      </c>
      <c r="D996" t="s">
        <v>21</v>
      </c>
      <c r="E996" t="s">
        <v>2754</v>
      </c>
      <c r="F996" t="s">
        <v>115</v>
      </c>
      <c r="G996" t="s">
        <v>2755</v>
      </c>
      <c r="H996" t="s">
        <v>53</v>
      </c>
      <c r="I996" t="s">
        <v>26</v>
      </c>
      <c r="J996">
        <v>2</v>
      </c>
      <c r="K996">
        <v>262</v>
      </c>
      <c r="L996">
        <v>524</v>
      </c>
      <c r="M996">
        <v>4</v>
      </c>
      <c r="N996">
        <v>46</v>
      </c>
      <c r="P996">
        <v>0</v>
      </c>
      <c r="Q996" t="s">
        <v>27</v>
      </c>
      <c r="R996">
        <v>19</v>
      </c>
      <c r="S996" t="s">
        <v>41</v>
      </c>
    </row>
    <row r="997" spans="1:19" x14ac:dyDescent="0.3">
      <c r="A997" t="s">
        <v>2756</v>
      </c>
      <c r="B997" s="2">
        <v>45292</v>
      </c>
      <c r="C997" t="s">
        <v>43</v>
      </c>
      <c r="D997" t="s">
        <v>44</v>
      </c>
      <c r="E997" t="s">
        <v>2757</v>
      </c>
      <c r="F997" t="s">
        <v>46</v>
      </c>
      <c r="G997" t="s">
        <v>2098</v>
      </c>
      <c r="H997" t="s">
        <v>80</v>
      </c>
      <c r="I997" t="s">
        <v>26</v>
      </c>
      <c r="J997">
        <v>1</v>
      </c>
      <c r="K997">
        <v>160</v>
      </c>
      <c r="L997">
        <v>160</v>
      </c>
      <c r="M997">
        <v>3</v>
      </c>
      <c r="N997">
        <v>54</v>
      </c>
      <c r="O997">
        <v>250</v>
      </c>
      <c r="P997">
        <v>50</v>
      </c>
      <c r="Q997" t="s">
        <v>34</v>
      </c>
      <c r="R997">
        <v>49</v>
      </c>
      <c r="S997" t="s">
        <v>41</v>
      </c>
    </row>
    <row r="998" spans="1:19" x14ac:dyDescent="0.3">
      <c r="A998" t="s">
        <v>2758</v>
      </c>
      <c r="B998" s="2">
        <v>45342</v>
      </c>
      <c r="C998" t="s">
        <v>113</v>
      </c>
      <c r="D998" t="s">
        <v>36</v>
      </c>
      <c r="E998" t="s">
        <v>2759</v>
      </c>
      <c r="F998" t="s">
        <v>62</v>
      </c>
      <c r="G998" t="s">
        <v>2760</v>
      </c>
      <c r="H998" t="s">
        <v>40</v>
      </c>
      <c r="I998" t="s">
        <v>26</v>
      </c>
      <c r="J998">
        <v>4</v>
      </c>
      <c r="K998">
        <v>542</v>
      </c>
      <c r="L998">
        <v>2168</v>
      </c>
      <c r="M998">
        <v>3.7</v>
      </c>
      <c r="N998">
        <v>46</v>
      </c>
      <c r="P998">
        <v>0</v>
      </c>
      <c r="Q998" t="s">
        <v>49</v>
      </c>
      <c r="R998">
        <v>43</v>
      </c>
      <c r="S998" t="s">
        <v>41</v>
      </c>
    </row>
    <row r="999" spans="1:19" x14ac:dyDescent="0.3">
      <c r="A999" t="s">
        <v>2761</v>
      </c>
      <c r="B999" s="2">
        <v>45464</v>
      </c>
      <c r="C999" t="s">
        <v>30</v>
      </c>
      <c r="D999" t="s">
        <v>21</v>
      </c>
      <c r="E999" t="s">
        <v>2762</v>
      </c>
      <c r="F999" t="s">
        <v>46</v>
      </c>
      <c r="G999" t="s">
        <v>186</v>
      </c>
      <c r="H999" t="s">
        <v>80</v>
      </c>
      <c r="I999" t="s">
        <v>26</v>
      </c>
      <c r="J999">
        <v>4</v>
      </c>
      <c r="K999">
        <v>377</v>
      </c>
      <c r="L999">
        <v>1508</v>
      </c>
      <c r="P999">
        <v>0</v>
      </c>
      <c r="Q999" t="s">
        <v>49</v>
      </c>
      <c r="R999">
        <v>29</v>
      </c>
      <c r="S999" t="s">
        <v>28</v>
      </c>
    </row>
    <row r="1000" spans="1:19" x14ac:dyDescent="0.3">
      <c r="A1000" t="s">
        <v>2763</v>
      </c>
      <c r="B1000" s="2">
        <v>45496</v>
      </c>
      <c r="C1000" t="s">
        <v>59</v>
      </c>
      <c r="D1000" t="s">
        <v>36</v>
      </c>
      <c r="E1000" t="s">
        <v>2764</v>
      </c>
      <c r="F1000" t="s">
        <v>115</v>
      </c>
      <c r="G1000" t="s">
        <v>418</v>
      </c>
      <c r="H1000" t="s">
        <v>80</v>
      </c>
      <c r="I1000" t="s">
        <v>26</v>
      </c>
      <c r="J1000">
        <v>2</v>
      </c>
      <c r="K1000">
        <v>566</v>
      </c>
      <c r="L1000">
        <v>1132</v>
      </c>
      <c r="P1000">
        <v>0</v>
      </c>
      <c r="Q1000" t="s">
        <v>27</v>
      </c>
      <c r="R1000">
        <v>39</v>
      </c>
      <c r="S1000" t="s">
        <v>41</v>
      </c>
    </row>
    <row r="1001" spans="1:19" x14ac:dyDescent="0.3">
      <c r="A1001" t="s">
        <v>2765</v>
      </c>
      <c r="B1001" s="2">
        <v>45295</v>
      </c>
      <c r="C1001" t="s">
        <v>43</v>
      </c>
      <c r="D1001" t="s">
        <v>92</v>
      </c>
      <c r="E1001" t="s">
        <v>2766</v>
      </c>
      <c r="F1001" t="s">
        <v>713</v>
      </c>
      <c r="G1001" t="s">
        <v>2767</v>
      </c>
      <c r="H1001" t="s">
        <v>48</v>
      </c>
      <c r="I1001" t="s">
        <v>33</v>
      </c>
      <c r="J1001">
        <v>2</v>
      </c>
      <c r="K1001">
        <v>404</v>
      </c>
      <c r="L1001">
        <v>808</v>
      </c>
      <c r="M1001">
        <v>3.9</v>
      </c>
      <c r="N1001">
        <v>32</v>
      </c>
      <c r="P1001">
        <v>0</v>
      </c>
      <c r="Q1001" t="s">
        <v>75</v>
      </c>
      <c r="R1001">
        <v>41</v>
      </c>
      <c r="S1001" t="s">
        <v>41</v>
      </c>
    </row>
    <row r="1002" spans="1:19" x14ac:dyDescent="0.3">
      <c r="A1002" t="s">
        <v>2768</v>
      </c>
      <c r="B1002" s="2">
        <v>45481</v>
      </c>
      <c r="C1002" t="s">
        <v>59</v>
      </c>
      <c r="D1002" t="s">
        <v>44</v>
      </c>
      <c r="E1002" t="s">
        <v>2769</v>
      </c>
      <c r="F1002" t="s">
        <v>115</v>
      </c>
      <c r="G1002" t="s">
        <v>53</v>
      </c>
      <c r="H1002" t="s">
        <v>53</v>
      </c>
      <c r="I1002" t="s">
        <v>26</v>
      </c>
      <c r="J1002">
        <v>4</v>
      </c>
      <c r="K1002">
        <v>224</v>
      </c>
      <c r="L1002">
        <v>896</v>
      </c>
      <c r="M1002">
        <v>4.7</v>
      </c>
      <c r="N1002">
        <v>29</v>
      </c>
      <c r="P1002">
        <v>0</v>
      </c>
      <c r="Q1002" t="s">
        <v>49</v>
      </c>
      <c r="R1002">
        <v>23</v>
      </c>
      <c r="S1002" t="s">
        <v>28</v>
      </c>
    </row>
    <row r="1003" spans="1:19" x14ac:dyDescent="0.3">
      <c r="A1003" t="s">
        <v>2770</v>
      </c>
      <c r="B1003" s="2">
        <v>45484</v>
      </c>
      <c r="C1003" t="s">
        <v>59</v>
      </c>
      <c r="D1003" t="s">
        <v>92</v>
      </c>
      <c r="E1003" t="s">
        <v>2771</v>
      </c>
      <c r="F1003" t="s">
        <v>115</v>
      </c>
      <c r="G1003" t="s">
        <v>2772</v>
      </c>
      <c r="H1003" t="s">
        <v>64</v>
      </c>
      <c r="I1003" t="s">
        <v>26</v>
      </c>
      <c r="J1003">
        <v>3</v>
      </c>
      <c r="K1003">
        <v>321</v>
      </c>
      <c r="L1003">
        <v>963</v>
      </c>
      <c r="M1003">
        <v>4.3</v>
      </c>
      <c r="N1003">
        <v>26</v>
      </c>
      <c r="P1003">
        <v>0</v>
      </c>
      <c r="Q1003" t="s">
        <v>27</v>
      </c>
      <c r="R1003">
        <v>21</v>
      </c>
      <c r="S1003" t="s">
        <v>41</v>
      </c>
    </row>
    <row r="1004" spans="1:19" x14ac:dyDescent="0.3">
      <c r="A1004" t="s">
        <v>2773</v>
      </c>
      <c r="B1004" s="2">
        <v>45404</v>
      </c>
      <c r="C1004" t="s">
        <v>20</v>
      </c>
      <c r="D1004" t="s">
        <v>44</v>
      </c>
      <c r="E1004" t="s">
        <v>2774</v>
      </c>
      <c r="F1004" t="s">
        <v>115</v>
      </c>
      <c r="G1004" t="s">
        <v>2775</v>
      </c>
      <c r="H1004" t="s">
        <v>64</v>
      </c>
      <c r="I1004" t="s">
        <v>26</v>
      </c>
      <c r="J1004">
        <v>4</v>
      </c>
      <c r="K1004">
        <v>569</v>
      </c>
      <c r="L1004">
        <v>2276</v>
      </c>
      <c r="M1004">
        <v>4.2</v>
      </c>
      <c r="N1004">
        <v>32</v>
      </c>
      <c r="P1004">
        <v>0</v>
      </c>
      <c r="Q1004" t="s">
        <v>34</v>
      </c>
      <c r="R1004">
        <v>30</v>
      </c>
      <c r="S1004" t="s">
        <v>41</v>
      </c>
    </row>
    <row r="1005" spans="1:19" x14ac:dyDescent="0.3">
      <c r="A1005" t="s">
        <v>2776</v>
      </c>
      <c r="B1005" s="2">
        <v>45523</v>
      </c>
      <c r="C1005" t="s">
        <v>82</v>
      </c>
      <c r="D1005" t="s">
        <v>44</v>
      </c>
      <c r="E1005" t="s">
        <v>2777</v>
      </c>
      <c r="F1005" t="s">
        <v>2778</v>
      </c>
      <c r="G1005" t="s">
        <v>2779</v>
      </c>
      <c r="H1005" t="s">
        <v>64</v>
      </c>
      <c r="I1005" t="s">
        <v>26</v>
      </c>
      <c r="J1005">
        <v>2</v>
      </c>
      <c r="K1005">
        <v>426</v>
      </c>
      <c r="L1005">
        <v>852</v>
      </c>
      <c r="M1005">
        <v>2</v>
      </c>
      <c r="N1005">
        <v>29</v>
      </c>
      <c r="P1005">
        <v>0</v>
      </c>
      <c r="Q1005" t="s">
        <v>34</v>
      </c>
      <c r="R1005">
        <v>21</v>
      </c>
      <c r="S1005" t="s">
        <v>28</v>
      </c>
    </row>
    <row r="1006" spans="1:19" x14ac:dyDescent="0.3">
      <c r="A1006" t="s">
        <v>2780</v>
      </c>
      <c r="B1006" s="2">
        <v>45323</v>
      </c>
      <c r="C1006" t="s">
        <v>113</v>
      </c>
      <c r="D1006" t="s">
        <v>92</v>
      </c>
      <c r="E1006" t="s">
        <v>2781</v>
      </c>
      <c r="F1006" t="s">
        <v>450</v>
      </c>
      <c r="G1006" t="s">
        <v>2782</v>
      </c>
      <c r="H1006" t="s">
        <v>40</v>
      </c>
      <c r="I1006" t="s">
        <v>26</v>
      </c>
      <c r="J1006">
        <v>1</v>
      </c>
      <c r="K1006">
        <v>450</v>
      </c>
      <c r="L1006">
        <v>450</v>
      </c>
      <c r="M1006">
        <v>4.0999999999999996</v>
      </c>
      <c r="N1006">
        <v>47</v>
      </c>
      <c r="P1006">
        <v>0</v>
      </c>
      <c r="Q1006" t="s">
        <v>27</v>
      </c>
      <c r="R1006">
        <v>39</v>
      </c>
      <c r="S1006" t="s">
        <v>41</v>
      </c>
    </row>
    <row r="1007" spans="1:19" x14ac:dyDescent="0.3">
      <c r="A1007" t="s">
        <v>2783</v>
      </c>
      <c r="B1007" s="2">
        <v>45325</v>
      </c>
      <c r="C1007" t="s">
        <v>113</v>
      </c>
      <c r="D1007" t="s">
        <v>100</v>
      </c>
      <c r="E1007" t="s">
        <v>2784</v>
      </c>
      <c r="F1007" t="s">
        <v>115</v>
      </c>
      <c r="G1007" t="s">
        <v>410</v>
      </c>
      <c r="H1007" t="s">
        <v>64</v>
      </c>
      <c r="I1007" t="s">
        <v>26</v>
      </c>
      <c r="J1007">
        <v>1</v>
      </c>
      <c r="K1007">
        <v>580</v>
      </c>
      <c r="L1007">
        <v>580</v>
      </c>
      <c r="M1007">
        <v>3.8</v>
      </c>
      <c r="N1007">
        <v>33</v>
      </c>
      <c r="O1007">
        <v>449</v>
      </c>
      <c r="P1007">
        <v>0</v>
      </c>
      <c r="Q1007" t="s">
        <v>27</v>
      </c>
      <c r="R1007">
        <v>31</v>
      </c>
      <c r="S1007" t="s">
        <v>41</v>
      </c>
    </row>
    <row r="1008" spans="1:19" x14ac:dyDescent="0.3">
      <c r="A1008" t="s">
        <v>2785</v>
      </c>
      <c r="B1008" s="2">
        <v>45383</v>
      </c>
      <c r="C1008" t="s">
        <v>20</v>
      </c>
      <c r="D1008" t="s">
        <v>44</v>
      </c>
      <c r="E1008" t="s">
        <v>2786</v>
      </c>
      <c r="F1008" t="s">
        <v>713</v>
      </c>
      <c r="G1008" t="s">
        <v>2787</v>
      </c>
      <c r="H1008" t="s">
        <v>80</v>
      </c>
      <c r="I1008" t="s">
        <v>26</v>
      </c>
      <c r="J1008">
        <v>3</v>
      </c>
      <c r="K1008">
        <v>385</v>
      </c>
      <c r="L1008">
        <v>1155</v>
      </c>
      <c r="M1008">
        <v>3.4</v>
      </c>
      <c r="N1008">
        <v>44</v>
      </c>
      <c r="P1008">
        <v>0</v>
      </c>
      <c r="Q1008" t="s">
        <v>49</v>
      </c>
      <c r="R1008">
        <v>48</v>
      </c>
      <c r="S1008" t="s">
        <v>41</v>
      </c>
    </row>
    <row r="1009" spans="1:19" x14ac:dyDescent="0.3">
      <c r="A1009" t="s">
        <v>2788</v>
      </c>
      <c r="B1009" s="2">
        <v>45386</v>
      </c>
      <c r="C1009" t="s">
        <v>20</v>
      </c>
      <c r="D1009" t="s">
        <v>92</v>
      </c>
      <c r="E1009" t="s">
        <v>2789</v>
      </c>
      <c r="F1009" t="s">
        <v>46</v>
      </c>
      <c r="G1009" t="s">
        <v>186</v>
      </c>
      <c r="H1009" t="s">
        <v>80</v>
      </c>
      <c r="I1009" t="s">
        <v>26</v>
      </c>
      <c r="J1009">
        <v>4</v>
      </c>
      <c r="K1009">
        <v>517</v>
      </c>
      <c r="L1009">
        <v>2068</v>
      </c>
      <c r="M1009">
        <v>4.3</v>
      </c>
      <c r="N1009">
        <v>36</v>
      </c>
      <c r="O1009">
        <v>50</v>
      </c>
      <c r="P1009">
        <v>20</v>
      </c>
      <c r="Q1009" t="s">
        <v>34</v>
      </c>
      <c r="R1009">
        <v>33</v>
      </c>
      <c r="S1009" t="s">
        <v>41</v>
      </c>
    </row>
    <row r="1010" spans="1:19" x14ac:dyDescent="0.3">
      <c r="A1010" t="s">
        <v>2790</v>
      </c>
      <c r="B1010" s="2">
        <v>45363</v>
      </c>
      <c r="C1010" t="s">
        <v>55</v>
      </c>
      <c r="D1010" t="s">
        <v>36</v>
      </c>
      <c r="E1010" t="s">
        <v>2791</v>
      </c>
      <c r="F1010" t="s">
        <v>87</v>
      </c>
      <c r="G1010" t="s">
        <v>154</v>
      </c>
      <c r="H1010" t="s">
        <v>80</v>
      </c>
      <c r="I1010" t="s">
        <v>26</v>
      </c>
      <c r="J1010">
        <v>1</v>
      </c>
      <c r="K1010">
        <v>329</v>
      </c>
      <c r="L1010">
        <v>329</v>
      </c>
      <c r="M1010">
        <v>4.4000000000000004</v>
      </c>
      <c r="N1010">
        <v>34</v>
      </c>
      <c r="P1010">
        <v>0</v>
      </c>
      <c r="Q1010" t="s">
        <v>27</v>
      </c>
      <c r="R1010">
        <v>46</v>
      </c>
      <c r="S1010" t="s">
        <v>41</v>
      </c>
    </row>
    <row r="1011" spans="1:19" x14ac:dyDescent="0.3">
      <c r="A1011" t="s">
        <v>2792</v>
      </c>
      <c r="B1011" s="2">
        <v>45330</v>
      </c>
      <c r="C1011" t="s">
        <v>113</v>
      </c>
      <c r="D1011" t="s">
        <v>92</v>
      </c>
      <c r="E1011" t="s">
        <v>2793</v>
      </c>
      <c r="F1011" t="s">
        <v>62</v>
      </c>
      <c r="G1011" t="s">
        <v>373</v>
      </c>
      <c r="H1011" t="s">
        <v>80</v>
      </c>
      <c r="I1011" t="s">
        <v>26</v>
      </c>
      <c r="J1011">
        <v>4</v>
      </c>
      <c r="K1011">
        <v>170</v>
      </c>
      <c r="L1011">
        <v>680</v>
      </c>
      <c r="M1011">
        <v>4.2</v>
      </c>
      <c r="N1011">
        <v>39</v>
      </c>
      <c r="P1011">
        <v>0</v>
      </c>
      <c r="Q1011" t="s">
        <v>34</v>
      </c>
      <c r="R1011">
        <v>21</v>
      </c>
      <c r="S1011" t="s">
        <v>41</v>
      </c>
    </row>
    <row r="1012" spans="1:19" x14ac:dyDescent="0.3">
      <c r="A1012" t="s">
        <v>2794</v>
      </c>
      <c r="B1012" s="2">
        <v>45445</v>
      </c>
      <c r="C1012" t="s">
        <v>30</v>
      </c>
      <c r="D1012" t="s">
        <v>60</v>
      </c>
      <c r="E1012" t="s">
        <v>2795</v>
      </c>
      <c r="F1012" t="s">
        <v>192</v>
      </c>
      <c r="G1012" t="s">
        <v>418</v>
      </c>
      <c r="H1012" t="s">
        <v>80</v>
      </c>
      <c r="I1012" t="s">
        <v>26</v>
      </c>
      <c r="J1012">
        <v>2</v>
      </c>
      <c r="K1012">
        <v>237</v>
      </c>
      <c r="L1012">
        <v>474</v>
      </c>
      <c r="M1012">
        <v>4.7</v>
      </c>
      <c r="N1012">
        <v>34</v>
      </c>
      <c r="P1012">
        <v>0</v>
      </c>
      <c r="Q1012" t="s">
        <v>27</v>
      </c>
      <c r="R1012">
        <v>41</v>
      </c>
      <c r="S1012" t="s">
        <v>28</v>
      </c>
    </row>
    <row r="1013" spans="1:19" x14ac:dyDescent="0.3">
      <c r="A1013" t="s">
        <v>2796</v>
      </c>
      <c r="B1013" s="2">
        <v>45453</v>
      </c>
      <c r="C1013" t="s">
        <v>30</v>
      </c>
      <c r="D1013" t="s">
        <v>44</v>
      </c>
      <c r="E1013" t="s">
        <v>2797</v>
      </c>
      <c r="F1013" t="s">
        <v>46</v>
      </c>
      <c r="G1013" t="s">
        <v>64</v>
      </c>
      <c r="H1013" t="s">
        <v>64</v>
      </c>
      <c r="I1013" t="s">
        <v>26</v>
      </c>
      <c r="J1013">
        <v>1</v>
      </c>
      <c r="K1013">
        <v>320</v>
      </c>
      <c r="L1013">
        <v>320</v>
      </c>
      <c r="M1013">
        <v>3.9</v>
      </c>
      <c r="N1013">
        <v>30</v>
      </c>
      <c r="P1013">
        <v>0</v>
      </c>
      <c r="Q1013" t="s">
        <v>34</v>
      </c>
      <c r="R1013">
        <v>42</v>
      </c>
      <c r="S1013" t="s">
        <v>41</v>
      </c>
    </row>
    <row r="1014" spans="1:19" x14ac:dyDescent="0.3">
      <c r="A1014" t="s">
        <v>2798</v>
      </c>
      <c r="B1014" s="2">
        <v>45473</v>
      </c>
      <c r="C1014" t="s">
        <v>30</v>
      </c>
      <c r="D1014" t="s">
        <v>60</v>
      </c>
      <c r="E1014" t="s">
        <v>2799</v>
      </c>
      <c r="F1014" t="s">
        <v>713</v>
      </c>
      <c r="G1014" t="s">
        <v>186</v>
      </c>
      <c r="H1014" t="s">
        <v>80</v>
      </c>
      <c r="I1014" t="s">
        <v>26</v>
      </c>
      <c r="J1014">
        <v>3</v>
      </c>
      <c r="K1014">
        <v>496</v>
      </c>
      <c r="L1014">
        <v>1488</v>
      </c>
      <c r="M1014">
        <v>4.3</v>
      </c>
      <c r="N1014">
        <v>31</v>
      </c>
      <c r="O1014">
        <v>449</v>
      </c>
      <c r="P1014">
        <v>0</v>
      </c>
      <c r="Q1014" t="s">
        <v>75</v>
      </c>
      <c r="R1014">
        <v>49</v>
      </c>
      <c r="S1014" t="s">
        <v>41</v>
      </c>
    </row>
    <row r="1015" spans="1:19" x14ac:dyDescent="0.3">
      <c r="A1015" t="s">
        <v>2800</v>
      </c>
      <c r="B1015" s="2">
        <v>45409</v>
      </c>
      <c r="C1015" t="s">
        <v>20</v>
      </c>
      <c r="D1015" t="s">
        <v>100</v>
      </c>
      <c r="E1015" t="s">
        <v>2801</v>
      </c>
      <c r="F1015" t="s">
        <v>46</v>
      </c>
      <c r="G1015" t="s">
        <v>80</v>
      </c>
      <c r="H1015" t="s">
        <v>80</v>
      </c>
      <c r="I1015" t="s">
        <v>26</v>
      </c>
      <c r="J1015">
        <v>2</v>
      </c>
      <c r="K1015">
        <v>158</v>
      </c>
      <c r="L1015">
        <v>316</v>
      </c>
      <c r="M1015">
        <v>4.0999999999999996</v>
      </c>
      <c r="N1015">
        <v>35</v>
      </c>
      <c r="P1015">
        <v>0</v>
      </c>
      <c r="Q1015" t="s">
        <v>49</v>
      </c>
      <c r="R1015">
        <v>18</v>
      </c>
      <c r="S1015" t="s">
        <v>28</v>
      </c>
    </row>
    <row r="1016" spans="1:19" x14ac:dyDescent="0.3">
      <c r="A1016" t="s">
        <v>2802</v>
      </c>
      <c r="B1016" s="2">
        <v>45294</v>
      </c>
      <c r="C1016" t="s">
        <v>43</v>
      </c>
      <c r="D1016" t="s">
        <v>72</v>
      </c>
      <c r="E1016" t="s">
        <v>2803</v>
      </c>
      <c r="F1016" t="s">
        <v>450</v>
      </c>
      <c r="G1016" t="s">
        <v>366</v>
      </c>
      <c r="H1016" t="s">
        <v>53</v>
      </c>
      <c r="I1016" t="s">
        <v>26</v>
      </c>
      <c r="J1016">
        <v>3</v>
      </c>
      <c r="K1016">
        <v>147</v>
      </c>
      <c r="L1016">
        <v>441</v>
      </c>
      <c r="M1016">
        <v>4.5999999999999996</v>
      </c>
      <c r="N1016">
        <v>37</v>
      </c>
      <c r="P1016">
        <v>0</v>
      </c>
      <c r="Q1016" t="s">
        <v>34</v>
      </c>
      <c r="R1016">
        <v>30</v>
      </c>
      <c r="S1016" t="s">
        <v>28</v>
      </c>
    </row>
    <row r="1017" spans="1:19" x14ac:dyDescent="0.3">
      <c r="A1017" t="s">
        <v>2804</v>
      </c>
      <c r="B1017" s="2">
        <v>45414</v>
      </c>
      <c r="C1017" t="s">
        <v>71</v>
      </c>
      <c r="D1017" t="s">
        <v>92</v>
      </c>
      <c r="E1017" t="s">
        <v>2805</v>
      </c>
      <c r="F1017" t="s">
        <v>46</v>
      </c>
      <c r="G1017" t="s">
        <v>94</v>
      </c>
      <c r="H1017" t="s">
        <v>80</v>
      </c>
      <c r="I1017" t="s">
        <v>26</v>
      </c>
      <c r="J1017">
        <v>2</v>
      </c>
      <c r="K1017">
        <v>378</v>
      </c>
      <c r="L1017">
        <v>756</v>
      </c>
      <c r="P1017">
        <v>0</v>
      </c>
      <c r="Q1017" t="s">
        <v>75</v>
      </c>
      <c r="R1017">
        <v>21</v>
      </c>
      <c r="S1017" t="s">
        <v>41</v>
      </c>
    </row>
    <row r="1018" spans="1:19" x14ac:dyDescent="0.3">
      <c r="A1018" t="s">
        <v>2806</v>
      </c>
      <c r="B1018" s="2">
        <v>45341</v>
      </c>
      <c r="C1018" t="s">
        <v>113</v>
      </c>
      <c r="D1018" t="s">
        <v>44</v>
      </c>
      <c r="E1018" t="s">
        <v>2807</v>
      </c>
      <c r="F1018" t="s">
        <v>62</v>
      </c>
      <c r="G1018" t="s">
        <v>2264</v>
      </c>
      <c r="H1018" t="s">
        <v>80</v>
      </c>
      <c r="I1018" t="s">
        <v>26</v>
      </c>
      <c r="J1018">
        <v>1</v>
      </c>
      <c r="K1018">
        <v>203</v>
      </c>
      <c r="L1018">
        <v>203</v>
      </c>
      <c r="M1018">
        <v>4.0999999999999996</v>
      </c>
      <c r="N1018">
        <v>35</v>
      </c>
      <c r="P1018">
        <v>0</v>
      </c>
      <c r="Q1018" t="s">
        <v>34</v>
      </c>
      <c r="R1018">
        <v>37</v>
      </c>
      <c r="S1018" t="s">
        <v>28</v>
      </c>
    </row>
    <row r="1019" spans="1:19" x14ac:dyDescent="0.3">
      <c r="A1019" t="s">
        <v>2808</v>
      </c>
      <c r="B1019" s="2">
        <v>45303</v>
      </c>
      <c r="C1019" t="s">
        <v>43</v>
      </c>
      <c r="D1019" t="s">
        <v>21</v>
      </c>
      <c r="E1019" t="s">
        <v>2809</v>
      </c>
      <c r="F1019" t="s">
        <v>46</v>
      </c>
      <c r="G1019" t="s">
        <v>2810</v>
      </c>
      <c r="H1019" t="s">
        <v>80</v>
      </c>
      <c r="I1019" t="s">
        <v>26</v>
      </c>
      <c r="J1019">
        <v>3</v>
      </c>
      <c r="K1019">
        <v>573</v>
      </c>
      <c r="L1019">
        <v>1719</v>
      </c>
      <c r="M1019">
        <v>5</v>
      </c>
      <c r="N1019">
        <v>43</v>
      </c>
      <c r="P1019">
        <v>0</v>
      </c>
      <c r="Q1019" t="s">
        <v>34</v>
      </c>
      <c r="R1019">
        <v>35</v>
      </c>
      <c r="S1019" t="s">
        <v>41</v>
      </c>
    </row>
    <row r="1020" spans="1:19" x14ac:dyDescent="0.3">
      <c r="A1020" t="s">
        <v>2811</v>
      </c>
      <c r="B1020" s="2">
        <v>45484</v>
      </c>
      <c r="C1020" t="s">
        <v>59</v>
      </c>
      <c r="D1020" t="s">
        <v>92</v>
      </c>
      <c r="E1020" t="s">
        <v>2812</v>
      </c>
      <c r="F1020" t="s">
        <v>46</v>
      </c>
      <c r="G1020" t="s">
        <v>2813</v>
      </c>
      <c r="H1020" t="s">
        <v>53</v>
      </c>
      <c r="I1020" t="s">
        <v>26</v>
      </c>
      <c r="J1020">
        <v>3</v>
      </c>
      <c r="K1020">
        <v>274</v>
      </c>
      <c r="L1020">
        <v>822</v>
      </c>
      <c r="P1020">
        <v>0</v>
      </c>
      <c r="Q1020" t="s">
        <v>75</v>
      </c>
      <c r="R1020">
        <v>23</v>
      </c>
      <c r="S1020" t="s">
        <v>41</v>
      </c>
    </row>
    <row r="1021" spans="1:19" x14ac:dyDescent="0.3">
      <c r="A1021" t="s">
        <v>2814</v>
      </c>
      <c r="B1021" s="2">
        <v>45345</v>
      </c>
      <c r="C1021" t="s">
        <v>113</v>
      </c>
      <c r="D1021" t="s">
        <v>21</v>
      </c>
      <c r="E1021" t="s">
        <v>2815</v>
      </c>
      <c r="F1021" t="s">
        <v>23</v>
      </c>
      <c r="G1021" t="s">
        <v>2816</v>
      </c>
      <c r="H1021" t="s">
        <v>80</v>
      </c>
      <c r="I1021" t="s">
        <v>26</v>
      </c>
      <c r="J1021">
        <v>2</v>
      </c>
      <c r="K1021">
        <v>236</v>
      </c>
      <c r="L1021">
        <v>472</v>
      </c>
      <c r="M1021">
        <v>4.5</v>
      </c>
      <c r="N1021">
        <v>26</v>
      </c>
      <c r="O1021">
        <v>50</v>
      </c>
      <c r="P1021">
        <v>20</v>
      </c>
      <c r="Q1021" t="s">
        <v>34</v>
      </c>
      <c r="R1021">
        <v>20</v>
      </c>
      <c r="S1021" t="s">
        <v>28</v>
      </c>
    </row>
    <row r="1022" spans="1:19" x14ac:dyDescent="0.3">
      <c r="A1022" t="s">
        <v>2817</v>
      </c>
      <c r="B1022" s="2">
        <v>45527</v>
      </c>
      <c r="C1022" t="s">
        <v>82</v>
      </c>
      <c r="D1022" t="s">
        <v>21</v>
      </c>
      <c r="E1022" t="s">
        <v>2818</v>
      </c>
      <c r="F1022" t="s">
        <v>517</v>
      </c>
      <c r="G1022" t="s">
        <v>2819</v>
      </c>
      <c r="H1022" t="s">
        <v>80</v>
      </c>
      <c r="I1022" t="s">
        <v>26</v>
      </c>
      <c r="J1022">
        <v>3</v>
      </c>
      <c r="K1022">
        <v>121</v>
      </c>
      <c r="L1022">
        <v>363</v>
      </c>
      <c r="M1022">
        <v>3.6</v>
      </c>
      <c r="N1022">
        <v>41</v>
      </c>
      <c r="O1022">
        <v>200</v>
      </c>
      <c r="P1022">
        <v>40</v>
      </c>
      <c r="Q1022" t="s">
        <v>34</v>
      </c>
      <c r="R1022">
        <v>40</v>
      </c>
      <c r="S1022" t="s">
        <v>41</v>
      </c>
    </row>
    <row r="1023" spans="1:19" x14ac:dyDescent="0.3">
      <c r="A1023" t="s">
        <v>2820</v>
      </c>
      <c r="B1023" s="2">
        <v>45424</v>
      </c>
      <c r="C1023" t="s">
        <v>71</v>
      </c>
      <c r="D1023" t="s">
        <v>60</v>
      </c>
      <c r="E1023" t="s">
        <v>2821</v>
      </c>
      <c r="F1023" t="s">
        <v>115</v>
      </c>
      <c r="G1023" t="s">
        <v>2822</v>
      </c>
      <c r="H1023" t="s">
        <v>80</v>
      </c>
      <c r="I1023" t="s">
        <v>26</v>
      </c>
      <c r="J1023">
        <v>2</v>
      </c>
      <c r="K1023">
        <v>212</v>
      </c>
      <c r="L1023">
        <v>424</v>
      </c>
      <c r="M1023">
        <v>4.3</v>
      </c>
      <c r="N1023">
        <v>42</v>
      </c>
      <c r="P1023">
        <v>0</v>
      </c>
      <c r="Q1023" t="s">
        <v>49</v>
      </c>
      <c r="R1023">
        <v>49</v>
      </c>
      <c r="S1023" t="s">
        <v>41</v>
      </c>
    </row>
    <row r="1024" spans="1:19" x14ac:dyDescent="0.3">
      <c r="A1024" t="s">
        <v>2823</v>
      </c>
      <c r="B1024" s="2">
        <v>45513</v>
      </c>
      <c r="C1024" t="s">
        <v>82</v>
      </c>
      <c r="D1024" t="s">
        <v>21</v>
      </c>
      <c r="E1024" t="s">
        <v>2824</v>
      </c>
      <c r="F1024" t="s">
        <v>2825</v>
      </c>
      <c r="G1024" t="s">
        <v>227</v>
      </c>
      <c r="H1024" t="s">
        <v>80</v>
      </c>
      <c r="I1024" t="s">
        <v>26</v>
      </c>
      <c r="J1024">
        <v>2</v>
      </c>
      <c r="K1024">
        <v>285</v>
      </c>
      <c r="L1024">
        <v>570</v>
      </c>
      <c r="M1024">
        <v>4.0999999999999996</v>
      </c>
      <c r="N1024">
        <v>45</v>
      </c>
      <c r="O1024">
        <v>700</v>
      </c>
      <c r="P1024">
        <v>20</v>
      </c>
      <c r="Q1024" t="s">
        <v>75</v>
      </c>
      <c r="R1024">
        <v>30</v>
      </c>
      <c r="S1024" t="s">
        <v>28</v>
      </c>
    </row>
    <row r="1025" spans="1:19" x14ac:dyDescent="0.3">
      <c r="A1025" t="s">
        <v>2826</v>
      </c>
      <c r="B1025" s="2">
        <v>45513</v>
      </c>
      <c r="C1025" t="s">
        <v>82</v>
      </c>
      <c r="D1025" t="s">
        <v>21</v>
      </c>
      <c r="E1025" t="s">
        <v>2827</v>
      </c>
      <c r="F1025" t="s">
        <v>78</v>
      </c>
      <c r="G1025" t="s">
        <v>2828</v>
      </c>
      <c r="H1025" t="s">
        <v>80</v>
      </c>
      <c r="I1025" t="s">
        <v>26</v>
      </c>
      <c r="J1025">
        <v>2</v>
      </c>
      <c r="K1025">
        <v>506</v>
      </c>
      <c r="L1025">
        <v>1012</v>
      </c>
      <c r="M1025">
        <v>4.3</v>
      </c>
      <c r="N1025">
        <v>52</v>
      </c>
      <c r="O1025">
        <v>700</v>
      </c>
      <c r="P1025">
        <v>20</v>
      </c>
      <c r="Q1025" t="s">
        <v>75</v>
      </c>
      <c r="R1025">
        <v>44</v>
      </c>
      <c r="S1025" t="s">
        <v>28</v>
      </c>
    </row>
    <row r="1026" spans="1:19" x14ac:dyDescent="0.3">
      <c r="A1026" t="s">
        <v>2829</v>
      </c>
      <c r="B1026" s="2">
        <v>45348</v>
      </c>
      <c r="C1026" t="s">
        <v>113</v>
      </c>
      <c r="D1026" t="s">
        <v>44</v>
      </c>
      <c r="E1026" t="s">
        <v>2830</v>
      </c>
      <c r="F1026" t="s">
        <v>192</v>
      </c>
      <c r="G1026" t="s">
        <v>2831</v>
      </c>
      <c r="H1026" t="s">
        <v>80</v>
      </c>
      <c r="I1026" t="s">
        <v>26</v>
      </c>
      <c r="J1026">
        <v>2</v>
      </c>
      <c r="K1026">
        <v>519</v>
      </c>
      <c r="L1026">
        <v>1038</v>
      </c>
      <c r="M1026">
        <v>4.5</v>
      </c>
      <c r="N1026">
        <v>67</v>
      </c>
      <c r="P1026">
        <v>0</v>
      </c>
      <c r="Q1026" t="s">
        <v>27</v>
      </c>
      <c r="R1026">
        <v>33</v>
      </c>
      <c r="S1026" t="s">
        <v>28</v>
      </c>
    </row>
    <row r="1027" spans="1:19" x14ac:dyDescent="0.3">
      <c r="A1027" t="s">
        <v>2832</v>
      </c>
      <c r="B1027" s="2">
        <v>45436</v>
      </c>
      <c r="C1027" t="s">
        <v>71</v>
      </c>
      <c r="D1027" t="s">
        <v>21</v>
      </c>
      <c r="E1027" t="s">
        <v>2833</v>
      </c>
      <c r="F1027" t="s">
        <v>115</v>
      </c>
      <c r="G1027" t="s">
        <v>2834</v>
      </c>
      <c r="H1027" t="s">
        <v>80</v>
      </c>
      <c r="I1027" t="s">
        <v>26</v>
      </c>
      <c r="J1027">
        <v>1</v>
      </c>
      <c r="K1027">
        <v>469</v>
      </c>
      <c r="L1027">
        <v>469</v>
      </c>
      <c r="O1027">
        <v>499</v>
      </c>
      <c r="P1027">
        <v>0</v>
      </c>
      <c r="Q1027" t="s">
        <v>34</v>
      </c>
      <c r="R1027">
        <v>44</v>
      </c>
      <c r="S1027" t="s">
        <v>28</v>
      </c>
    </row>
    <row r="1028" spans="1:19" x14ac:dyDescent="0.3">
      <c r="A1028" t="s">
        <v>2835</v>
      </c>
      <c r="B1028" s="2">
        <v>45403</v>
      </c>
      <c r="C1028" t="s">
        <v>20</v>
      </c>
      <c r="D1028" t="s">
        <v>60</v>
      </c>
      <c r="E1028" t="s">
        <v>2836</v>
      </c>
      <c r="F1028" t="s">
        <v>824</v>
      </c>
      <c r="G1028" t="s">
        <v>594</v>
      </c>
      <c r="H1028" t="s">
        <v>80</v>
      </c>
      <c r="I1028" t="s">
        <v>26</v>
      </c>
      <c r="J1028">
        <v>2</v>
      </c>
      <c r="K1028">
        <v>415</v>
      </c>
      <c r="L1028">
        <v>830</v>
      </c>
      <c r="M1028">
        <v>4.2</v>
      </c>
      <c r="N1028">
        <v>53</v>
      </c>
      <c r="P1028">
        <v>0</v>
      </c>
      <c r="Q1028" t="s">
        <v>49</v>
      </c>
      <c r="R1028">
        <v>22</v>
      </c>
      <c r="S1028" t="s">
        <v>41</v>
      </c>
    </row>
    <row r="1029" spans="1:19" x14ac:dyDescent="0.3">
      <c r="A1029" t="s">
        <v>2837</v>
      </c>
      <c r="B1029" s="2">
        <v>45338</v>
      </c>
      <c r="C1029" t="s">
        <v>113</v>
      </c>
      <c r="D1029" t="s">
        <v>21</v>
      </c>
      <c r="E1029" t="s">
        <v>2838</v>
      </c>
      <c r="F1029" t="s">
        <v>115</v>
      </c>
      <c r="G1029" t="s">
        <v>2839</v>
      </c>
      <c r="H1029" t="s">
        <v>64</v>
      </c>
      <c r="I1029" t="s">
        <v>26</v>
      </c>
      <c r="J1029">
        <v>4</v>
      </c>
      <c r="K1029">
        <v>377</v>
      </c>
      <c r="L1029">
        <v>1508</v>
      </c>
      <c r="O1029">
        <v>125</v>
      </c>
      <c r="P1029">
        <v>20</v>
      </c>
      <c r="Q1029" t="s">
        <v>34</v>
      </c>
      <c r="R1029">
        <v>21</v>
      </c>
      <c r="S1029" t="s">
        <v>28</v>
      </c>
    </row>
    <row r="1030" spans="1:19" x14ac:dyDescent="0.3">
      <c r="A1030" t="s">
        <v>2840</v>
      </c>
      <c r="B1030" s="2">
        <v>45442</v>
      </c>
      <c r="C1030" t="s">
        <v>71</v>
      </c>
      <c r="D1030" t="s">
        <v>92</v>
      </c>
      <c r="E1030" t="s">
        <v>2841</v>
      </c>
      <c r="F1030" t="s">
        <v>78</v>
      </c>
      <c r="G1030" t="s">
        <v>2842</v>
      </c>
      <c r="H1030" t="s">
        <v>80</v>
      </c>
      <c r="I1030" t="s">
        <v>26</v>
      </c>
      <c r="J1030">
        <v>3</v>
      </c>
      <c r="K1030">
        <v>200</v>
      </c>
      <c r="L1030">
        <v>600</v>
      </c>
      <c r="M1030">
        <v>4.2</v>
      </c>
      <c r="N1030">
        <v>53</v>
      </c>
      <c r="P1030">
        <v>0</v>
      </c>
      <c r="Q1030" t="s">
        <v>34</v>
      </c>
      <c r="R1030">
        <v>38</v>
      </c>
      <c r="S1030" t="s">
        <v>28</v>
      </c>
    </row>
    <row r="1031" spans="1:19" x14ac:dyDescent="0.3">
      <c r="A1031" t="s">
        <v>2843</v>
      </c>
      <c r="B1031" s="2">
        <v>45498</v>
      </c>
      <c r="C1031" t="s">
        <v>59</v>
      </c>
      <c r="D1031" t="s">
        <v>92</v>
      </c>
      <c r="E1031" t="s">
        <v>2844</v>
      </c>
      <c r="F1031" t="s">
        <v>87</v>
      </c>
      <c r="G1031" t="s">
        <v>158</v>
      </c>
      <c r="H1031" t="s">
        <v>40</v>
      </c>
      <c r="I1031" t="s">
        <v>26</v>
      </c>
      <c r="J1031">
        <v>4</v>
      </c>
      <c r="K1031">
        <v>544</v>
      </c>
      <c r="L1031">
        <v>2176</v>
      </c>
      <c r="M1031">
        <v>4</v>
      </c>
      <c r="N1031">
        <v>46</v>
      </c>
      <c r="P1031">
        <v>0</v>
      </c>
      <c r="Q1031" t="s">
        <v>27</v>
      </c>
      <c r="R1031">
        <v>25</v>
      </c>
      <c r="S1031" t="s">
        <v>28</v>
      </c>
    </row>
    <row r="1032" spans="1:19" x14ac:dyDescent="0.3">
      <c r="A1032" t="s">
        <v>2845</v>
      </c>
      <c r="B1032" s="2">
        <v>45520</v>
      </c>
      <c r="C1032" t="s">
        <v>82</v>
      </c>
      <c r="D1032" t="s">
        <v>21</v>
      </c>
      <c r="E1032" t="s">
        <v>2846</v>
      </c>
      <c r="F1032" t="s">
        <v>87</v>
      </c>
      <c r="G1032" t="s">
        <v>2847</v>
      </c>
      <c r="H1032" t="s">
        <v>80</v>
      </c>
      <c r="I1032" t="s">
        <v>26</v>
      </c>
      <c r="J1032">
        <v>1</v>
      </c>
      <c r="K1032">
        <v>387</v>
      </c>
      <c r="L1032">
        <v>387</v>
      </c>
      <c r="M1032">
        <v>4.5999999999999996</v>
      </c>
      <c r="N1032">
        <v>42</v>
      </c>
      <c r="P1032">
        <v>0</v>
      </c>
      <c r="Q1032" t="s">
        <v>34</v>
      </c>
      <c r="R1032">
        <v>36</v>
      </c>
      <c r="S1032" t="s">
        <v>28</v>
      </c>
    </row>
    <row r="1033" spans="1:19" x14ac:dyDescent="0.3">
      <c r="A1033" t="s">
        <v>2848</v>
      </c>
      <c r="B1033" s="2">
        <v>45376</v>
      </c>
      <c r="C1033" t="s">
        <v>55</v>
      </c>
      <c r="D1033" t="s">
        <v>44</v>
      </c>
      <c r="E1033" t="s">
        <v>2849</v>
      </c>
      <c r="F1033" t="s">
        <v>78</v>
      </c>
      <c r="G1033" t="s">
        <v>2850</v>
      </c>
      <c r="H1033" t="s">
        <v>64</v>
      </c>
      <c r="I1033" t="s">
        <v>26</v>
      </c>
      <c r="J1033">
        <v>4</v>
      </c>
      <c r="K1033">
        <v>538</v>
      </c>
      <c r="L1033">
        <v>2152</v>
      </c>
      <c r="M1033">
        <v>3.9</v>
      </c>
      <c r="N1033">
        <v>52</v>
      </c>
      <c r="O1033">
        <v>300</v>
      </c>
      <c r="P1033">
        <v>0</v>
      </c>
      <c r="Q1033" t="s">
        <v>49</v>
      </c>
      <c r="R1033">
        <v>31</v>
      </c>
      <c r="S1033" t="s">
        <v>28</v>
      </c>
    </row>
    <row r="1034" spans="1:19" x14ac:dyDescent="0.3">
      <c r="A1034" t="s">
        <v>2851</v>
      </c>
      <c r="B1034" s="2">
        <v>45433</v>
      </c>
      <c r="C1034" t="s">
        <v>71</v>
      </c>
      <c r="D1034" t="s">
        <v>36</v>
      </c>
      <c r="E1034" t="s">
        <v>2852</v>
      </c>
      <c r="F1034" t="s">
        <v>62</v>
      </c>
      <c r="G1034" t="s">
        <v>2853</v>
      </c>
      <c r="H1034" t="s">
        <v>64</v>
      </c>
      <c r="I1034" t="s">
        <v>26</v>
      </c>
      <c r="J1034">
        <v>3</v>
      </c>
      <c r="K1034">
        <v>354</v>
      </c>
      <c r="L1034">
        <v>1062</v>
      </c>
      <c r="M1034">
        <v>4.4000000000000004</v>
      </c>
      <c r="N1034">
        <v>43</v>
      </c>
      <c r="P1034">
        <v>0</v>
      </c>
      <c r="Q1034" t="s">
        <v>49</v>
      </c>
      <c r="R1034">
        <v>24</v>
      </c>
      <c r="S1034" t="s">
        <v>41</v>
      </c>
    </row>
    <row r="1035" spans="1:19" x14ac:dyDescent="0.3">
      <c r="A1035" t="s">
        <v>2854</v>
      </c>
      <c r="B1035" s="2">
        <v>45357</v>
      </c>
      <c r="C1035" t="s">
        <v>55</v>
      </c>
      <c r="D1035" t="s">
        <v>72</v>
      </c>
      <c r="E1035" t="s">
        <v>2855</v>
      </c>
      <c r="F1035" t="s">
        <v>62</v>
      </c>
      <c r="G1035" t="s">
        <v>2856</v>
      </c>
      <c r="H1035" t="s">
        <v>80</v>
      </c>
      <c r="I1035" t="s">
        <v>26</v>
      </c>
      <c r="J1035">
        <v>4</v>
      </c>
      <c r="K1035">
        <v>440</v>
      </c>
      <c r="L1035">
        <v>1760</v>
      </c>
      <c r="M1035">
        <v>4.3</v>
      </c>
      <c r="N1035">
        <v>43</v>
      </c>
      <c r="P1035">
        <v>0</v>
      </c>
      <c r="Q1035" t="s">
        <v>27</v>
      </c>
      <c r="R1035">
        <v>48</v>
      </c>
      <c r="S1035" t="s">
        <v>28</v>
      </c>
    </row>
    <row r="1036" spans="1:19" x14ac:dyDescent="0.3">
      <c r="A1036" t="s">
        <v>2857</v>
      </c>
      <c r="B1036" s="2">
        <v>45366</v>
      </c>
      <c r="C1036" t="s">
        <v>55</v>
      </c>
      <c r="D1036" t="s">
        <v>21</v>
      </c>
      <c r="E1036" t="s">
        <v>2858</v>
      </c>
      <c r="F1036" t="s">
        <v>192</v>
      </c>
      <c r="G1036" t="s">
        <v>2859</v>
      </c>
      <c r="H1036" t="s">
        <v>80</v>
      </c>
      <c r="I1036" t="s">
        <v>26</v>
      </c>
      <c r="J1036">
        <v>1</v>
      </c>
      <c r="K1036">
        <v>430</v>
      </c>
      <c r="L1036">
        <v>430</v>
      </c>
      <c r="M1036">
        <v>4.4000000000000004</v>
      </c>
      <c r="N1036">
        <v>53</v>
      </c>
      <c r="O1036">
        <v>100</v>
      </c>
      <c r="P1036">
        <v>20</v>
      </c>
      <c r="Q1036" t="s">
        <v>34</v>
      </c>
      <c r="R1036">
        <v>31</v>
      </c>
      <c r="S1036" t="s">
        <v>41</v>
      </c>
    </row>
    <row r="1037" spans="1:19" x14ac:dyDescent="0.3">
      <c r="A1037" t="s">
        <v>2860</v>
      </c>
      <c r="B1037" s="2">
        <v>45470</v>
      </c>
      <c r="C1037" t="s">
        <v>30</v>
      </c>
      <c r="D1037" t="s">
        <v>92</v>
      </c>
      <c r="E1037" t="s">
        <v>2861</v>
      </c>
      <c r="F1037" t="s">
        <v>713</v>
      </c>
      <c r="G1037" t="s">
        <v>2862</v>
      </c>
      <c r="H1037" t="s">
        <v>48</v>
      </c>
      <c r="I1037" t="s">
        <v>33</v>
      </c>
      <c r="J1037">
        <v>2</v>
      </c>
      <c r="K1037">
        <v>420</v>
      </c>
      <c r="L1037">
        <v>840</v>
      </c>
      <c r="M1037">
        <v>3.9</v>
      </c>
      <c r="N1037">
        <v>44</v>
      </c>
      <c r="P1037">
        <v>0</v>
      </c>
      <c r="Q1037" t="s">
        <v>49</v>
      </c>
      <c r="R1037">
        <v>23</v>
      </c>
      <c r="S1037" t="s">
        <v>28</v>
      </c>
    </row>
    <row r="1038" spans="1:19" x14ac:dyDescent="0.3">
      <c r="A1038" t="s">
        <v>2863</v>
      </c>
      <c r="B1038" s="2">
        <v>45394</v>
      </c>
      <c r="C1038" t="s">
        <v>20</v>
      </c>
      <c r="D1038" t="s">
        <v>21</v>
      </c>
      <c r="E1038" t="s">
        <v>2864</v>
      </c>
      <c r="F1038" t="s">
        <v>78</v>
      </c>
      <c r="G1038" t="s">
        <v>2865</v>
      </c>
      <c r="H1038" t="s">
        <v>40</v>
      </c>
      <c r="I1038" t="s">
        <v>26</v>
      </c>
      <c r="J1038">
        <v>4</v>
      </c>
      <c r="K1038">
        <v>582</v>
      </c>
      <c r="L1038">
        <v>2328</v>
      </c>
      <c r="M1038">
        <v>3.8</v>
      </c>
      <c r="N1038">
        <v>53</v>
      </c>
      <c r="P1038">
        <v>0</v>
      </c>
      <c r="Q1038" t="s">
        <v>34</v>
      </c>
      <c r="R1038">
        <v>29</v>
      </c>
      <c r="S1038" t="s">
        <v>28</v>
      </c>
    </row>
    <row r="1039" spans="1:19" x14ac:dyDescent="0.3">
      <c r="A1039" t="s">
        <v>2866</v>
      </c>
      <c r="B1039" s="2">
        <v>45457</v>
      </c>
      <c r="C1039" t="s">
        <v>30</v>
      </c>
      <c r="D1039" t="s">
        <v>21</v>
      </c>
      <c r="E1039" t="s">
        <v>2867</v>
      </c>
      <c r="F1039" t="s">
        <v>62</v>
      </c>
      <c r="G1039" t="s">
        <v>227</v>
      </c>
      <c r="H1039" t="s">
        <v>80</v>
      </c>
      <c r="I1039" t="s">
        <v>26</v>
      </c>
      <c r="J1039">
        <v>1</v>
      </c>
      <c r="K1039">
        <v>593</v>
      </c>
      <c r="L1039">
        <v>593</v>
      </c>
      <c r="M1039">
        <v>3.8</v>
      </c>
      <c r="N1039">
        <v>44</v>
      </c>
      <c r="O1039">
        <v>700</v>
      </c>
      <c r="P1039">
        <v>15</v>
      </c>
      <c r="Q1039" t="s">
        <v>34</v>
      </c>
      <c r="R1039">
        <v>33</v>
      </c>
      <c r="S1039" t="s">
        <v>28</v>
      </c>
    </row>
    <row r="1040" spans="1:19" x14ac:dyDescent="0.3">
      <c r="A1040" t="s">
        <v>2868</v>
      </c>
      <c r="B1040" s="2">
        <v>45483</v>
      </c>
      <c r="C1040" t="s">
        <v>59</v>
      </c>
      <c r="D1040" t="s">
        <v>72</v>
      </c>
      <c r="E1040" t="s">
        <v>2869</v>
      </c>
      <c r="F1040" t="s">
        <v>62</v>
      </c>
      <c r="G1040" t="s">
        <v>221</v>
      </c>
      <c r="H1040" t="s">
        <v>80</v>
      </c>
      <c r="I1040" t="s">
        <v>26</v>
      </c>
      <c r="J1040">
        <v>1</v>
      </c>
      <c r="K1040">
        <v>476</v>
      </c>
      <c r="L1040">
        <v>476</v>
      </c>
      <c r="M1040">
        <v>4.5</v>
      </c>
      <c r="N1040">
        <v>46</v>
      </c>
      <c r="P1040">
        <v>0</v>
      </c>
      <c r="Q1040" t="s">
        <v>34</v>
      </c>
      <c r="R1040">
        <v>34</v>
      </c>
      <c r="S1040" t="s">
        <v>28</v>
      </c>
    </row>
    <row r="1041" spans="1:19" x14ac:dyDescent="0.3">
      <c r="A1041" t="s">
        <v>2870</v>
      </c>
      <c r="B1041" s="2">
        <v>45517</v>
      </c>
      <c r="C1041" t="s">
        <v>82</v>
      </c>
      <c r="D1041" t="s">
        <v>36</v>
      </c>
      <c r="E1041" t="s">
        <v>2871</v>
      </c>
      <c r="F1041" t="s">
        <v>517</v>
      </c>
      <c r="G1041" t="s">
        <v>227</v>
      </c>
      <c r="H1041" t="s">
        <v>80</v>
      </c>
      <c r="I1041" t="s">
        <v>26</v>
      </c>
      <c r="J1041">
        <v>3</v>
      </c>
      <c r="K1041">
        <v>332</v>
      </c>
      <c r="L1041">
        <v>996</v>
      </c>
      <c r="M1041">
        <v>4.4000000000000004</v>
      </c>
      <c r="N1041">
        <v>58</v>
      </c>
      <c r="P1041">
        <v>0</v>
      </c>
      <c r="Q1041" t="s">
        <v>27</v>
      </c>
      <c r="R1041">
        <v>30</v>
      </c>
      <c r="S1041" t="s">
        <v>28</v>
      </c>
    </row>
    <row r="1042" spans="1:19" x14ac:dyDescent="0.3">
      <c r="A1042" t="s">
        <v>2872</v>
      </c>
      <c r="B1042" s="2">
        <v>45329</v>
      </c>
      <c r="C1042" t="s">
        <v>113</v>
      </c>
      <c r="D1042" t="s">
        <v>72</v>
      </c>
      <c r="E1042" t="s">
        <v>2873</v>
      </c>
      <c r="F1042" t="s">
        <v>62</v>
      </c>
      <c r="G1042" t="s">
        <v>227</v>
      </c>
      <c r="H1042" t="s">
        <v>80</v>
      </c>
      <c r="I1042" t="s">
        <v>26</v>
      </c>
      <c r="J1042">
        <v>3</v>
      </c>
      <c r="K1042">
        <v>181</v>
      </c>
      <c r="L1042">
        <v>543</v>
      </c>
      <c r="M1042">
        <v>4.3</v>
      </c>
      <c r="N1042">
        <v>43</v>
      </c>
      <c r="P1042">
        <v>0</v>
      </c>
      <c r="Q1042" t="s">
        <v>34</v>
      </c>
      <c r="R1042">
        <v>40</v>
      </c>
      <c r="S1042" t="s">
        <v>28</v>
      </c>
    </row>
    <row r="1043" spans="1:19" x14ac:dyDescent="0.3">
      <c r="A1043" t="s">
        <v>2874</v>
      </c>
      <c r="B1043" s="2">
        <v>45341</v>
      </c>
      <c r="C1043" t="s">
        <v>113</v>
      </c>
      <c r="D1043" t="s">
        <v>44</v>
      </c>
      <c r="E1043" t="s">
        <v>2875</v>
      </c>
      <c r="F1043" t="s">
        <v>78</v>
      </c>
      <c r="G1043" t="s">
        <v>154</v>
      </c>
      <c r="H1043" t="s">
        <v>80</v>
      </c>
      <c r="I1043" t="s">
        <v>26</v>
      </c>
      <c r="J1043">
        <v>4</v>
      </c>
      <c r="K1043">
        <v>168</v>
      </c>
      <c r="L1043">
        <v>672</v>
      </c>
      <c r="M1043">
        <v>4</v>
      </c>
      <c r="N1043">
        <v>74</v>
      </c>
      <c r="O1043">
        <v>999</v>
      </c>
      <c r="P1043">
        <v>0</v>
      </c>
      <c r="Q1043" t="s">
        <v>49</v>
      </c>
      <c r="R1043">
        <v>31</v>
      </c>
      <c r="S1043" t="s">
        <v>28</v>
      </c>
    </row>
    <row r="1044" spans="1:19" x14ac:dyDescent="0.3">
      <c r="A1044" t="s">
        <v>2876</v>
      </c>
      <c r="B1044" s="2">
        <v>45389</v>
      </c>
      <c r="C1044" t="s">
        <v>20</v>
      </c>
      <c r="D1044" t="s">
        <v>60</v>
      </c>
      <c r="E1044" t="s">
        <v>2877</v>
      </c>
      <c r="F1044" t="s">
        <v>2878</v>
      </c>
      <c r="G1044" t="s">
        <v>373</v>
      </c>
      <c r="H1044" t="s">
        <v>80</v>
      </c>
      <c r="I1044" t="s">
        <v>26</v>
      </c>
      <c r="J1044">
        <v>2</v>
      </c>
      <c r="K1044">
        <v>246</v>
      </c>
      <c r="L1044">
        <v>492</v>
      </c>
      <c r="M1044">
        <v>4.3</v>
      </c>
      <c r="N1044">
        <v>42</v>
      </c>
      <c r="P1044">
        <v>0</v>
      </c>
      <c r="Q1044" t="s">
        <v>34</v>
      </c>
      <c r="R1044">
        <v>46</v>
      </c>
      <c r="S1044" t="s">
        <v>28</v>
      </c>
    </row>
    <row r="1045" spans="1:19" x14ac:dyDescent="0.3">
      <c r="A1045" t="s">
        <v>2879</v>
      </c>
      <c r="B1045" s="2">
        <v>45373</v>
      </c>
      <c r="C1045" t="s">
        <v>55</v>
      </c>
      <c r="D1045" t="s">
        <v>21</v>
      </c>
      <c r="E1045" t="s">
        <v>2880</v>
      </c>
      <c r="F1045" t="s">
        <v>956</v>
      </c>
      <c r="G1045" t="s">
        <v>825</v>
      </c>
      <c r="H1045" t="s">
        <v>80</v>
      </c>
      <c r="I1045" t="s">
        <v>26</v>
      </c>
      <c r="J1045">
        <v>1</v>
      </c>
      <c r="K1045">
        <v>342</v>
      </c>
      <c r="L1045">
        <v>342</v>
      </c>
      <c r="M1045">
        <v>4.3</v>
      </c>
      <c r="N1045">
        <v>57</v>
      </c>
      <c r="O1045">
        <v>749</v>
      </c>
      <c r="P1045">
        <v>0</v>
      </c>
      <c r="Q1045" t="s">
        <v>49</v>
      </c>
      <c r="R1045">
        <v>24</v>
      </c>
      <c r="S1045" t="s">
        <v>41</v>
      </c>
    </row>
    <row r="1046" spans="1:19" x14ac:dyDescent="0.3">
      <c r="A1046" t="s">
        <v>2881</v>
      </c>
      <c r="B1046" s="2">
        <v>45321</v>
      </c>
      <c r="C1046" t="s">
        <v>43</v>
      </c>
      <c r="D1046" t="s">
        <v>36</v>
      </c>
      <c r="E1046" t="s">
        <v>2882</v>
      </c>
      <c r="F1046" t="s">
        <v>2883</v>
      </c>
      <c r="G1046" t="s">
        <v>2884</v>
      </c>
      <c r="H1046" t="s">
        <v>64</v>
      </c>
      <c r="I1046" t="s">
        <v>26</v>
      </c>
      <c r="J1046">
        <v>4</v>
      </c>
      <c r="K1046">
        <v>528</v>
      </c>
      <c r="L1046">
        <v>2112</v>
      </c>
      <c r="M1046">
        <v>4</v>
      </c>
      <c r="N1046">
        <v>47</v>
      </c>
      <c r="P1046">
        <v>0</v>
      </c>
      <c r="Q1046" t="s">
        <v>34</v>
      </c>
      <c r="R1046">
        <v>31</v>
      </c>
      <c r="S1046" t="s">
        <v>28</v>
      </c>
    </row>
    <row r="1047" spans="1:19" x14ac:dyDescent="0.3">
      <c r="A1047" t="s">
        <v>2885</v>
      </c>
      <c r="B1047" s="2">
        <v>45370</v>
      </c>
      <c r="C1047" t="s">
        <v>55</v>
      </c>
      <c r="D1047" t="s">
        <v>36</v>
      </c>
      <c r="E1047" t="s">
        <v>2886</v>
      </c>
      <c r="F1047" t="s">
        <v>192</v>
      </c>
      <c r="G1047" t="s">
        <v>227</v>
      </c>
      <c r="H1047" t="s">
        <v>80</v>
      </c>
      <c r="I1047" t="s">
        <v>26</v>
      </c>
      <c r="J1047">
        <v>1</v>
      </c>
      <c r="K1047">
        <v>398</v>
      </c>
      <c r="L1047">
        <v>398</v>
      </c>
      <c r="P1047">
        <v>0</v>
      </c>
      <c r="Q1047" t="s">
        <v>49</v>
      </c>
      <c r="R1047">
        <v>49</v>
      </c>
      <c r="S1047" t="s">
        <v>41</v>
      </c>
    </row>
    <row r="1048" spans="1:19" x14ac:dyDescent="0.3">
      <c r="A1048" t="s">
        <v>2887</v>
      </c>
      <c r="B1048" s="2">
        <v>45382</v>
      </c>
      <c r="C1048" t="s">
        <v>55</v>
      </c>
      <c r="D1048" t="s">
        <v>60</v>
      </c>
      <c r="E1048" t="s">
        <v>2888</v>
      </c>
      <c r="F1048" t="s">
        <v>713</v>
      </c>
      <c r="G1048" t="s">
        <v>2889</v>
      </c>
      <c r="H1048" t="s">
        <v>53</v>
      </c>
      <c r="I1048" t="s">
        <v>26</v>
      </c>
      <c r="J1048">
        <v>1</v>
      </c>
      <c r="K1048">
        <v>527</v>
      </c>
      <c r="L1048">
        <v>527</v>
      </c>
      <c r="M1048">
        <v>4.5</v>
      </c>
      <c r="N1048">
        <v>51</v>
      </c>
      <c r="O1048">
        <v>125</v>
      </c>
      <c r="P1048">
        <v>25</v>
      </c>
      <c r="Q1048" t="s">
        <v>49</v>
      </c>
      <c r="R1048">
        <v>32</v>
      </c>
      <c r="S1048" t="s">
        <v>28</v>
      </c>
    </row>
    <row r="1049" spans="1:19" x14ac:dyDescent="0.3">
      <c r="A1049" t="s">
        <v>2890</v>
      </c>
      <c r="B1049" s="2">
        <v>45470</v>
      </c>
      <c r="C1049" t="s">
        <v>30</v>
      </c>
      <c r="D1049" t="s">
        <v>92</v>
      </c>
      <c r="E1049" t="s">
        <v>2891</v>
      </c>
      <c r="F1049" t="s">
        <v>62</v>
      </c>
      <c r="G1049" t="s">
        <v>158</v>
      </c>
      <c r="H1049" t="s">
        <v>40</v>
      </c>
      <c r="I1049" t="s">
        <v>26</v>
      </c>
      <c r="J1049">
        <v>2</v>
      </c>
      <c r="K1049">
        <v>413</v>
      </c>
      <c r="L1049">
        <v>826</v>
      </c>
      <c r="M1049">
        <v>4.5</v>
      </c>
      <c r="N1049">
        <v>44</v>
      </c>
      <c r="O1049">
        <v>700</v>
      </c>
      <c r="P1049">
        <v>10</v>
      </c>
      <c r="Q1049" t="s">
        <v>34</v>
      </c>
      <c r="R1049">
        <v>29</v>
      </c>
      <c r="S1049" t="s">
        <v>41</v>
      </c>
    </row>
    <row r="1050" spans="1:19" x14ac:dyDescent="0.3">
      <c r="A1050" t="s">
        <v>2892</v>
      </c>
      <c r="B1050" s="2">
        <v>45482</v>
      </c>
      <c r="C1050" t="s">
        <v>59</v>
      </c>
      <c r="D1050" t="s">
        <v>36</v>
      </c>
      <c r="E1050" t="s">
        <v>2893</v>
      </c>
      <c r="F1050" t="s">
        <v>46</v>
      </c>
      <c r="G1050" t="s">
        <v>1365</v>
      </c>
      <c r="H1050" t="s">
        <v>80</v>
      </c>
      <c r="I1050" t="s">
        <v>26</v>
      </c>
      <c r="J1050">
        <v>2</v>
      </c>
      <c r="K1050">
        <v>403</v>
      </c>
      <c r="L1050">
        <v>806</v>
      </c>
      <c r="M1050">
        <v>5</v>
      </c>
      <c r="N1050">
        <v>44</v>
      </c>
      <c r="O1050">
        <v>150</v>
      </c>
      <c r="P1050">
        <v>30</v>
      </c>
      <c r="Q1050" t="s">
        <v>34</v>
      </c>
      <c r="R1050">
        <v>34</v>
      </c>
      <c r="S1050" t="s">
        <v>28</v>
      </c>
    </row>
    <row r="1051" spans="1:19" x14ac:dyDescent="0.3">
      <c r="A1051" t="s">
        <v>2894</v>
      </c>
      <c r="B1051" s="2">
        <v>45517</v>
      </c>
      <c r="C1051" t="s">
        <v>82</v>
      </c>
      <c r="D1051" t="s">
        <v>36</v>
      </c>
      <c r="E1051" t="s">
        <v>2895</v>
      </c>
      <c r="F1051" t="s">
        <v>115</v>
      </c>
      <c r="G1051" t="s">
        <v>2198</v>
      </c>
      <c r="H1051" t="s">
        <v>80</v>
      </c>
      <c r="I1051" t="s">
        <v>26</v>
      </c>
      <c r="J1051">
        <v>4</v>
      </c>
      <c r="K1051">
        <v>396</v>
      </c>
      <c r="L1051">
        <v>1584</v>
      </c>
      <c r="M1051">
        <v>4.0999999999999996</v>
      </c>
      <c r="N1051">
        <v>50</v>
      </c>
      <c r="P1051">
        <v>0</v>
      </c>
      <c r="Q1051" t="s">
        <v>49</v>
      </c>
      <c r="R1051">
        <v>26</v>
      </c>
      <c r="S1051" t="s">
        <v>28</v>
      </c>
    </row>
    <row r="1052" spans="1:19" x14ac:dyDescent="0.3">
      <c r="A1052" t="s">
        <v>2896</v>
      </c>
      <c r="B1052" s="2">
        <v>45343</v>
      </c>
      <c r="C1052" t="s">
        <v>113</v>
      </c>
      <c r="D1052" t="s">
        <v>72</v>
      </c>
      <c r="E1052" t="s">
        <v>2897</v>
      </c>
      <c r="F1052" t="s">
        <v>87</v>
      </c>
      <c r="G1052" t="s">
        <v>373</v>
      </c>
      <c r="H1052" t="s">
        <v>80</v>
      </c>
      <c r="I1052" t="s">
        <v>26</v>
      </c>
      <c r="J1052">
        <v>2</v>
      </c>
      <c r="K1052">
        <v>557</v>
      </c>
      <c r="L1052">
        <v>1114</v>
      </c>
      <c r="M1052">
        <v>3.7</v>
      </c>
      <c r="N1052">
        <v>50</v>
      </c>
      <c r="O1052">
        <v>999</v>
      </c>
      <c r="P1052">
        <v>0</v>
      </c>
      <c r="Q1052" t="s">
        <v>75</v>
      </c>
      <c r="R1052">
        <v>39</v>
      </c>
      <c r="S1052" t="s">
        <v>28</v>
      </c>
    </row>
    <row r="1053" spans="1:19" x14ac:dyDescent="0.3">
      <c r="A1053" t="s">
        <v>2898</v>
      </c>
      <c r="B1053" s="2">
        <v>45457</v>
      </c>
      <c r="C1053" t="s">
        <v>30</v>
      </c>
      <c r="D1053" t="s">
        <v>21</v>
      </c>
      <c r="E1053" t="s">
        <v>2899</v>
      </c>
      <c r="F1053" t="s">
        <v>115</v>
      </c>
      <c r="G1053" t="s">
        <v>2900</v>
      </c>
      <c r="H1053" t="s">
        <v>48</v>
      </c>
      <c r="I1053" t="s">
        <v>33</v>
      </c>
      <c r="J1053">
        <v>2</v>
      </c>
      <c r="K1053">
        <v>226</v>
      </c>
      <c r="L1053">
        <v>452</v>
      </c>
      <c r="O1053">
        <v>125</v>
      </c>
      <c r="P1053">
        <v>25</v>
      </c>
      <c r="Q1053" t="s">
        <v>27</v>
      </c>
      <c r="R1053">
        <v>32</v>
      </c>
      <c r="S1053" t="s">
        <v>41</v>
      </c>
    </row>
    <row r="1054" spans="1:19" x14ac:dyDescent="0.3">
      <c r="A1054" t="s">
        <v>2901</v>
      </c>
      <c r="B1054" s="2">
        <v>45516</v>
      </c>
      <c r="C1054" t="s">
        <v>82</v>
      </c>
      <c r="D1054" t="s">
        <v>44</v>
      </c>
      <c r="E1054" t="s">
        <v>2902</v>
      </c>
      <c r="F1054" t="s">
        <v>192</v>
      </c>
      <c r="G1054" t="s">
        <v>418</v>
      </c>
      <c r="H1054" t="s">
        <v>80</v>
      </c>
      <c r="I1054" t="s">
        <v>26</v>
      </c>
      <c r="J1054">
        <v>4</v>
      </c>
      <c r="K1054">
        <v>265</v>
      </c>
      <c r="L1054">
        <v>1060</v>
      </c>
      <c r="P1054">
        <v>0</v>
      </c>
      <c r="Q1054" t="s">
        <v>75</v>
      </c>
      <c r="R1054">
        <v>29</v>
      </c>
      <c r="S1054" t="s">
        <v>41</v>
      </c>
    </row>
    <row r="1055" spans="1:19" x14ac:dyDescent="0.3">
      <c r="A1055" t="s">
        <v>2903</v>
      </c>
      <c r="B1055" s="2">
        <v>45507</v>
      </c>
      <c r="C1055" t="s">
        <v>82</v>
      </c>
      <c r="D1055" t="s">
        <v>100</v>
      </c>
      <c r="E1055" t="s">
        <v>2904</v>
      </c>
      <c r="F1055" t="s">
        <v>824</v>
      </c>
      <c r="G1055" t="s">
        <v>673</v>
      </c>
      <c r="H1055" t="s">
        <v>80</v>
      </c>
      <c r="I1055" t="s">
        <v>26</v>
      </c>
      <c r="J1055">
        <v>2</v>
      </c>
      <c r="K1055">
        <v>539</v>
      </c>
      <c r="L1055">
        <v>1078</v>
      </c>
      <c r="M1055">
        <v>4.3</v>
      </c>
      <c r="N1055">
        <v>52</v>
      </c>
      <c r="O1055">
        <v>600</v>
      </c>
      <c r="P1055">
        <v>10</v>
      </c>
      <c r="Q1055" t="s">
        <v>75</v>
      </c>
      <c r="R1055">
        <v>19</v>
      </c>
      <c r="S1055" t="s">
        <v>41</v>
      </c>
    </row>
    <row r="1056" spans="1:19" x14ac:dyDescent="0.3">
      <c r="A1056" t="s">
        <v>2905</v>
      </c>
      <c r="B1056" s="2">
        <v>45370</v>
      </c>
      <c r="C1056" t="s">
        <v>55</v>
      </c>
      <c r="D1056" t="s">
        <v>36</v>
      </c>
      <c r="E1056" t="s">
        <v>2906</v>
      </c>
      <c r="F1056" t="s">
        <v>192</v>
      </c>
      <c r="G1056" t="s">
        <v>186</v>
      </c>
      <c r="H1056" t="s">
        <v>80</v>
      </c>
      <c r="I1056" t="s">
        <v>26</v>
      </c>
      <c r="J1056">
        <v>3</v>
      </c>
      <c r="K1056">
        <v>218</v>
      </c>
      <c r="L1056">
        <v>654</v>
      </c>
      <c r="M1056">
        <v>4.5999999999999996</v>
      </c>
      <c r="N1056">
        <v>43</v>
      </c>
      <c r="P1056">
        <v>0</v>
      </c>
      <c r="Q1056" t="s">
        <v>34</v>
      </c>
      <c r="R1056">
        <v>22</v>
      </c>
      <c r="S1056" t="s">
        <v>41</v>
      </c>
    </row>
    <row r="1057" spans="1:19" x14ac:dyDescent="0.3">
      <c r="A1057" t="s">
        <v>2907</v>
      </c>
      <c r="B1057" s="2">
        <v>45321</v>
      </c>
      <c r="C1057" t="s">
        <v>43</v>
      </c>
      <c r="D1057" t="s">
        <v>36</v>
      </c>
      <c r="E1057" t="s">
        <v>2908</v>
      </c>
      <c r="F1057" t="s">
        <v>192</v>
      </c>
      <c r="G1057" t="s">
        <v>311</v>
      </c>
      <c r="H1057" t="s">
        <v>64</v>
      </c>
      <c r="I1057" t="s">
        <v>26</v>
      </c>
      <c r="J1057">
        <v>1</v>
      </c>
      <c r="K1057">
        <v>548</v>
      </c>
      <c r="L1057">
        <v>548</v>
      </c>
      <c r="M1057">
        <v>4.5999999999999996</v>
      </c>
      <c r="N1057">
        <v>43</v>
      </c>
      <c r="P1057">
        <v>0</v>
      </c>
      <c r="Q1057" t="s">
        <v>27</v>
      </c>
      <c r="R1057">
        <v>30</v>
      </c>
      <c r="S1057" t="s">
        <v>28</v>
      </c>
    </row>
    <row r="1058" spans="1:19" x14ac:dyDescent="0.3">
      <c r="A1058" t="s">
        <v>2909</v>
      </c>
      <c r="B1058" s="2">
        <v>45397</v>
      </c>
      <c r="C1058" t="s">
        <v>20</v>
      </c>
      <c r="D1058" t="s">
        <v>44</v>
      </c>
      <c r="E1058" t="s">
        <v>2910</v>
      </c>
      <c r="F1058" t="s">
        <v>115</v>
      </c>
      <c r="G1058" t="s">
        <v>2911</v>
      </c>
      <c r="H1058" t="s">
        <v>80</v>
      </c>
      <c r="I1058" t="s">
        <v>33</v>
      </c>
      <c r="J1058">
        <v>1</v>
      </c>
      <c r="K1058">
        <v>494</v>
      </c>
      <c r="L1058">
        <v>494</v>
      </c>
      <c r="M1058">
        <v>4.5</v>
      </c>
      <c r="N1058">
        <v>47</v>
      </c>
      <c r="P1058">
        <v>0</v>
      </c>
      <c r="Q1058" t="s">
        <v>75</v>
      </c>
      <c r="R1058">
        <v>44</v>
      </c>
      <c r="S1058" t="s">
        <v>28</v>
      </c>
    </row>
    <row r="1059" spans="1:19" x14ac:dyDescent="0.3">
      <c r="A1059" t="s">
        <v>2912</v>
      </c>
      <c r="B1059" s="2">
        <v>45342</v>
      </c>
      <c r="C1059" t="s">
        <v>113</v>
      </c>
      <c r="D1059" t="s">
        <v>36</v>
      </c>
      <c r="E1059" t="s">
        <v>2913</v>
      </c>
      <c r="F1059" t="s">
        <v>450</v>
      </c>
      <c r="G1059" t="s">
        <v>2914</v>
      </c>
      <c r="H1059" t="s">
        <v>80</v>
      </c>
      <c r="I1059" t="s">
        <v>26</v>
      </c>
      <c r="J1059">
        <v>1</v>
      </c>
      <c r="K1059">
        <v>192</v>
      </c>
      <c r="L1059">
        <v>192</v>
      </c>
      <c r="M1059">
        <v>4.3</v>
      </c>
      <c r="N1059">
        <v>43</v>
      </c>
      <c r="P1059">
        <v>0</v>
      </c>
      <c r="Q1059" t="s">
        <v>34</v>
      </c>
      <c r="R1059">
        <v>37</v>
      </c>
      <c r="S1059" t="s">
        <v>28</v>
      </c>
    </row>
    <row r="1060" spans="1:19" x14ac:dyDescent="0.3">
      <c r="A1060" t="s">
        <v>2915</v>
      </c>
      <c r="B1060" s="2">
        <v>45372</v>
      </c>
      <c r="C1060" t="s">
        <v>55</v>
      </c>
      <c r="D1060" t="s">
        <v>92</v>
      </c>
      <c r="E1060" t="s">
        <v>2916</v>
      </c>
      <c r="F1060" t="s">
        <v>192</v>
      </c>
      <c r="G1060" t="s">
        <v>53</v>
      </c>
      <c r="H1060" t="s">
        <v>53</v>
      </c>
      <c r="I1060" t="s">
        <v>26</v>
      </c>
      <c r="J1060">
        <v>1</v>
      </c>
      <c r="K1060">
        <v>556</v>
      </c>
      <c r="L1060">
        <v>556</v>
      </c>
      <c r="M1060">
        <v>4.2</v>
      </c>
      <c r="N1060">
        <v>41</v>
      </c>
      <c r="P1060">
        <v>0</v>
      </c>
      <c r="Q1060" t="s">
        <v>75</v>
      </c>
      <c r="R1060">
        <v>40</v>
      </c>
      <c r="S1060" t="s">
        <v>41</v>
      </c>
    </row>
    <row r="1061" spans="1:19" x14ac:dyDescent="0.3">
      <c r="A1061" t="s">
        <v>2917</v>
      </c>
      <c r="B1061" s="2">
        <v>45424</v>
      </c>
      <c r="C1061" t="s">
        <v>71</v>
      </c>
      <c r="D1061" t="s">
        <v>60</v>
      </c>
      <c r="E1061" t="s">
        <v>2918</v>
      </c>
      <c r="F1061" t="s">
        <v>450</v>
      </c>
      <c r="G1061" t="s">
        <v>2919</v>
      </c>
      <c r="H1061" t="s">
        <v>40</v>
      </c>
      <c r="I1061" t="s">
        <v>26</v>
      </c>
      <c r="J1061">
        <v>4</v>
      </c>
      <c r="K1061">
        <v>241</v>
      </c>
      <c r="L1061">
        <v>964</v>
      </c>
      <c r="M1061">
        <v>4.5</v>
      </c>
      <c r="N1061">
        <v>59</v>
      </c>
      <c r="P1061">
        <v>0</v>
      </c>
      <c r="Q1061" t="s">
        <v>75</v>
      </c>
      <c r="R1061">
        <v>25</v>
      </c>
      <c r="S1061" t="s">
        <v>28</v>
      </c>
    </row>
    <row r="1062" spans="1:19" x14ac:dyDescent="0.3">
      <c r="A1062" t="s">
        <v>2920</v>
      </c>
      <c r="B1062" s="2">
        <v>45320</v>
      </c>
      <c r="C1062" t="s">
        <v>43</v>
      </c>
      <c r="D1062" t="s">
        <v>44</v>
      </c>
      <c r="E1062" t="s">
        <v>2921</v>
      </c>
      <c r="F1062" t="s">
        <v>115</v>
      </c>
      <c r="G1062" t="s">
        <v>227</v>
      </c>
      <c r="H1062" t="s">
        <v>80</v>
      </c>
      <c r="I1062" t="s">
        <v>26</v>
      </c>
      <c r="J1062">
        <v>1</v>
      </c>
      <c r="K1062">
        <v>149</v>
      </c>
      <c r="L1062">
        <v>149</v>
      </c>
      <c r="O1062">
        <v>449</v>
      </c>
      <c r="P1062">
        <v>0</v>
      </c>
      <c r="Q1062" t="s">
        <v>34</v>
      </c>
      <c r="R1062">
        <v>49</v>
      </c>
      <c r="S1062" t="s">
        <v>41</v>
      </c>
    </row>
    <row r="1063" spans="1:19" x14ac:dyDescent="0.3">
      <c r="A1063" t="s">
        <v>2922</v>
      </c>
      <c r="B1063" s="2">
        <v>45423</v>
      </c>
      <c r="C1063" t="s">
        <v>71</v>
      </c>
      <c r="D1063" t="s">
        <v>100</v>
      </c>
      <c r="E1063" t="s">
        <v>2923</v>
      </c>
      <c r="F1063" t="s">
        <v>192</v>
      </c>
      <c r="G1063" t="s">
        <v>227</v>
      </c>
      <c r="H1063" t="s">
        <v>80</v>
      </c>
      <c r="I1063" t="s">
        <v>26</v>
      </c>
      <c r="J1063">
        <v>1</v>
      </c>
      <c r="K1063">
        <v>307</v>
      </c>
      <c r="L1063">
        <v>307</v>
      </c>
      <c r="M1063">
        <v>4</v>
      </c>
      <c r="N1063">
        <v>51</v>
      </c>
      <c r="P1063">
        <v>0</v>
      </c>
      <c r="Q1063" t="s">
        <v>34</v>
      </c>
      <c r="R1063">
        <v>44</v>
      </c>
      <c r="S1063" t="s">
        <v>41</v>
      </c>
    </row>
    <row r="1064" spans="1:19" x14ac:dyDescent="0.3">
      <c r="A1064" t="s">
        <v>2924</v>
      </c>
      <c r="B1064" s="2">
        <v>45429</v>
      </c>
      <c r="C1064" t="s">
        <v>71</v>
      </c>
      <c r="D1064" t="s">
        <v>21</v>
      </c>
      <c r="E1064" t="s">
        <v>2925</v>
      </c>
      <c r="F1064" t="s">
        <v>78</v>
      </c>
      <c r="G1064" t="s">
        <v>758</v>
      </c>
      <c r="H1064" t="s">
        <v>64</v>
      </c>
      <c r="I1064" t="s">
        <v>26</v>
      </c>
      <c r="J1064">
        <v>1</v>
      </c>
      <c r="K1064">
        <v>483</v>
      </c>
      <c r="L1064">
        <v>483</v>
      </c>
      <c r="M1064">
        <v>2.4</v>
      </c>
      <c r="N1064">
        <v>46</v>
      </c>
      <c r="O1064">
        <v>80</v>
      </c>
      <c r="P1064">
        <v>40</v>
      </c>
      <c r="Q1064" t="s">
        <v>34</v>
      </c>
      <c r="R1064">
        <v>31</v>
      </c>
      <c r="S1064" t="s">
        <v>41</v>
      </c>
    </row>
    <row r="1065" spans="1:19" x14ac:dyDescent="0.3">
      <c r="A1065" t="s">
        <v>2926</v>
      </c>
      <c r="B1065" s="2">
        <v>45475</v>
      </c>
      <c r="C1065" t="s">
        <v>59</v>
      </c>
      <c r="D1065" t="s">
        <v>36</v>
      </c>
      <c r="E1065" t="s">
        <v>2927</v>
      </c>
      <c r="F1065" t="s">
        <v>115</v>
      </c>
      <c r="G1065" t="s">
        <v>2752</v>
      </c>
      <c r="H1065" t="s">
        <v>64</v>
      </c>
      <c r="I1065" t="s">
        <v>26</v>
      </c>
      <c r="J1065">
        <v>1</v>
      </c>
      <c r="K1065">
        <v>473</v>
      </c>
      <c r="L1065">
        <v>473</v>
      </c>
      <c r="M1065">
        <v>4.4000000000000004</v>
      </c>
      <c r="N1065">
        <v>46</v>
      </c>
      <c r="O1065">
        <v>449</v>
      </c>
      <c r="P1065">
        <v>0</v>
      </c>
      <c r="Q1065" t="s">
        <v>27</v>
      </c>
      <c r="R1065">
        <v>32</v>
      </c>
      <c r="S1065" t="s">
        <v>41</v>
      </c>
    </row>
    <row r="1066" spans="1:19" x14ac:dyDescent="0.3">
      <c r="A1066" t="s">
        <v>2928</v>
      </c>
      <c r="B1066" s="2">
        <v>45436</v>
      </c>
      <c r="C1066" t="s">
        <v>71</v>
      </c>
      <c r="D1066" t="s">
        <v>21</v>
      </c>
      <c r="E1066" t="s">
        <v>2929</v>
      </c>
      <c r="F1066" t="s">
        <v>115</v>
      </c>
      <c r="G1066" t="s">
        <v>2930</v>
      </c>
      <c r="H1066" t="s">
        <v>40</v>
      </c>
      <c r="I1066" t="s">
        <v>26</v>
      </c>
      <c r="J1066">
        <v>3</v>
      </c>
      <c r="K1066">
        <v>407</v>
      </c>
      <c r="L1066">
        <v>1221</v>
      </c>
      <c r="M1066">
        <v>4.3</v>
      </c>
      <c r="N1066">
        <v>39</v>
      </c>
      <c r="P1066">
        <v>0</v>
      </c>
      <c r="Q1066" t="s">
        <v>75</v>
      </c>
      <c r="R1066">
        <v>28</v>
      </c>
      <c r="S1066" t="s">
        <v>41</v>
      </c>
    </row>
    <row r="1067" spans="1:19" x14ac:dyDescent="0.3">
      <c r="A1067" t="s">
        <v>2931</v>
      </c>
      <c r="B1067" s="2">
        <v>45365</v>
      </c>
      <c r="C1067" t="s">
        <v>55</v>
      </c>
      <c r="D1067" t="s">
        <v>92</v>
      </c>
      <c r="E1067" t="s">
        <v>2932</v>
      </c>
      <c r="F1067" t="s">
        <v>115</v>
      </c>
      <c r="G1067" t="s">
        <v>2779</v>
      </c>
      <c r="H1067" t="s">
        <v>64</v>
      </c>
      <c r="I1067" t="s">
        <v>26</v>
      </c>
      <c r="J1067">
        <v>1</v>
      </c>
      <c r="K1067">
        <v>570</v>
      </c>
      <c r="L1067">
        <v>570</v>
      </c>
      <c r="M1067">
        <v>4.8</v>
      </c>
      <c r="N1067">
        <v>35</v>
      </c>
      <c r="P1067">
        <v>0</v>
      </c>
      <c r="Q1067" t="s">
        <v>34</v>
      </c>
      <c r="R1067">
        <v>18</v>
      </c>
      <c r="S1067" t="s">
        <v>28</v>
      </c>
    </row>
    <row r="1068" spans="1:19" x14ac:dyDescent="0.3">
      <c r="A1068" t="s">
        <v>2933</v>
      </c>
      <c r="B1068" s="2">
        <v>45308</v>
      </c>
      <c r="C1068" t="s">
        <v>43</v>
      </c>
      <c r="D1068" t="s">
        <v>72</v>
      </c>
      <c r="E1068" t="s">
        <v>2934</v>
      </c>
      <c r="F1068" t="s">
        <v>960</v>
      </c>
      <c r="G1068" t="s">
        <v>204</v>
      </c>
      <c r="H1068" t="s">
        <v>80</v>
      </c>
      <c r="I1068" t="s">
        <v>26</v>
      </c>
      <c r="J1068">
        <v>3</v>
      </c>
      <c r="K1068">
        <v>314</v>
      </c>
      <c r="L1068">
        <v>942</v>
      </c>
      <c r="P1068">
        <v>0</v>
      </c>
      <c r="Q1068" t="s">
        <v>49</v>
      </c>
      <c r="R1068">
        <v>38</v>
      </c>
      <c r="S1068" t="s">
        <v>41</v>
      </c>
    </row>
    <row r="1069" spans="1:19" x14ac:dyDescent="0.3">
      <c r="A1069" t="s">
        <v>2935</v>
      </c>
      <c r="B1069" s="2">
        <v>45375</v>
      </c>
      <c r="C1069" t="s">
        <v>55</v>
      </c>
      <c r="D1069" t="s">
        <v>60</v>
      </c>
      <c r="E1069" t="s">
        <v>2936</v>
      </c>
      <c r="F1069" t="s">
        <v>78</v>
      </c>
      <c r="G1069" t="s">
        <v>2937</v>
      </c>
      <c r="H1069" t="s">
        <v>64</v>
      </c>
      <c r="I1069" t="s">
        <v>26</v>
      </c>
      <c r="J1069">
        <v>4</v>
      </c>
      <c r="K1069">
        <v>275</v>
      </c>
      <c r="L1069">
        <v>1100</v>
      </c>
      <c r="M1069">
        <v>3.5</v>
      </c>
      <c r="N1069">
        <v>69</v>
      </c>
      <c r="O1069">
        <v>300</v>
      </c>
      <c r="P1069">
        <v>0</v>
      </c>
      <c r="Q1069" t="s">
        <v>75</v>
      </c>
      <c r="R1069">
        <v>48</v>
      </c>
      <c r="S1069" t="s">
        <v>41</v>
      </c>
    </row>
    <row r="1070" spans="1:19" x14ac:dyDescent="0.3">
      <c r="A1070" t="s">
        <v>2938</v>
      </c>
      <c r="B1070" s="2">
        <v>45507</v>
      </c>
      <c r="C1070" t="s">
        <v>82</v>
      </c>
      <c r="D1070" t="s">
        <v>100</v>
      </c>
      <c r="E1070" t="s">
        <v>2939</v>
      </c>
      <c r="F1070" t="s">
        <v>78</v>
      </c>
      <c r="G1070" t="s">
        <v>84</v>
      </c>
      <c r="H1070" t="s">
        <v>64</v>
      </c>
      <c r="I1070" t="s">
        <v>26</v>
      </c>
      <c r="J1070">
        <v>2</v>
      </c>
      <c r="K1070">
        <v>291</v>
      </c>
      <c r="L1070">
        <v>582</v>
      </c>
      <c r="M1070">
        <v>4.4000000000000004</v>
      </c>
      <c r="N1070">
        <v>46</v>
      </c>
      <c r="O1070">
        <v>449</v>
      </c>
      <c r="P1070">
        <v>0</v>
      </c>
      <c r="Q1070" t="s">
        <v>49</v>
      </c>
      <c r="R1070">
        <v>20</v>
      </c>
      <c r="S1070" t="s">
        <v>28</v>
      </c>
    </row>
    <row r="1071" spans="1:19" x14ac:dyDescent="0.3">
      <c r="A1071" t="s">
        <v>2940</v>
      </c>
      <c r="B1071" s="2">
        <v>45360</v>
      </c>
      <c r="C1071" t="s">
        <v>55</v>
      </c>
      <c r="D1071" t="s">
        <v>100</v>
      </c>
      <c r="E1071" t="s">
        <v>2941</v>
      </c>
      <c r="F1071" t="s">
        <v>2942</v>
      </c>
      <c r="G1071" t="s">
        <v>2943</v>
      </c>
      <c r="H1071" t="s">
        <v>40</v>
      </c>
      <c r="I1071" t="s">
        <v>26</v>
      </c>
      <c r="J1071">
        <v>1</v>
      </c>
      <c r="K1071">
        <v>454</v>
      </c>
      <c r="L1071">
        <v>454</v>
      </c>
      <c r="M1071">
        <v>4.0999999999999996</v>
      </c>
      <c r="N1071">
        <v>47</v>
      </c>
      <c r="P1071">
        <v>0</v>
      </c>
      <c r="Q1071" t="s">
        <v>27</v>
      </c>
      <c r="R1071">
        <v>34</v>
      </c>
      <c r="S1071" t="s">
        <v>41</v>
      </c>
    </row>
    <row r="1072" spans="1:19" x14ac:dyDescent="0.3">
      <c r="A1072" t="s">
        <v>2944</v>
      </c>
      <c r="B1072" s="2">
        <v>45325</v>
      </c>
      <c r="C1072" t="s">
        <v>113</v>
      </c>
      <c r="D1072" t="s">
        <v>100</v>
      </c>
      <c r="E1072" t="s">
        <v>2945</v>
      </c>
      <c r="F1072" t="s">
        <v>115</v>
      </c>
      <c r="G1072" t="s">
        <v>2946</v>
      </c>
      <c r="H1072" t="s">
        <v>64</v>
      </c>
      <c r="I1072" t="s">
        <v>26</v>
      </c>
      <c r="J1072">
        <v>2</v>
      </c>
      <c r="K1072">
        <v>160</v>
      </c>
      <c r="L1072">
        <v>320</v>
      </c>
      <c r="M1072">
        <v>2.9</v>
      </c>
      <c r="N1072">
        <v>36</v>
      </c>
      <c r="O1072">
        <v>449</v>
      </c>
      <c r="P1072">
        <v>0</v>
      </c>
      <c r="Q1072" t="s">
        <v>34</v>
      </c>
      <c r="R1072">
        <v>45</v>
      </c>
      <c r="S1072" t="s">
        <v>41</v>
      </c>
    </row>
    <row r="1073" spans="1:19" x14ac:dyDescent="0.3">
      <c r="A1073" t="s">
        <v>2947</v>
      </c>
      <c r="B1073" s="2">
        <v>45297</v>
      </c>
      <c r="C1073" t="s">
        <v>43</v>
      </c>
      <c r="D1073" t="s">
        <v>100</v>
      </c>
      <c r="E1073" t="s">
        <v>2948</v>
      </c>
      <c r="F1073" t="s">
        <v>268</v>
      </c>
      <c r="G1073" t="s">
        <v>2949</v>
      </c>
      <c r="H1073" t="s">
        <v>80</v>
      </c>
      <c r="I1073" t="s">
        <v>26</v>
      </c>
      <c r="J1073">
        <v>2</v>
      </c>
      <c r="K1073">
        <v>182</v>
      </c>
      <c r="L1073">
        <v>364</v>
      </c>
      <c r="M1073">
        <v>2.8</v>
      </c>
      <c r="N1073">
        <v>37</v>
      </c>
      <c r="O1073">
        <v>999</v>
      </c>
      <c r="P1073">
        <v>0</v>
      </c>
      <c r="Q1073" t="s">
        <v>49</v>
      </c>
      <c r="R1073">
        <v>36</v>
      </c>
      <c r="S1073" t="s">
        <v>28</v>
      </c>
    </row>
    <row r="1074" spans="1:19" x14ac:dyDescent="0.3">
      <c r="A1074" t="s">
        <v>2950</v>
      </c>
      <c r="B1074" s="2">
        <v>45344</v>
      </c>
      <c r="C1074" t="s">
        <v>113</v>
      </c>
      <c r="D1074" t="s">
        <v>92</v>
      </c>
      <c r="E1074" t="s">
        <v>2951</v>
      </c>
      <c r="F1074" t="s">
        <v>137</v>
      </c>
      <c r="G1074" t="s">
        <v>373</v>
      </c>
      <c r="H1074" t="s">
        <v>80</v>
      </c>
      <c r="I1074" t="s">
        <v>26</v>
      </c>
      <c r="J1074">
        <v>4</v>
      </c>
      <c r="K1074">
        <v>142</v>
      </c>
      <c r="L1074">
        <v>568</v>
      </c>
      <c r="M1074">
        <v>4.2</v>
      </c>
      <c r="N1074">
        <v>36</v>
      </c>
      <c r="P1074">
        <v>0</v>
      </c>
      <c r="Q1074" t="s">
        <v>27</v>
      </c>
      <c r="R1074">
        <v>31</v>
      </c>
      <c r="S1074" t="s">
        <v>28</v>
      </c>
    </row>
    <row r="1075" spans="1:19" x14ac:dyDescent="0.3">
      <c r="A1075" t="s">
        <v>2952</v>
      </c>
      <c r="B1075" s="2">
        <v>45485</v>
      </c>
      <c r="C1075" t="s">
        <v>59</v>
      </c>
      <c r="D1075" t="s">
        <v>21</v>
      </c>
      <c r="E1075" t="s">
        <v>2953</v>
      </c>
      <c r="F1075" t="s">
        <v>2143</v>
      </c>
      <c r="G1075" t="s">
        <v>2954</v>
      </c>
      <c r="H1075" t="s">
        <v>40</v>
      </c>
      <c r="I1075" t="s">
        <v>26</v>
      </c>
      <c r="J1075">
        <v>2</v>
      </c>
      <c r="K1075">
        <v>479</v>
      </c>
      <c r="L1075">
        <v>958</v>
      </c>
      <c r="M1075">
        <v>2.5</v>
      </c>
      <c r="N1075">
        <v>39</v>
      </c>
      <c r="O1075">
        <v>100</v>
      </c>
      <c r="P1075">
        <v>20</v>
      </c>
      <c r="Q1075" t="s">
        <v>34</v>
      </c>
      <c r="R1075">
        <v>39</v>
      </c>
      <c r="S1075" t="s">
        <v>28</v>
      </c>
    </row>
    <row r="1076" spans="1:19" x14ac:dyDescent="0.3">
      <c r="A1076" t="s">
        <v>2955</v>
      </c>
      <c r="B1076" s="2">
        <v>45496</v>
      </c>
      <c r="C1076" t="s">
        <v>59</v>
      </c>
      <c r="D1076" t="s">
        <v>36</v>
      </c>
      <c r="E1076" t="s">
        <v>2956</v>
      </c>
      <c r="F1076" t="s">
        <v>46</v>
      </c>
      <c r="G1076" t="s">
        <v>227</v>
      </c>
      <c r="H1076" t="s">
        <v>80</v>
      </c>
      <c r="I1076" t="s">
        <v>26</v>
      </c>
      <c r="J1076">
        <v>3</v>
      </c>
      <c r="K1076">
        <v>194</v>
      </c>
      <c r="L1076">
        <v>582</v>
      </c>
      <c r="M1076">
        <v>4.2</v>
      </c>
      <c r="N1076">
        <v>35</v>
      </c>
      <c r="P1076">
        <v>0</v>
      </c>
      <c r="Q1076" t="s">
        <v>49</v>
      </c>
      <c r="R1076">
        <v>47</v>
      </c>
      <c r="S1076" t="s">
        <v>41</v>
      </c>
    </row>
    <row r="1077" spans="1:19" x14ac:dyDescent="0.3">
      <c r="A1077" t="s">
        <v>2957</v>
      </c>
      <c r="B1077" s="2">
        <v>45417</v>
      </c>
      <c r="C1077" t="s">
        <v>71</v>
      </c>
      <c r="D1077" t="s">
        <v>60</v>
      </c>
      <c r="E1077" t="s">
        <v>2958</v>
      </c>
      <c r="F1077" t="s">
        <v>2959</v>
      </c>
      <c r="G1077" t="s">
        <v>308</v>
      </c>
      <c r="H1077" t="s">
        <v>64</v>
      </c>
      <c r="I1077" t="s">
        <v>26</v>
      </c>
      <c r="J1077">
        <v>2</v>
      </c>
      <c r="K1077">
        <v>167</v>
      </c>
      <c r="L1077">
        <v>334</v>
      </c>
      <c r="M1077">
        <v>4.4000000000000004</v>
      </c>
      <c r="N1077">
        <v>32</v>
      </c>
      <c r="P1077">
        <v>0</v>
      </c>
      <c r="Q1077" t="s">
        <v>49</v>
      </c>
      <c r="R1077">
        <v>40</v>
      </c>
      <c r="S1077" t="s">
        <v>28</v>
      </c>
    </row>
    <row r="1078" spans="1:19" x14ac:dyDescent="0.3">
      <c r="A1078" t="s">
        <v>2960</v>
      </c>
      <c r="B1078" s="2">
        <v>45526</v>
      </c>
      <c r="C1078" t="s">
        <v>82</v>
      </c>
      <c r="D1078" t="s">
        <v>92</v>
      </c>
      <c r="E1078" t="s">
        <v>2961</v>
      </c>
      <c r="F1078" t="s">
        <v>115</v>
      </c>
      <c r="G1078" t="s">
        <v>48</v>
      </c>
      <c r="H1078" t="s">
        <v>48</v>
      </c>
      <c r="I1078" t="s">
        <v>33</v>
      </c>
      <c r="J1078">
        <v>2</v>
      </c>
      <c r="K1078">
        <v>279</v>
      </c>
      <c r="L1078">
        <v>558</v>
      </c>
      <c r="P1078">
        <v>0</v>
      </c>
      <c r="Q1078" t="s">
        <v>27</v>
      </c>
      <c r="R1078">
        <v>49</v>
      </c>
      <c r="S1078" t="s">
        <v>28</v>
      </c>
    </row>
    <row r="1079" spans="1:19" x14ac:dyDescent="0.3">
      <c r="A1079" t="s">
        <v>2962</v>
      </c>
      <c r="B1079" s="2">
        <v>45334</v>
      </c>
      <c r="C1079" t="s">
        <v>113</v>
      </c>
      <c r="D1079" t="s">
        <v>44</v>
      </c>
      <c r="E1079" t="s">
        <v>2963</v>
      </c>
      <c r="F1079" t="s">
        <v>115</v>
      </c>
      <c r="G1079" t="s">
        <v>1526</v>
      </c>
      <c r="H1079" t="s">
        <v>80</v>
      </c>
      <c r="I1079" t="s">
        <v>26</v>
      </c>
      <c r="J1079">
        <v>2</v>
      </c>
      <c r="K1079">
        <v>432</v>
      </c>
      <c r="L1079">
        <v>864</v>
      </c>
      <c r="M1079">
        <v>4.4000000000000004</v>
      </c>
      <c r="N1079">
        <v>31</v>
      </c>
      <c r="P1079">
        <v>0</v>
      </c>
      <c r="Q1079" t="s">
        <v>34</v>
      </c>
      <c r="R1079">
        <v>25</v>
      </c>
      <c r="S1079" t="s">
        <v>28</v>
      </c>
    </row>
    <row r="1080" spans="1:19" x14ac:dyDescent="0.3">
      <c r="A1080" t="s">
        <v>2964</v>
      </c>
      <c r="B1080" s="2">
        <v>45531</v>
      </c>
      <c r="C1080" t="s">
        <v>82</v>
      </c>
      <c r="D1080" t="s">
        <v>36</v>
      </c>
      <c r="E1080" t="s">
        <v>2965</v>
      </c>
      <c r="F1080" t="s">
        <v>115</v>
      </c>
      <c r="G1080" t="s">
        <v>2730</v>
      </c>
      <c r="H1080" t="s">
        <v>80</v>
      </c>
      <c r="I1080" t="s">
        <v>26</v>
      </c>
      <c r="J1080">
        <v>1</v>
      </c>
      <c r="K1080">
        <v>237</v>
      </c>
      <c r="L1080">
        <v>237</v>
      </c>
      <c r="M1080">
        <v>4.3</v>
      </c>
      <c r="N1080">
        <v>33</v>
      </c>
      <c r="P1080">
        <v>0</v>
      </c>
      <c r="Q1080" t="s">
        <v>34</v>
      </c>
      <c r="R1080">
        <v>30</v>
      </c>
      <c r="S1080" t="s">
        <v>41</v>
      </c>
    </row>
    <row r="1081" spans="1:19" x14ac:dyDescent="0.3">
      <c r="A1081" t="s">
        <v>2966</v>
      </c>
      <c r="B1081" s="2">
        <v>45494</v>
      </c>
      <c r="C1081" t="s">
        <v>59</v>
      </c>
      <c r="D1081" t="s">
        <v>60</v>
      </c>
      <c r="E1081" t="s">
        <v>2967</v>
      </c>
      <c r="F1081" t="s">
        <v>115</v>
      </c>
      <c r="G1081" t="s">
        <v>2968</v>
      </c>
      <c r="H1081" t="s">
        <v>53</v>
      </c>
      <c r="I1081" t="s">
        <v>26</v>
      </c>
      <c r="J1081">
        <v>1</v>
      </c>
      <c r="K1081">
        <v>219</v>
      </c>
      <c r="L1081">
        <v>219</v>
      </c>
      <c r="M1081">
        <v>4.5999999999999996</v>
      </c>
      <c r="N1081">
        <v>33</v>
      </c>
      <c r="O1081">
        <v>700</v>
      </c>
      <c r="P1081">
        <v>30</v>
      </c>
      <c r="Q1081" t="s">
        <v>49</v>
      </c>
      <c r="R1081">
        <v>44</v>
      </c>
      <c r="S1081" t="s">
        <v>28</v>
      </c>
    </row>
    <row r="1082" spans="1:19" x14ac:dyDescent="0.3">
      <c r="A1082" t="s">
        <v>2969</v>
      </c>
      <c r="B1082" s="2">
        <v>45406</v>
      </c>
      <c r="C1082" t="s">
        <v>20</v>
      </c>
      <c r="D1082" t="s">
        <v>72</v>
      </c>
      <c r="E1082" t="s">
        <v>2970</v>
      </c>
      <c r="F1082" t="s">
        <v>115</v>
      </c>
      <c r="G1082" t="s">
        <v>2971</v>
      </c>
      <c r="H1082" t="s">
        <v>64</v>
      </c>
      <c r="I1082" t="s">
        <v>26</v>
      </c>
      <c r="J1082">
        <v>3</v>
      </c>
      <c r="K1082">
        <v>499</v>
      </c>
      <c r="L1082">
        <v>1497</v>
      </c>
      <c r="M1082">
        <v>3.3</v>
      </c>
      <c r="N1082">
        <v>39</v>
      </c>
      <c r="P1082">
        <v>0</v>
      </c>
      <c r="Q1082" t="s">
        <v>49</v>
      </c>
      <c r="R1082">
        <v>37</v>
      </c>
      <c r="S1082" t="s">
        <v>41</v>
      </c>
    </row>
    <row r="1083" spans="1:19" x14ac:dyDescent="0.3">
      <c r="A1083" t="s">
        <v>2972</v>
      </c>
      <c r="B1083" s="2">
        <v>45402</v>
      </c>
      <c r="C1083" t="s">
        <v>20</v>
      </c>
      <c r="D1083" t="s">
        <v>100</v>
      </c>
      <c r="E1083" t="s">
        <v>2973</v>
      </c>
      <c r="F1083" t="s">
        <v>115</v>
      </c>
      <c r="G1083" t="s">
        <v>210</v>
      </c>
      <c r="H1083" t="s">
        <v>80</v>
      </c>
      <c r="I1083" t="s">
        <v>26</v>
      </c>
      <c r="J1083">
        <v>3</v>
      </c>
      <c r="K1083">
        <v>536</v>
      </c>
      <c r="L1083">
        <v>1608</v>
      </c>
      <c r="M1083">
        <v>4.3</v>
      </c>
      <c r="N1083">
        <v>27</v>
      </c>
      <c r="P1083">
        <v>0</v>
      </c>
      <c r="Q1083" t="s">
        <v>49</v>
      </c>
      <c r="R1083">
        <v>20</v>
      </c>
      <c r="S1083" t="s">
        <v>41</v>
      </c>
    </row>
    <row r="1084" spans="1:19" x14ac:dyDescent="0.3">
      <c r="A1084" t="s">
        <v>2974</v>
      </c>
      <c r="B1084" s="2">
        <v>45442</v>
      </c>
      <c r="C1084" t="s">
        <v>71</v>
      </c>
      <c r="D1084" t="s">
        <v>92</v>
      </c>
      <c r="E1084" t="s">
        <v>2975</v>
      </c>
      <c r="F1084" t="s">
        <v>115</v>
      </c>
      <c r="G1084" t="s">
        <v>2976</v>
      </c>
      <c r="H1084" t="s">
        <v>48</v>
      </c>
      <c r="I1084" t="s">
        <v>33</v>
      </c>
      <c r="J1084">
        <v>1</v>
      </c>
      <c r="K1084">
        <v>527</v>
      </c>
      <c r="L1084">
        <v>527</v>
      </c>
      <c r="M1084">
        <v>4.7</v>
      </c>
      <c r="N1084">
        <v>30</v>
      </c>
      <c r="P1084">
        <v>0</v>
      </c>
      <c r="Q1084" t="s">
        <v>34</v>
      </c>
      <c r="R1084">
        <v>22</v>
      </c>
      <c r="S1084" t="s">
        <v>28</v>
      </c>
    </row>
    <row r="1085" spans="1:19" x14ac:dyDescent="0.3">
      <c r="A1085" t="s">
        <v>2977</v>
      </c>
      <c r="B1085" s="2">
        <v>45474</v>
      </c>
      <c r="C1085" t="s">
        <v>59</v>
      </c>
      <c r="D1085" t="s">
        <v>44</v>
      </c>
      <c r="E1085" t="s">
        <v>2978</v>
      </c>
      <c r="F1085" t="s">
        <v>62</v>
      </c>
      <c r="G1085" t="s">
        <v>2979</v>
      </c>
      <c r="H1085" t="s">
        <v>40</v>
      </c>
      <c r="I1085" t="s">
        <v>26</v>
      </c>
      <c r="J1085">
        <v>3</v>
      </c>
      <c r="K1085">
        <v>286</v>
      </c>
      <c r="L1085">
        <v>858</v>
      </c>
      <c r="M1085">
        <v>4.2</v>
      </c>
      <c r="N1085">
        <v>43</v>
      </c>
      <c r="O1085">
        <v>1000</v>
      </c>
      <c r="P1085">
        <v>25</v>
      </c>
      <c r="Q1085" t="s">
        <v>27</v>
      </c>
      <c r="R1085">
        <v>26</v>
      </c>
      <c r="S1085" t="s">
        <v>41</v>
      </c>
    </row>
    <row r="1086" spans="1:19" x14ac:dyDescent="0.3">
      <c r="A1086" t="s">
        <v>2980</v>
      </c>
      <c r="B1086" s="2">
        <v>45371</v>
      </c>
      <c r="C1086" t="s">
        <v>55</v>
      </c>
      <c r="D1086" t="s">
        <v>72</v>
      </c>
      <c r="E1086" t="s">
        <v>2981</v>
      </c>
      <c r="F1086" t="s">
        <v>115</v>
      </c>
      <c r="G1086" t="s">
        <v>2982</v>
      </c>
      <c r="H1086" t="s">
        <v>40</v>
      </c>
      <c r="I1086" t="s">
        <v>26</v>
      </c>
      <c r="J1086">
        <v>1</v>
      </c>
      <c r="K1086">
        <v>409</v>
      </c>
      <c r="L1086">
        <v>409</v>
      </c>
      <c r="M1086">
        <v>4.0999999999999996</v>
      </c>
      <c r="N1086">
        <v>50</v>
      </c>
      <c r="O1086">
        <v>120</v>
      </c>
      <c r="P1086">
        <v>60</v>
      </c>
      <c r="Q1086" t="s">
        <v>27</v>
      </c>
      <c r="R1086">
        <v>46</v>
      </c>
      <c r="S1086" t="s">
        <v>41</v>
      </c>
    </row>
    <row r="1087" spans="1:19" x14ac:dyDescent="0.3">
      <c r="A1087" t="s">
        <v>2983</v>
      </c>
      <c r="B1087" s="2">
        <v>45386</v>
      </c>
      <c r="C1087" t="s">
        <v>20</v>
      </c>
      <c r="D1087" t="s">
        <v>92</v>
      </c>
      <c r="E1087" t="s">
        <v>2984</v>
      </c>
      <c r="F1087" t="s">
        <v>115</v>
      </c>
      <c r="G1087" t="s">
        <v>2080</v>
      </c>
      <c r="H1087" t="s">
        <v>53</v>
      </c>
      <c r="I1087" t="s">
        <v>26</v>
      </c>
      <c r="J1087">
        <v>4</v>
      </c>
      <c r="K1087">
        <v>559</v>
      </c>
      <c r="L1087">
        <v>2236</v>
      </c>
      <c r="M1087">
        <v>4</v>
      </c>
      <c r="N1087">
        <v>52</v>
      </c>
      <c r="P1087">
        <v>0</v>
      </c>
      <c r="Q1087" t="s">
        <v>34</v>
      </c>
      <c r="R1087">
        <v>23</v>
      </c>
      <c r="S1087" t="s">
        <v>28</v>
      </c>
    </row>
    <row r="1088" spans="1:19" x14ac:dyDescent="0.3">
      <c r="A1088" t="s">
        <v>2985</v>
      </c>
      <c r="B1088" s="2">
        <v>45494</v>
      </c>
      <c r="C1088" t="s">
        <v>59</v>
      </c>
      <c r="D1088" t="s">
        <v>60</v>
      </c>
      <c r="E1088" t="s">
        <v>2986</v>
      </c>
      <c r="F1088" t="s">
        <v>23</v>
      </c>
      <c r="G1088" t="s">
        <v>2987</v>
      </c>
      <c r="H1088" t="s">
        <v>80</v>
      </c>
      <c r="I1088" t="s">
        <v>26</v>
      </c>
      <c r="J1088">
        <v>2</v>
      </c>
      <c r="K1088">
        <v>275</v>
      </c>
      <c r="L1088">
        <v>550</v>
      </c>
      <c r="M1088">
        <v>4.8</v>
      </c>
      <c r="N1088">
        <v>42</v>
      </c>
      <c r="P1088">
        <v>0</v>
      </c>
      <c r="Q1088" t="s">
        <v>75</v>
      </c>
      <c r="R1088">
        <v>48</v>
      </c>
      <c r="S1088" t="s">
        <v>41</v>
      </c>
    </row>
    <row r="1089" spans="1:19" x14ac:dyDescent="0.3">
      <c r="A1089" t="s">
        <v>2988</v>
      </c>
      <c r="B1089" s="2">
        <v>45409</v>
      </c>
      <c r="C1089" t="s">
        <v>20</v>
      </c>
      <c r="D1089" t="s">
        <v>100</v>
      </c>
      <c r="E1089" t="s">
        <v>2989</v>
      </c>
      <c r="F1089" t="s">
        <v>713</v>
      </c>
      <c r="G1089" t="s">
        <v>154</v>
      </c>
      <c r="H1089" t="s">
        <v>80</v>
      </c>
      <c r="I1089" t="s">
        <v>26</v>
      </c>
      <c r="J1089">
        <v>2</v>
      </c>
      <c r="K1089">
        <v>540</v>
      </c>
      <c r="L1089">
        <v>1080</v>
      </c>
      <c r="M1089">
        <v>4.0999999999999996</v>
      </c>
      <c r="N1089">
        <v>50</v>
      </c>
      <c r="P1089">
        <v>0</v>
      </c>
      <c r="Q1089" t="s">
        <v>27</v>
      </c>
      <c r="R1089">
        <v>42</v>
      </c>
      <c r="S1089" t="s">
        <v>28</v>
      </c>
    </row>
    <row r="1090" spans="1:19" x14ac:dyDescent="0.3">
      <c r="A1090" t="s">
        <v>2990</v>
      </c>
      <c r="B1090" s="2">
        <v>45435</v>
      </c>
      <c r="C1090" t="s">
        <v>71</v>
      </c>
      <c r="D1090" t="s">
        <v>92</v>
      </c>
      <c r="E1090" t="s">
        <v>2991</v>
      </c>
      <c r="F1090" t="s">
        <v>115</v>
      </c>
      <c r="G1090" t="s">
        <v>2992</v>
      </c>
      <c r="H1090" t="s">
        <v>48</v>
      </c>
      <c r="I1090" t="s">
        <v>33</v>
      </c>
      <c r="J1090">
        <v>3</v>
      </c>
      <c r="K1090">
        <v>126</v>
      </c>
      <c r="L1090">
        <v>378</v>
      </c>
      <c r="O1090">
        <v>499</v>
      </c>
      <c r="P1090">
        <v>0</v>
      </c>
      <c r="Q1090" t="s">
        <v>49</v>
      </c>
      <c r="R1090">
        <v>48</v>
      </c>
      <c r="S1090" t="s">
        <v>41</v>
      </c>
    </row>
    <row r="1091" spans="1:19" x14ac:dyDescent="0.3">
      <c r="A1091" t="s">
        <v>2993</v>
      </c>
      <c r="B1091" s="2">
        <v>45299</v>
      </c>
      <c r="C1091" t="s">
        <v>43</v>
      </c>
      <c r="D1091" t="s">
        <v>44</v>
      </c>
      <c r="E1091" t="s">
        <v>2994</v>
      </c>
      <c r="F1091" t="s">
        <v>115</v>
      </c>
      <c r="G1091" t="s">
        <v>227</v>
      </c>
      <c r="H1091" t="s">
        <v>80</v>
      </c>
      <c r="I1091" t="s">
        <v>26</v>
      </c>
      <c r="J1091">
        <v>1</v>
      </c>
      <c r="K1091">
        <v>315</v>
      </c>
      <c r="L1091">
        <v>315</v>
      </c>
      <c r="M1091">
        <v>3.6</v>
      </c>
      <c r="N1091">
        <v>42</v>
      </c>
      <c r="O1091">
        <v>1300</v>
      </c>
      <c r="P1091">
        <v>10</v>
      </c>
      <c r="Q1091" t="s">
        <v>75</v>
      </c>
      <c r="R1091">
        <v>39</v>
      </c>
      <c r="S1091" t="s">
        <v>41</v>
      </c>
    </row>
    <row r="1092" spans="1:19" x14ac:dyDescent="0.3">
      <c r="A1092" t="s">
        <v>2995</v>
      </c>
      <c r="B1092" s="2">
        <v>45423</v>
      </c>
      <c r="C1092" t="s">
        <v>71</v>
      </c>
      <c r="D1092" t="s">
        <v>100</v>
      </c>
      <c r="E1092" t="s">
        <v>2996</v>
      </c>
      <c r="F1092" t="s">
        <v>115</v>
      </c>
      <c r="G1092" t="s">
        <v>64</v>
      </c>
      <c r="H1092" t="s">
        <v>64</v>
      </c>
      <c r="I1092" t="s">
        <v>26</v>
      </c>
      <c r="J1092">
        <v>1</v>
      </c>
      <c r="K1092">
        <v>540</v>
      </c>
      <c r="L1092">
        <v>540</v>
      </c>
      <c r="M1092">
        <v>4.5999999999999996</v>
      </c>
      <c r="N1092">
        <v>52</v>
      </c>
      <c r="O1092">
        <v>40</v>
      </c>
      <c r="P1092">
        <v>10</v>
      </c>
      <c r="Q1092" t="s">
        <v>75</v>
      </c>
      <c r="R1092">
        <v>19</v>
      </c>
      <c r="S1092" t="s">
        <v>28</v>
      </c>
    </row>
    <row r="1093" spans="1:19" x14ac:dyDescent="0.3">
      <c r="A1093" t="s">
        <v>2997</v>
      </c>
      <c r="B1093" s="2">
        <v>45395</v>
      </c>
      <c r="C1093" t="s">
        <v>20</v>
      </c>
      <c r="D1093" t="s">
        <v>100</v>
      </c>
      <c r="E1093" t="s">
        <v>2998</v>
      </c>
      <c r="F1093" t="s">
        <v>115</v>
      </c>
      <c r="G1093" t="s">
        <v>2999</v>
      </c>
      <c r="H1093" t="s">
        <v>48</v>
      </c>
      <c r="I1093" t="s">
        <v>33</v>
      </c>
      <c r="J1093">
        <v>3</v>
      </c>
      <c r="K1093">
        <v>175</v>
      </c>
      <c r="L1093">
        <v>525</v>
      </c>
      <c r="M1093">
        <v>4.3</v>
      </c>
      <c r="N1093">
        <v>41</v>
      </c>
      <c r="P1093">
        <v>0</v>
      </c>
      <c r="Q1093" t="s">
        <v>27</v>
      </c>
      <c r="R1093">
        <v>30</v>
      </c>
      <c r="S1093" t="s">
        <v>28</v>
      </c>
    </row>
    <row r="1094" spans="1:19" x14ac:dyDescent="0.3">
      <c r="A1094" t="s">
        <v>3000</v>
      </c>
      <c r="B1094" s="2">
        <v>45423</v>
      </c>
      <c r="C1094" t="s">
        <v>71</v>
      </c>
      <c r="D1094" t="s">
        <v>100</v>
      </c>
      <c r="E1094" t="s">
        <v>3001</v>
      </c>
      <c r="F1094" t="s">
        <v>87</v>
      </c>
      <c r="G1094" t="s">
        <v>53</v>
      </c>
      <c r="H1094" t="s">
        <v>53</v>
      </c>
      <c r="I1094" t="s">
        <v>26</v>
      </c>
      <c r="J1094">
        <v>1</v>
      </c>
      <c r="K1094">
        <v>440</v>
      </c>
      <c r="L1094">
        <v>440</v>
      </c>
      <c r="M1094">
        <v>3.2</v>
      </c>
      <c r="N1094">
        <v>42</v>
      </c>
      <c r="P1094">
        <v>0</v>
      </c>
      <c r="Q1094" t="s">
        <v>75</v>
      </c>
      <c r="R1094">
        <v>22</v>
      </c>
      <c r="S1094" t="s">
        <v>41</v>
      </c>
    </row>
    <row r="1095" spans="1:19" x14ac:dyDescent="0.3">
      <c r="A1095" t="s">
        <v>3002</v>
      </c>
      <c r="B1095" s="2">
        <v>45475</v>
      </c>
      <c r="C1095" t="s">
        <v>59</v>
      </c>
      <c r="D1095" t="s">
        <v>36</v>
      </c>
      <c r="E1095" t="s">
        <v>3003</v>
      </c>
      <c r="F1095" t="s">
        <v>115</v>
      </c>
      <c r="G1095" t="s">
        <v>79</v>
      </c>
      <c r="H1095" t="s">
        <v>80</v>
      </c>
      <c r="I1095" t="s">
        <v>26</v>
      </c>
      <c r="J1095">
        <v>4</v>
      </c>
      <c r="K1095">
        <v>312</v>
      </c>
      <c r="L1095">
        <v>1248</v>
      </c>
      <c r="M1095">
        <v>4.4000000000000004</v>
      </c>
      <c r="N1095">
        <v>42</v>
      </c>
      <c r="P1095">
        <v>0</v>
      </c>
      <c r="Q1095" t="s">
        <v>75</v>
      </c>
      <c r="R1095">
        <v>45</v>
      </c>
      <c r="S1095" t="s">
        <v>41</v>
      </c>
    </row>
    <row r="1096" spans="1:19" x14ac:dyDescent="0.3">
      <c r="A1096" t="s">
        <v>3004</v>
      </c>
      <c r="B1096" s="2">
        <v>45316</v>
      </c>
      <c r="C1096" t="s">
        <v>43</v>
      </c>
      <c r="D1096" t="s">
        <v>92</v>
      </c>
      <c r="E1096" t="s">
        <v>3005</v>
      </c>
      <c r="F1096" t="s">
        <v>115</v>
      </c>
      <c r="G1096" t="s">
        <v>201</v>
      </c>
      <c r="H1096" t="s">
        <v>80</v>
      </c>
      <c r="I1096" t="s">
        <v>26</v>
      </c>
      <c r="J1096">
        <v>2</v>
      </c>
      <c r="K1096">
        <v>166</v>
      </c>
      <c r="L1096">
        <v>332</v>
      </c>
      <c r="M1096">
        <v>3</v>
      </c>
      <c r="N1096">
        <v>47</v>
      </c>
      <c r="P1096">
        <v>0</v>
      </c>
      <c r="Q1096" t="s">
        <v>27</v>
      </c>
      <c r="R1096">
        <v>44</v>
      </c>
      <c r="S1096" t="s">
        <v>28</v>
      </c>
    </row>
    <row r="1097" spans="1:19" x14ac:dyDescent="0.3">
      <c r="A1097" t="s">
        <v>3006</v>
      </c>
      <c r="B1097" s="2">
        <v>45486</v>
      </c>
      <c r="C1097" t="s">
        <v>59</v>
      </c>
      <c r="D1097" t="s">
        <v>100</v>
      </c>
      <c r="E1097" t="s">
        <v>3007</v>
      </c>
      <c r="F1097" t="s">
        <v>23</v>
      </c>
      <c r="G1097" t="s">
        <v>3008</v>
      </c>
      <c r="H1097" t="s">
        <v>48</v>
      </c>
      <c r="I1097" t="s">
        <v>33</v>
      </c>
      <c r="J1097">
        <v>3</v>
      </c>
      <c r="K1097">
        <v>267</v>
      </c>
      <c r="L1097">
        <v>801</v>
      </c>
      <c r="M1097">
        <v>4.3</v>
      </c>
      <c r="N1097">
        <v>30</v>
      </c>
      <c r="O1097">
        <v>100</v>
      </c>
      <c r="P1097">
        <v>50</v>
      </c>
      <c r="Q1097" t="s">
        <v>27</v>
      </c>
      <c r="R1097">
        <v>42</v>
      </c>
      <c r="S1097" t="s">
        <v>41</v>
      </c>
    </row>
    <row r="1098" spans="1:19" x14ac:dyDescent="0.3">
      <c r="A1098" t="s">
        <v>3009</v>
      </c>
      <c r="B1098" s="2">
        <v>45387</v>
      </c>
      <c r="C1098" t="s">
        <v>20</v>
      </c>
      <c r="D1098" t="s">
        <v>21</v>
      </c>
      <c r="E1098" t="s">
        <v>3010</v>
      </c>
      <c r="F1098" t="s">
        <v>3011</v>
      </c>
      <c r="G1098" t="s">
        <v>3012</v>
      </c>
      <c r="H1098" t="s">
        <v>40</v>
      </c>
      <c r="I1098" t="s">
        <v>26</v>
      </c>
      <c r="J1098">
        <v>3</v>
      </c>
      <c r="K1098">
        <v>394</v>
      </c>
      <c r="L1098">
        <v>1182</v>
      </c>
      <c r="M1098">
        <v>3.6</v>
      </c>
      <c r="N1098">
        <v>28</v>
      </c>
      <c r="O1098">
        <v>100</v>
      </c>
      <c r="P1098">
        <v>50</v>
      </c>
      <c r="Q1098" t="s">
        <v>75</v>
      </c>
      <c r="R1098">
        <v>25</v>
      </c>
      <c r="S1098" t="s">
        <v>41</v>
      </c>
    </row>
    <row r="1099" spans="1:19" x14ac:dyDescent="0.3">
      <c r="A1099" t="s">
        <v>3013</v>
      </c>
      <c r="B1099" s="2">
        <v>45486</v>
      </c>
      <c r="C1099" t="s">
        <v>59</v>
      </c>
      <c r="D1099" t="s">
        <v>100</v>
      </c>
      <c r="E1099" t="s">
        <v>3014</v>
      </c>
      <c r="F1099" t="s">
        <v>46</v>
      </c>
      <c r="G1099" t="s">
        <v>3015</v>
      </c>
      <c r="H1099" t="s">
        <v>64</v>
      </c>
      <c r="I1099" t="s">
        <v>26</v>
      </c>
      <c r="J1099">
        <v>1</v>
      </c>
      <c r="K1099">
        <v>276</v>
      </c>
      <c r="L1099">
        <v>276</v>
      </c>
      <c r="M1099">
        <v>3.3</v>
      </c>
      <c r="N1099">
        <v>25</v>
      </c>
      <c r="O1099">
        <v>100</v>
      </c>
      <c r="P1099">
        <v>50</v>
      </c>
      <c r="Q1099" t="s">
        <v>49</v>
      </c>
      <c r="R1099">
        <v>40</v>
      </c>
      <c r="S1099" t="s">
        <v>41</v>
      </c>
    </row>
    <row r="1100" spans="1:19" x14ac:dyDescent="0.3">
      <c r="A1100" t="s">
        <v>3016</v>
      </c>
      <c r="B1100" s="2">
        <v>45446</v>
      </c>
      <c r="C1100" t="s">
        <v>30</v>
      </c>
      <c r="D1100" t="s">
        <v>44</v>
      </c>
      <c r="E1100" t="s">
        <v>3017</v>
      </c>
      <c r="F1100" t="s">
        <v>46</v>
      </c>
      <c r="G1100" t="s">
        <v>2161</v>
      </c>
      <c r="H1100" t="s">
        <v>53</v>
      </c>
      <c r="I1100" t="s">
        <v>26</v>
      </c>
      <c r="J1100">
        <v>3</v>
      </c>
      <c r="K1100">
        <v>321</v>
      </c>
      <c r="L1100">
        <v>963</v>
      </c>
      <c r="M1100">
        <v>3.8</v>
      </c>
      <c r="N1100">
        <v>29</v>
      </c>
      <c r="O1100">
        <v>40</v>
      </c>
      <c r="P1100">
        <v>10</v>
      </c>
      <c r="Q1100" t="s">
        <v>34</v>
      </c>
      <c r="R1100">
        <v>18</v>
      </c>
      <c r="S1100" t="s">
        <v>41</v>
      </c>
    </row>
    <row r="1101" spans="1:19" x14ac:dyDescent="0.3">
      <c r="A1101" t="s">
        <v>3018</v>
      </c>
      <c r="B1101" s="2">
        <v>45384</v>
      </c>
      <c r="C1101" t="s">
        <v>20</v>
      </c>
      <c r="D1101" t="s">
        <v>36</v>
      </c>
      <c r="E1101" t="s">
        <v>3019</v>
      </c>
      <c r="F1101" t="s">
        <v>23</v>
      </c>
      <c r="G1101" t="s">
        <v>1300</v>
      </c>
      <c r="H1101" t="s">
        <v>40</v>
      </c>
      <c r="I1101" t="s">
        <v>26</v>
      </c>
      <c r="J1101">
        <v>4</v>
      </c>
      <c r="K1101">
        <v>563</v>
      </c>
      <c r="L1101">
        <v>2252</v>
      </c>
      <c r="M1101">
        <v>3.5</v>
      </c>
      <c r="N1101">
        <v>33</v>
      </c>
      <c r="O1101">
        <v>100</v>
      </c>
      <c r="P1101">
        <v>50</v>
      </c>
      <c r="Q1101" t="s">
        <v>75</v>
      </c>
      <c r="R1101">
        <v>37</v>
      </c>
      <c r="S1101" t="s">
        <v>28</v>
      </c>
    </row>
    <row r="1102" spans="1:19" x14ac:dyDescent="0.3">
      <c r="A1102" t="s">
        <v>3020</v>
      </c>
      <c r="B1102" s="2">
        <v>45451</v>
      </c>
      <c r="C1102" t="s">
        <v>30</v>
      </c>
      <c r="D1102" t="s">
        <v>100</v>
      </c>
      <c r="E1102" t="s">
        <v>3021</v>
      </c>
      <c r="F1102" t="s">
        <v>46</v>
      </c>
      <c r="G1102" t="s">
        <v>1821</v>
      </c>
      <c r="H1102" t="s">
        <v>64</v>
      </c>
      <c r="I1102" t="s">
        <v>26</v>
      </c>
      <c r="J1102">
        <v>1</v>
      </c>
      <c r="K1102">
        <v>521</v>
      </c>
      <c r="L1102">
        <v>521</v>
      </c>
      <c r="M1102">
        <v>4.8</v>
      </c>
      <c r="N1102">
        <v>19</v>
      </c>
      <c r="P1102">
        <v>0</v>
      </c>
      <c r="Q1102" t="s">
        <v>75</v>
      </c>
      <c r="R1102">
        <v>29</v>
      </c>
      <c r="S1102" t="s">
        <v>28</v>
      </c>
    </row>
    <row r="1103" spans="1:19" x14ac:dyDescent="0.3">
      <c r="A1103" t="s">
        <v>3022</v>
      </c>
      <c r="B1103" s="2">
        <v>45469</v>
      </c>
      <c r="C1103" t="s">
        <v>30</v>
      </c>
      <c r="D1103" t="s">
        <v>72</v>
      </c>
      <c r="E1103" t="s">
        <v>3023</v>
      </c>
      <c r="F1103" t="s">
        <v>23</v>
      </c>
      <c r="G1103" t="s">
        <v>204</v>
      </c>
      <c r="H1103" t="s">
        <v>80</v>
      </c>
      <c r="I1103" t="s">
        <v>26</v>
      </c>
      <c r="J1103">
        <v>1</v>
      </c>
      <c r="K1103">
        <v>595</v>
      </c>
      <c r="L1103">
        <v>595</v>
      </c>
      <c r="M1103">
        <v>4</v>
      </c>
      <c r="N1103">
        <v>25</v>
      </c>
      <c r="O1103">
        <v>50</v>
      </c>
      <c r="P1103">
        <v>20</v>
      </c>
      <c r="Q1103" t="s">
        <v>49</v>
      </c>
      <c r="R1103">
        <v>40</v>
      </c>
      <c r="S1103" t="s">
        <v>28</v>
      </c>
    </row>
    <row r="1104" spans="1:19" x14ac:dyDescent="0.3">
      <c r="A1104" t="s">
        <v>3024</v>
      </c>
      <c r="B1104" s="2">
        <v>45352</v>
      </c>
      <c r="C1104" t="s">
        <v>55</v>
      </c>
      <c r="D1104" t="s">
        <v>21</v>
      </c>
      <c r="E1104" t="s">
        <v>3025</v>
      </c>
      <c r="F1104" t="s">
        <v>46</v>
      </c>
      <c r="G1104" t="s">
        <v>3026</v>
      </c>
      <c r="H1104" t="s">
        <v>48</v>
      </c>
      <c r="I1104" t="s">
        <v>33</v>
      </c>
      <c r="J1104">
        <v>1</v>
      </c>
      <c r="K1104">
        <v>538</v>
      </c>
      <c r="L1104">
        <v>538</v>
      </c>
      <c r="M1104">
        <v>4.0999999999999996</v>
      </c>
      <c r="N1104">
        <v>25</v>
      </c>
      <c r="O1104">
        <v>120</v>
      </c>
      <c r="P1104">
        <v>60</v>
      </c>
      <c r="Q1104" t="s">
        <v>75</v>
      </c>
      <c r="R1104">
        <v>49</v>
      </c>
      <c r="S1104" t="s">
        <v>28</v>
      </c>
    </row>
    <row r="1105" spans="1:19" x14ac:dyDescent="0.3">
      <c r="A1105" t="s">
        <v>3027</v>
      </c>
      <c r="B1105" s="2">
        <v>45413</v>
      </c>
      <c r="C1105" t="s">
        <v>71</v>
      </c>
      <c r="D1105" t="s">
        <v>72</v>
      </c>
      <c r="E1105" t="s">
        <v>3028</v>
      </c>
      <c r="F1105" t="s">
        <v>23</v>
      </c>
      <c r="G1105" t="s">
        <v>3029</v>
      </c>
      <c r="H1105" t="s">
        <v>53</v>
      </c>
      <c r="I1105" t="s">
        <v>26</v>
      </c>
      <c r="J1105">
        <v>1</v>
      </c>
      <c r="K1105">
        <v>546</v>
      </c>
      <c r="L1105">
        <v>546</v>
      </c>
      <c r="M1105">
        <v>4.0999999999999996</v>
      </c>
      <c r="N1105">
        <v>29</v>
      </c>
      <c r="P1105">
        <v>0</v>
      </c>
      <c r="Q1105" t="s">
        <v>75</v>
      </c>
      <c r="R1105">
        <v>28</v>
      </c>
      <c r="S1105" t="s">
        <v>28</v>
      </c>
    </row>
    <row r="1106" spans="1:19" x14ac:dyDescent="0.3">
      <c r="A1106" t="s">
        <v>3030</v>
      </c>
      <c r="B1106" s="2">
        <v>45342</v>
      </c>
      <c r="C1106" t="s">
        <v>113</v>
      </c>
      <c r="D1106" t="s">
        <v>36</v>
      </c>
      <c r="E1106" t="s">
        <v>3031</v>
      </c>
      <c r="F1106" t="s">
        <v>23</v>
      </c>
      <c r="G1106" t="s">
        <v>3032</v>
      </c>
      <c r="H1106" t="s">
        <v>80</v>
      </c>
      <c r="I1106" t="s">
        <v>26</v>
      </c>
      <c r="J1106">
        <v>4</v>
      </c>
      <c r="K1106">
        <v>598</v>
      </c>
      <c r="L1106">
        <v>2392</v>
      </c>
      <c r="M1106">
        <v>4.3</v>
      </c>
      <c r="N1106">
        <v>34</v>
      </c>
      <c r="P1106">
        <v>0</v>
      </c>
      <c r="Q1106" t="s">
        <v>34</v>
      </c>
      <c r="R1106">
        <v>24</v>
      </c>
      <c r="S1106" t="s">
        <v>28</v>
      </c>
    </row>
    <row r="1107" spans="1:19" x14ac:dyDescent="0.3">
      <c r="A1107" t="s">
        <v>3033</v>
      </c>
      <c r="B1107" s="2">
        <v>45438</v>
      </c>
      <c r="C1107" t="s">
        <v>71</v>
      </c>
      <c r="D1107" t="s">
        <v>60</v>
      </c>
      <c r="E1107" t="s">
        <v>3034</v>
      </c>
      <c r="F1107" t="s">
        <v>667</v>
      </c>
      <c r="G1107" t="s">
        <v>3035</v>
      </c>
      <c r="H1107" t="s">
        <v>64</v>
      </c>
      <c r="I1107" t="s">
        <v>26</v>
      </c>
      <c r="J1107">
        <v>1</v>
      </c>
      <c r="K1107">
        <v>594</v>
      </c>
      <c r="L1107">
        <v>594</v>
      </c>
      <c r="M1107">
        <v>3.9</v>
      </c>
      <c r="N1107">
        <v>35</v>
      </c>
      <c r="O1107">
        <v>600</v>
      </c>
      <c r="P1107">
        <v>15</v>
      </c>
      <c r="Q1107" t="s">
        <v>34</v>
      </c>
      <c r="R1107">
        <v>32</v>
      </c>
      <c r="S1107" t="s">
        <v>41</v>
      </c>
    </row>
    <row r="1108" spans="1:19" x14ac:dyDescent="0.3">
      <c r="A1108" t="s">
        <v>3036</v>
      </c>
      <c r="B1108" s="2">
        <v>45312</v>
      </c>
      <c r="C1108" t="s">
        <v>43</v>
      </c>
      <c r="D1108" t="s">
        <v>60</v>
      </c>
      <c r="E1108" t="s">
        <v>3037</v>
      </c>
      <c r="F1108" t="s">
        <v>115</v>
      </c>
      <c r="G1108" t="s">
        <v>3038</v>
      </c>
      <c r="H1108" t="s">
        <v>80</v>
      </c>
      <c r="I1108" t="s">
        <v>26</v>
      </c>
      <c r="J1108">
        <v>3</v>
      </c>
      <c r="K1108">
        <v>245</v>
      </c>
      <c r="L1108">
        <v>735</v>
      </c>
      <c r="P1108">
        <v>0</v>
      </c>
      <c r="Q1108" t="s">
        <v>34</v>
      </c>
      <c r="R1108">
        <v>39</v>
      </c>
      <c r="S1108" t="s">
        <v>28</v>
      </c>
    </row>
    <row r="1109" spans="1:19" x14ac:dyDescent="0.3">
      <c r="A1109" t="s">
        <v>3039</v>
      </c>
      <c r="B1109" s="2">
        <v>45296</v>
      </c>
      <c r="C1109" t="s">
        <v>43</v>
      </c>
      <c r="D1109" t="s">
        <v>21</v>
      </c>
      <c r="E1109" t="s">
        <v>3040</v>
      </c>
      <c r="F1109" t="s">
        <v>46</v>
      </c>
      <c r="G1109" t="s">
        <v>186</v>
      </c>
      <c r="H1109" t="s">
        <v>80</v>
      </c>
      <c r="I1109" t="s">
        <v>26</v>
      </c>
      <c r="J1109">
        <v>4</v>
      </c>
      <c r="K1109">
        <v>514</v>
      </c>
      <c r="L1109">
        <v>2056</v>
      </c>
      <c r="P1109">
        <v>0</v>
      </c>
      <c r="Q1109" t="s">
        <v>27</v>
      </c>
      <c r="R1109">
        <v>41</v>
      </c>
      <c r="S1109" t="s">
        <v>41</v>
      </c>
    </row>
    <row r="1110" spans="1:19" x14ac:dyDescent="0.3">
      <c r="A1110" t="s">
        <v>3041</v>
      </c>
      <c r="B1110" s="2">
        <v>45501</v>
      </c>
      <c r="C1110" t="s">
        <v>59</v>
      </c>
      <c r="D1110" t="s">
        <v>60</v>
      </c>
      <c r="E1110" t="s">
        <v>3042</v>
      </c>
      <c r="F1110" t="s">
        <v>46</v>
      </c>
      <c r="G1110" t="s">
        <v>3043</v>
      </c>
      <c r="H1110" t="s">
        <v>48</v>
      </c>
      <c r="I1110" t="s">
        <v>33</v>
      </c>
      <c r="J1110">
        <v>2</v>
      </c>
      <c r="K1110">
        <v>424</v>
      </c>
      <c r="L1110">
        <v>848</v>
      </c>
      <c r="M1110">
        <v>3.4</v>
      </c>
      <c r="N1110">
        <v>44</v>
      </c>
      <c r="P1110">
        <v>0</v>
      </c>
      <c r="Q1110" t="s">
        <v>27</v>
      </c>
      <c r="R1110">
        <v>28</v>
      </c>
      <c r="S1110" t="s">
        <v>41</v>
      </c>
    </row>
    <row r="1111" spans="1:19" x14ac:dyDescent="0.3">
      <c r="A1111" t="s">
        <v>3044</v>
      </c>
      <c r="B1111" s="2">
        <v>45383</v>
      </c>
      <c r="C1111" t="s">
        <v>20</v>
      </c>
      <c r="D1111" t="s">
        <v>44</v>
      </c>
      <c r="E1111" t="s">
        <v>3045</v>
      </c>
      <c r="F1111" t="s">
        <v>46</v>
      </c>
      <c r="G1111" t="s">
        <v>186</v>
      </c>
      <c r="H1111" t="s">
        <v>80</v>
      </c>
      <c r="I1111" t="s">
        <v>26</v>
      </c>
      <c r="J1111">
        <v>2</v>
      </c>
      <c r="K1111">
        <v>488</v>
      </c>
      <c r="L1111">
        <v>976</v>
      </c>
      <c r="O1111">
        <v>159</v>
      </c>
      <c r="P1111">
        <v>25</v>
      </c>
      <c r="Q1111" t="s">
        <v>34</v>
      </c>
      <c r="R1111">
        <v>46</v>
      </c>
      <c r="S1111" t="s">
        <v>41</v>
      </c>
    </row>
    <row r="1112" spans="1:19" x14ac:dyDescent="0.3">
      <c r="A1112" t="s">
        <v>3046</v>
      </c>
      <c r="B1112" s="2">
        <v>45461</v>
      </c>
      <c r="C1112" t="s">
        <v>30</v>
      </c>
      <c r="D1112" t="s">
        <v>36</v>
      </c>
      <c r="E1112" t="s">
        <v>3047</v>
      </c>
      <c r="F1112" t="s">
        <v>46</v>
      </c>
      <c r="G1112" t="s">
        <v>186</v>
      </c>
      <c r="H1112" t="s">
        <v>80</v>
      </c>
      <c r="I1112" t="s">
        <v>26</v>
      </c>
      <c r="J1112">
        <v>3</v>
      </c>
      <c r="K1112">
        <v>413</v>
      </c>
      <c r="L1112">
        <v>1239</v>
      </c>
      <c r="P1112">
        <v>0</v>
      </c>
      <c r="Q1112" t="s">
        <v>34</v>
      </c>
      <c r="R1112">
        <v>39</v>
      </c>
      <c r="S1112" t="s">
        <v>28</v>
      </c>
    </row>
    <row r="1113" spans="1:19" x14ac:dyDescent="0.3">
      <c r="A1113" t="s">
        <v>3048</v>
      </c>
      <c r="B1113" s="2">
        <v>45352</v>
      </c>
      <c r="C1113" t="s">
        <v>55</v>
      </c>
      <c r="D1113" t="s">
        <v>21</v>
      </c>
      <c r="E1113" t="s">
        <v>3049</v>
      </c>
      <c r="F1113" t="s">
        <v>46</v>
      </c>
      <c r="G1113" t="s">
        <v>109</v>
      </c>
      <c r="H1113" t="s">
        <v>64</v>
      </c>
      <c r="I1113" t="s">
        <v>26</v>
      </c>
      <c r="J1113">
        <v>3</v>
      </c>
      <c r="K1113">
        <v>183</v>
      </c>
      <c r="L1113">
        <v>549</v>
      </c>
      <c r="P1113">
        <v>0</v>
      </c>
      <c r="Q1113" t="s">
        <v>27</v>
      </c>
      <c r="R1113">
        <v>43</v>
      </c>
      <c r="S1113" t="s">
        <v>41</v>
      </c>
    </row>
    <row r="1114" spans="1:19" x14ac:dyDescent="0.3">
      <c r="A1114" t="s">
        <v>3050</v>
      </c>
      <c r="B1114" s="2">
        <v>45313</v>
      </c>
      <c r="C1114" t="s">
        <v>43</v>
      </c>
      <c r="D1114" t="s">
        <v>44</v>
      </c>
      <c r="E1114" t="s">
        <v>3051</v>
      </c>
      <c r="F1114" t="s">
        <v>46</v>
      </c>
      <c r="G1114" t="s">
        <v>3052</v>
      </c>
      <c r="H1114" t="s">
        <v>80</v>
      </c>
      <c r="I1114" t="s">
        <v>26</v>
      </c>
      <c r="J1114">
        <v>4</v>
      </c>
      <c r="K1114">
        <v>444</v>
      </c>
      <c r="L1114">
        <v>1776</v>
      </c>
      <c r="P1114">
        <v>0</v>
      </c>
      <c r="Q1114" t="s">
        <v>49</v>
      </c>
      <c r="R1114">
        <v>33</v>
      </c>
      <c r="S1114" t="s">
        <v>28</v>
      </c>
    </row>
    <row r="1115" spans="1:19" x14ac:dyDescent="0.3">
      <c r="A1115" t="s">
        <v>3053</v>
      </c>
      <c r="B1115" s="2">
        <v>45440</v>
      </c>
      <c r="C1115" t="s">
        <v>71</v>
      </c>
      <c r="D1115" t="s">
        <v>36</v>
      </c>
      <c r="E1115" t="s">
        <v>3054</v>
      </c>
      <c r="F1115" t="s">
        <v>46</v>
      </c>
      <c r="G1115" t="s">
        <v>3055</v>
      </c>
      <c r="H1115" t="s">
        <v>80</v>
      </c>
      <c r="I1115" t="s">
        <v>26</v>
      </c>
      <c r="J1115">
        <v>2</v>
      </c>
      <c r="K1115">
        <v>511</v>
      </c>
      <c r="L1115">
        <v>1022</v>
      </c>
      <c r="P1115">
        <v>0</v>
      </c>
      <c r="Q1115" t="s">
        <v>75</v>
      </c>
      <c r="R1115">
        <v>20</v>
      </c>
      <c r="S1115" t="s">
        <v>41</v>
      </c>
    </row>
    <row r="1116" spans="1:19" x14ac:dyDescent="0.3">
      <c r="A1116" t="s">
        <v>3056</v>
      </c>
      <c r="B1116" s="2">
        <v>45361</v>
      </c>
      <c r="C1116" t="s">
        <v>55</v>
      </c>
      <c r="D1116" t="s">
        <v>60</v>
      </c>
      <c r="E1116" t="s">
        <v>3057</v>
      </c>
      <c r="F1116" t="s">
        <v>46</v>
      </c>
      <c r="G1116" t="s">
        <v>1255</v>
      </c>
      <c r="H1116" t="s">
        <v>53</v>
      </c>
      <c r="I1116" t="s">
        <v>26</v>
      </c>
      <c r="J1116">
        <v>2</v>
      </c>
      <c r="K1116">
        <v>537</v>
      </c>
      <c r="L1116">
        <v>1074</v>
      </c>
      <c r="P1116">
        <v>0</v>
      </c>
      <c r="Q1116" t="s">
        <v>75</v>
      </c>
      <c r="R1116">
        <v>37</v>
      </c>
      <c r="S1116" t="s">
        <v>41</v>
      </c>
    </row>
    <row r="1117" spans="1:19" x14ac:dyDescent="0.3">
      <c r="A1117" t="s">
        <v>3058</v>
      </c>
      <c r="B1117" s="2">
        <v>45292</v>
      </c>
      <c r="C1117" t="s">
        <v>43</v>
      </c>
      <c r="D1117" t="s">
        <v>44</v>
      </c>
      <c r="E1117" t="s">
        <v>3059</v>
      </c>
      <c r="F1117" t="s">
        <v>137</v>
      </c>
      <c r="G1117" t="s">
        <v>3060</v>
      </c>
      <c r="H1117" t="s">
        <v>80</v>
      </c>
      <c r="I1117" t="s">
        <v>26</v>
      </c>
      <c r="J1117">
        <v>2</v>
      </c>
      <c r="K1117">
        <v>295</v>
      </c>
      <c r="L1117">
        <v>590</v>
      </c>
      <c r="M1117">
        <v>4.4000000000000004</v>
      </c>
      <c r="N1117">
        <v>33</v>
      </c>
      <c r="P1117">
        <v>0</v>
      </c>
      <c r="Q1117" t="s">
        <v>34</v>
      </c>
      <c r="R1117">
        <v>31</v>
      </c>
      <c r="S1117" t="s">
        <v>28</v>
      </c>
    </row>
    <row r="1118" spans="1:19" x14ac:dyDescent="0.3">
      <c r="A1118" t="s">
        <v>3061</v>
      </c>
      <c r="B1118" s="2">
        <v>45424</v>
      </c>
      <c r="C1118" t="s">
        <v>71</v>
      </c>
      <c r="D1118" t="s">
        <v>60</v>
      </c>
      <c r="E1118" t="s">
        <v>3062</v>
      </c>
      <c r="F1118" t="s">
        <v>46</v>
      </c>
      <c r="G1118" t="s">
        <v>3063</v>
      </c>
      <c r="H1118" t="s">
        <v>80</v>
      </c>
      <c r="I1118" t="s">
        <v>26</v>
      </c>
      <c r="J1118">
        <v>2</v>
      </c>
      <c r="K1118">
        <v>235</v>
      </c>
      <c r="L1118">
        <v>470</v>
      </c>
      <c r="P1118">
        <v>0</v>
      </c>
      <c r="Q1118" t="s">
        <v>49</v>
      </c>
      <c r="R1118">
        <v>20</v>
      </c>
      <c r="S1118" t="s">
        <v>41</v>
      </c>
    </row>
    <row r="1119" spans="1:19" x14ac:dyDescent="0.3">
      <c r="A1119" t="s">
        <v>3064</v>
      </c>
      <c r="B1119" s="2">
        <v>45524</v>
      </c>
      <c r="C1119" t="s">
        <v>82</v>
      </c>
      <c r="D1119" t="s">
        <v>36</v>
      </c>
      <c r="E1119" t="s">
        <v>3065</v>
      </c>
      <c r="F1119" t="s">
        <v>46</v>
      </c>
      <c r="G1119" t="s">
        <v>64</v>
      </c>
      <c r="H1119" t="s">
        <v>64</v>
      </c>
      <c r="I1119" t="s">
        <v>26</v>
      </c>
      <c r="J1119">
        <v>2</v>
      </c>
      <c r="K1119">
        <v>559</v>
      </c>
      <c r="L1119">
        <v>1118</v>
      </c>
      <c r="P1119">
        <v>0</v>
      </c>
      <c r="Q1119" t="s">
        <v>27</v>
      </c>
      <c r="R1119">
        <v>18</v>
      </c>
      <c r="S1119" t="s">
        <v>41</v>
      </c>
    </row>
    <row r="1120" spans="1:19" x14ac:dyDescent="0.3">
      <c r="A1120" t="s">
        <v>3066</v>
      </c>
      <c r="B1120" s="2">
        <v>45303</v>
      </c>
      <c r="C1120" t="s">
        <v>43</v>
      </c>
      <c r="D1120" t="s">
        <v>21</v>
      </c>
      <c r="E1120" t="s">
        <v>3067</v>
      </c>
      <c r="F1120" t="s">
        <v>46</v>
      </c>
      <c r="G1120" t="s">
        <v>80</v>
      </c>
      <c r="H1120" t="s">
        <v>80</v>
      </c>
      <c r="I1120" t="s">
        <v>26</v>
      </c>
      <c r="J1120">
        <v>1</v>
      </c>
      <c r="K1120">
        <v>323</v>
      </c>
      <c r="L1120">
        <v>323</v>
      </c>
      <c r="P1120">
        <v>0</v>
      </c>
      <c r="Q1120" t="s">
        <v>34</v>
      </c>
      <c r="R1120">
        <v>48</v>
      </c>
      <c r="S1120" t="s">
        <v>41</v>
      </c>
    </row>
    <row r="1121" spans="1:19" x14ac:dyDescent="0.3">
      <c r="A1121" t="s">
        <v>3068</v>
      </c>
      <c r="B1121" s="2">
        <v>45381</v>
      </c>
      <c r="C1121" t="s">
        <v>55</v>
      </c>
      <c r="D1121" t="s">
        <v>100</v>
      </c>
      <c r="E1121" t="s">
        <v>3069</v>
      </c>
      <c r="F1121" t="s">
        <v>46</v>
      </c>
      <c r="G1121" t="s">
        <v>109</v>
      </c>
      <c r="H1121" t="s">
        <v>64</v>
      </c>
      <c r="I1121" t="s">
        <v>26</v>
      </c>
      <c r="J1121">
        <v>3</v>
      </c>
      <c r="K1121">
        <v>440</v>
      </c>
      <c r="L1121">
        <v>1320</v>
      </c>
      <c r="M1121">
        <v>2.7</v>
      </c>
      <c r="N1121">
        <v>37</v>
      </c>
      <c r="P1121">
        <v>0</v>
      </c>
      <c r="Q1121" t="s">
        <v>49</v>
      </c>
      <c r="R1121">
        <v>43</v>
      </c>
      <c r="S1121" t="s">
        <v>41</v>
      </c>
    </row>
    <row r="1122" spans="1:19" x14ac:dyDescent="0.3">
      <c r="A1122" t="s">
        <v>3070</v>
      </c>
      <c r="B1122" s="2">
        <v>45337</v>
      </c>
      <c r="C1122" t="s">
        <v>113</v>
      </c>
      <c r="D1122" t="s">
        <v>92</v>
      </c>
      <c r="E1122" t="s">
        <v>3071</v>
      </c>
      <c r="F1122" t="s">
        <v>115</v>
      </c>
      <c r="G1122" t="s">
        <v>3072</v>
      </c>
      <c r="H1122" t="s">
        <v>48</v>
      </c>
      <c r="I1122" t="s">
        <v>33</v>
      </c>
      <c r="J1122">
        <v>1</v>
      </c>
      <c r="K1122">
        <v>150</v>
      </c>
      <c r="L1122">
        <v>150</v>
      </c>
      <c r="M1122">
        <v>4.0999999999999996</v>
      </c>
      <c r="N1122">
        <v>34</v>
      </c>
      <c r="P1122">
        <v>0</v>
      </c>
      <c r="Q1122" t="s">
        <v>49</v>
      </c>
      <c r="R1122">
        <v>38</v>
      </c>
      <c r="S1122" t="s">
        <v>28</v>
      </c>
    </row>
    <row r="1123" spans="1:19" x14ac:dyDescent="0.3">
      <c r="A1123" t="s">
        <v>3073</v>
      </c>
      <c r="B1123" s="2">
        <v>45325</v>
      </c>
      <c r="C1123" t="s">
        <v>113</v>
      </c>
      <c r="D1123" t="s">
        <v>100</v>
      </c>
      <c r="E1123" t="s">
        <v>3074</v>
      </c>
      <c r="F1123" t="s">
        <v>268</v>
      </c>
      <c r="G1123" t="s">
        <v>3075</v>
      </c>
      <c r="H1123" t="s">
        <v>80</v>
      </c>
      <c r="I1123" t="s">
        <v>26</v>
      </c>
      <c r="J1123">
        <v>2</v>
      </c>
      <c r="K1123">
        <v>507</v>
      </c>
      <c r="L1123">
        <v>1014</v>
      </c>
      <c r="M1123">
        <v>3.8</v>
      </c>
      <c r="N1123">
        <v>37</v>
      </c>
      <c r="P1123">
        <v>0</v>
      </c>
      <c r="Q1123" t="s">
        <v>49</v>
      </c>
      <c r="R1123">
        <v>32</v>
      </c>
      <c r="S1123" t="s">
        <v>41</v>
      </c>
    </row>
    <row r="1124" spans="1:19" x14ac:dyDescent="0.3">
      <c r="A1124" t="s">
        <v>3076</v>
      </c>
      <c r="B1124" s="2">
        <v>45468</v>
      </c>
      <c r="C1124" t="s">
        <v>30</v>
      </c>
      <c r="D1124" t="s">
        <v>36</v>
      </c>
      <c r="E1124" t="s">
        <v>3077</v>
      </c>
      <c r="F1124" t="s">
        <v>115</v>
      </c>
      <c r="G1124" t="s">
        <v>3078</v>
      </c>
      <c r="H1124" t="s">
        <v>80</v>
      </c>
      <c r="I1124" t="s">
        <v>33</v>
      </c>
      <c r="J1124">
        <v>4</v>
      </c>
      <c r="K1124">
        <v>232</v>
      </c>
      <c r="L1124">
        <v>928</v>
      </c>
      <c r="M1124">
        <v>1.5</v>
      </c>
      <c r="N1124">
        <v>39</v>
      </c>
      <c r="P1124">
        <v>0</v>
      </c>
      <c r="Q1124" t="s">
        <v>27</v>
      </c>
      <c r="R1124">
        <v>18</v>
      </c>
      <c r="S1124" t="s">
        <v>41</v>
      </c>
    </row>
    <row r="1125" spans="1:19" x14ac:dyDescent="0.3">
      <c r="A1125" t="s">
        <v>3079</v>
      </c>
      <c r="B1125" s="2">
        <v>45369</v>
      </c>
      <c r="C1125" t="s">
        <v>55</v>
      </c>
      <c r="D1125" t="s">
        <v>44</v>
      </c>
      <c r="E1125" t="s">
        <v>3080</v>
      </c>
      <c r="F1125" t="s">
        <v>62</v>
      </c>
      <c r="G1125" t="s">
        <v>3081</v>
      </c>
      <c r="H1125" t="s">
        <v>40</v>
      </c>
      <c r="I1125" t="s">
        <v>26</v>
      </c>
      <c r="J1125">
        <v>4</v>
      </c>
      <c r="K1125">
        <v>484</v>
      </c>
      <c r="L1125">
        <v>1936</v>
      </c>
      <c r="M1125">
        <v>3.7</v>
      </c>
      <c r="N1125">
        <v>39</v>
      </c>
      <c r="P1125">
        <v>0</v>
      </c>
      <c r="Q1125" t="s">
        <v>27</v>
      </c>
      <c r="R1125">
        <v>34</v>
      </c>
      <c r="S1125" t="s">
        <v>28</v>
      </c>
    </row>
    <row r="1126" spans="1:19" x14ac:dyDescent="0.3">
      <c r="A1126" t="s">
        <v>3082</v>
      </c>
      <c r="B1126" s="2">
        <v>45509</v>
      </c>
      <c r="C1126" t="s">
        <v>82</v>
      </c>
      <c r="D1126" t="s">
        <v>44</v>
      </c>
      <c r="E1126" t="s">
        <v>3083</v>
      </c>
      <c r="F1126" t="s">
        <v>62</v>
      </c>
      <c r="G1126" t="s">
        <v>373</v>
      </c>
      <c r="H1126" t="s">
        <v>80</v>
      </c>
      <c r="I1126" t="s">
        <v>26</v>
      </c>
      <c r="J1126">
        <v>2</v>
      </c>
      <c r="K1126">
        <v>553</v>
      </c>
      <c r="L1126">
        <v>1106</v>
      </c>
      <c r="M1126">
        <v>4.0999999999999996</v>
      </c>
      <c r="N1126">
        <v>37</v>
      </c>
      <c r="P1126">
        <v>0</v>
      </c>
      <c r="Q1126" t="s">
        <v>75</v>
      </c>
      <c r="R1126">
        <v>19</v>
      </c>
      <c r="S1126" t="s">
        <v>41</v>
      </c>
    </row>
    <row r="1127" spans="1:19" x14ac:dyDescent="0.3">
      <c r="A1127" t="s">
        <v>3084</v>
      </c>
      <c r="B1127" s="2">
        <v>45336</v>
      </c>
      <c r="C1127" t="s">
        <v>113</v>
      </c>
      <c r="D1127" t="s">
        <v>72</v>
      </c>
      <c r="E1127" t="s">
        <v>3085</v>
      </c>
      <c r="F1127" t="s">
        <v>713</v>
      </c>
      <c r="G1127" t="s">
        <v>3086</v>
      </c>
      <c r="H1127" t="s">
        <v>40</v>
      </c>
      <c r="I1127" t="s">
        <v>26</v>
      </c>
      <c r="J1127">
        <v>2</v>
      </c>
      <c r="K1127">
        <v>444</v>
      </c>
      <c r="L1127">
        <v>888</v>
      </c>
      <c r="M1127">
        <v>3.8</v>
      </c>
      <c r="N1127">
        <v>38</v>
      </c>
      <c r="P1127">
        <v>0</v>
      </c>
      <c r="Q1127" t="s">
        <v>75</v>
      </c>
      <c r="R1127">
        <v>46</v>
      </c>
      <c r="S1127" t="s">
        <v>41</v>
      </c>
    </row>
    <row r="1128" spans="1:19" x14ac:dyDescent="0.3">
      <c r="A1128" t="s">
        <v>3087</v>
      </c>
      <c r="B1128" s="2">
        <v>45446</v>
      </c>
      <c r="C1128" t="s">
        <v>30</v>
      </c>
      <c r="D1128" t="s">
        <v>44</v>
      </c>
      <c r="E1128" t="s">
        <v>3088</v>
      </c>
      <c r="F1128" t="s">
        <v>115</v>
      </c>
      <c r="G1128" t="s">
        <v>3089</v>
      </c>
      <c r="H1128" t="s">
        <v>25</v>
      </c>
      <c r="I1128" t="s">
        <v>26</v>
      </c>
      <c r="J1128">
        <v>4</v>
      </c>
      <c r="K1128">
        <v>533</v>
      </c>
      <c r="L1128">
        <v>2132</v>
      </c>
      <c r="P1128">
        <v>0</v>
      </c>
      <c r="Q1128" t="s">
        <v>49</v>
      </c>
      <c r="R1128">
        <v>37</v>
      </c>
      <c r="S1128" t="s">
        <v>41</v>
      </c>
    </row>
    <row r="1129" spans="1:19" x14ac:dyDescent="0.3">
      <c r="A1129" t="s">
        <v>3090</v>
      </c>
      <c r="B1129" s="2">
        <v>45364</v>
      </c>
      <c r="C1129" t="s">
        <v>55</v>
      </c>
      <c r="D1129" t="s">
        <v>72</v>
      </c>
      <c r="E1129" t="s">
        <v>3091</v>
      </c>
      <c r="F1129" t="s">
        <v>713</v>
      </c>
      <c r="G1129" t="s">
        <v>3092</v>
      </c>
      <c r="H1129" t="s">
        <v>53</v>
      </c>
      <c r="I1129" t="s">
        <v>33</v>
      </c>
      <c r="J1129">
        <v>1</v>
      </c>
      <c r="K1129">
        <v>495</v>
      </c>
      <c r="L1129">
        <v>495</v>
      </c>
      <c r="M1129">
        <v>5</v>
      </c>
      <c r="N1129">
        <v>38</v>
      </c>
      <c r="P1129">
        <v>0</v>
      </c>
      <c r="Q1129" t="s">
        <v>49</v>
      </c>
      <c r="R1129">
        <v>23</v>
      </c>
      <c r="S1129" t="s">
        <v>41</v>
      </c>
    </row>
    <row r="1130" spans="1:19" x14ac:dyDescent="0.3">
      <c r="A1130" t="s">
        <v>3093</v>
      </c>
      <c r="B1130" s="2">
        <v>45317</v>
      </c>
      <c r="C1130" t="s">
        <v>43</v>
      </c>
      <c r="D1130" t="s">
        <v>21</v>
      </c>
      <c r="E1130" t="s">
        <v>3094</v>
      </c>
      <c r="F1130" t="s">
        <v>46</v>
      </c>
      <c r="G1130" t="s">
        <v>227</v>
      </c>
      <c r="H1130" t="s">
        <v>80</v>
      </c>
      <c r="I1130" t="s">
        <v>26</v>
      </c>
      <c r="J1130">
        <v>1</v>
      </c>
      <c r="K1130">
        <v>463</v>
      </c>
      <c r="L1130">
        <v>463</v>
      </c>
      <c r="M1130">
        <v>5</v>
      </c>
      <c r="N1130">
        <v>35</v>
      </c>
      <c r="P1130">
        <v>0</v>
      </c>
      <c r="Q1130" t="s">
        <v>27</v>
      </c>
      <c r="R1130">
        <v>25</v>
      </c>
      <c r="S1130" t="s">
        <v>28</v>
      </c>
    </row>
    <row r="1131" spans="1:19" x14ac:dyDescent="0.3">
      <c r="A1131" t="s">
        <v>3095</v>
      </c>
      <c r="B1131" s="2">
        <v>45338</v>
      </c>
      <c r="C1131" t="s">
        <v>113</v>
      </c>
      <c r="D1131" t="s">
        <v>21</v>
      </c>
      <c r="E1131" t="s">
        <v>3096</v>
      </c>
      <c r="F1131" t="s">
        <v>46</v>
      </c>
      <c r="G1131" t="s">
        <v>80</v>
      </c>
      <c r="H1131" t="s">
        <v>80</v>
      </c>
      <c r="I1131" t="s">
        <v>26</v>
      </c>
      <c r="J1131">
        <v>2</v>
      </c>
      <c r="K1131">
        <v>562</v>
      </c>
      <c r="L1131">
        <v>1124</v>
      </c>
      <c r="O1131">
        <v>999</v>
      </c>
      <c r="P1131">
        <v>0</v>
      </c>
      <c r="Q1131" t="s">
        <v>75</v>
      </c>
      <c r="R1131">
        <v>46</v>
      </c>
      <c r="S1131" t="s">
        <v>41</v>
      </c>
    </row>
    <row r="1132" spans="1:19" x14ac:dyDescent="0.3">
      <c r="A1132" t="s">
        <v>3097</v>
      </c>
      <c r="B1132" s="2">
        <v>45412</v>
      </c>
      <c r="C1132" t="s">
        <v>20</v>
      </c>
      <c r="D1132" t="s">
        <v>36</v>
      </c>
      <c r="E1132" t="s">
        <v>3098</v>
      </c>
      <c r="F1132" t="s">
        <v>46</v>
      </c>
      <c r="G1132" t="s">
        <v>3099</v>
      </c>
      <c r="H1132" t="s">
        <v>40</v>
      </c>
      <c r="I1132" t="s">
        <v>26</v>
      </c>
      <c r="J1132">
        <v>1</v>
      </c>
      <c r="K1132">
        <v>186</v>
      </c>
      <c r="L1132">
        <v>186</v>
      </c>
      <c r="O1132">
        <v>100</v>
      </c>
      <c r="P1132">
        <v>50</v>
      </c>
      <c r="Q1132" t="s">
        <v>49</v>
      </c>
      <c r="R1132">
        <v>33</v>
      </c>
      <c r="S1132" t="s">
        <v>28</v>
      </c>
    </row>
    <row r="1133" spans="1:19" x14ac:dyDescent="0.3">
      <c r="A1133" t="s">
        <v>3100</v>
      </c>
      <c r="B1133" s="2">
        <v>45505</v>
      </c>
      <c r="C1133" t="s">
        <v>82</v>
      </c>
      <c r="D1133" t="s">
        <v>92</v>
      </c>
      <c r="E1133" t="s">
        <v>3101</v>
      </c>
      <c r="F1133" t="s">
        <v>23</v>
      </c>
      <c r="G1133" t="s">
        <v>373</v>
      </c>
      <c r="H1133" t="s">
        <v>80</v>
      </c>
      <c r="I1133" t="s">
        <v>26</v>
      </c>
      <c r="J1133">
        <v>4</v>
      </c>
      <c r="K1133">
        <v>194</v>
      </c>
      <c r="L1133">
        <v>776</v>
      </c>
      <c r="M1133">
        <v>4.3</v>
      </c>
      <c r="N1133">
        <v>34</v>
      </c>
      <c r="P1133">
        <v>0</v>
      </c>
      <c r="Q1133" t="s">
        <v>75</v>
      </c>
      <c r="R1133">
        <v>36</v>
      </c>
      <c r="S1133" t="s">
        <v>41</v>
      </c>
    </row>
    <row r="1134" spans="1:19" x14ac:dyDescent="0.3">
      <c r="A1134" t="s">
        <v>3102</v>
      </c>
      <c r="B1134" s="2">
        <v>45530</v>
      </c>
      <c r="C1134" t="s">
        <v>82</v>
      </c>
      <c r="D1134" t="s">
        <v>44</v>
      </c>
      <c r="E1134" t="s">
        <v>3103</v>
      </c>
      <c r="F1134" t="s">
        <v>115</v>
      </c>
      <c r="G1134" t="s">
        <v>3104</v>
      </c>
      <c r="H1134" t="s">
        <v>48</v>
      </c>
      <c r="I1134" t="s">
        <v>33</v>
      </c>
      <c r="J1134">
        <v>1</v>
      </c>
      <c r="K1134">
        <v>164</v>
      </c>
      <c r="L1134">
        <v>164</v>
      </c>
      <c r="M1134">
        <v>4.3</v>
      </c>
      <c r="N1134">
        <v>50</v>
      </c>
      <c r="O1134">
        <v>600</v>
      </c>
      <c r="P1134">
        <v>10</v>
      </c>
      <c r="Q1134" t="s">
        <v>75</v>
      </c>
      <c r="R1134">
        <v>18</v>
      </c>
      <c r="S1134" t="s">
        <v>41</v>
      </c>
    </row>
    <row r="1135" spans="1:19" x14ac:dyDescent="0.3">
      <c r="A1135" t="s">
        <v>3105</v>
      </c>
      <c r="B1135" s="2">
        <v>45347</v>
      </c>
      <c r="C1135" t="s">
        <v>113</v>
      </c>
      <c r="D1135" t="s">
        <v>60</v>
      </c>
      <c r="E1135" t="s">
        <v>3106</v>
      </c>
      <c r="F1135" t="s">
        <v>115</v>
      </c>
      <c r="G1135" t="s">
        <v>154</v>
      </c>
      <c r="H1135" t="s">
        <v>80</v>
      </c>
      <c r="I1135" t="s">
        <v>26</v>
      </c>
      <c r="J1135">
        <v>2</v>
      </c>
      <c r="K1135">
        <v>379</v>
      </c>
      <c r="L1135">
        <v>758</v>
      </c>
      <c r="M1135">
        <v>5</v>
      </c>
      <c r="N1135">
        <v>50</v>
      </c>
      <c r="P1135">
        <v>0</v>
      </c>
      <c r="Q1135" t="s">
        <v>49</v>
      </c>
      <c r="R1135">
        <v>20</v>
      </c>
      <c r="S1135" t="s">
        <v>41</v>
      </c>
    </row>
    <row r="1136" spans="1:19" x14ac:dyDescent="0.3">
      <c r="A1136" t="s">
        <v>3107</v>
      </c>
      <c r="B1136" s="2">
        <v>45385</v>
      </c>
      <c r="C1136" t="s">
        <v>20</v>
      </c>
      <c r="D1136" t="s">
        <v>72</v>
      </c>
      <c r="E1136" t="s">
        <v>3108</v>
      </c>
      <c r="F1136" t="s">
        <v>450</v>
      </c>
      <c r="G1136" t="s">
        <v>2685</v>
      </c>
      <c r="H1136" t="s">
        <v>80</v>
      </c>
      <c r="I1136" t="s">
        <v>26</v>
      </c>
      <c r="J1136">
        <v>4</v>
      </c>
      <c r="K1136">
        <v>273</v>
      </c>
      <c r="L1136">
        <v>1092</v>
      </c>
      <c r="P1136">
        <v>0</v>
      </c>
      <c r="Q1136" t="s">
        <v>27</v>
      </c>
      <c r="R1136">
        <v>45</v>
      </c>
      <c r="S1136" t="s">
        <v>28</v>
      </c>
    </row>
    <row r="1137" spans="1:19" x14ac:dyDescent="0.3">
      <c r="A1137" t="s">
        <v>3109</v>
      </c>
      <c r="B1137" s="2">
        <v>45398</v>
      </c>
      <c r="C1137" t="s">
        <v>20</v>
      </c>
      <c r="D1137" t="s">
        <v>36</v>
      </c>
      <c r="E1137" t="s">
        <v>3110</v>
      </c>
      <c r="F1137" t="s">
        <v>713</v>
      </c>
      <c r="G1137" t="s">
        <v>3111</v>
      </c>
      <c r="H1137" t="s">
        <v>48</v>
      </c>
      <c r="I1137" t="s">
        <v>33</v>
      </c>
      <c r="J1137">
        <v>1</v>
      </c>
      <c r="K1137">
        <v>274</v>
      </c>
      <c r="L1137">
        <v>274</v>
      </c>
      <c r="M1137">
        <v>3.8</v>
      </c>
      <c r="N1137">
        <v>55</v>
      </c>
      <c r="P1137">
        <v>0</v>
      </c>
      <c r="Q1137" t="s">
        <v>49</v>
      </c>
      <c r="R1137">
        <v>20</v>
      </c>
      <c r="S1137" t="s">
        <v>41</v>
      </c>
    </row>
    <row r="1138" spans="1:19" x14ac:dyDescent="0.3">
      <c r="A1138" t="s">
        <v>3112</v>
      </c>
      <c r="B1138" s="2">
        <v>45354</v>
      </c>
      <c r="C1138" t="s">
        <v>55</v>
      </c>
      <c r="D1138" t="s">
        <v>60</v>
      </c>
      <c r="E1138" t="s">
        <v>3113</v>
      </c>
      <c r="F1138" t="s">
        <v>115</v>
      </c>
      <c r="G1138" t="s">
        <v>3089</v>
      </c>
      <c r="H1138" t="s">
        <v>25</v>
      </c>
      <c r="I1138" t="s">
        <v>26</v>
      </c>
      <c r="J1138">
        <v>3</v>
      </c>
      <c r="K1138">
        <v>549</v>
      </c>
      <c r="L1138">
        <v>1647</v>
      </c>
      <c r="P1138">
        <v>0</v>
      </c>
      <c r="Q1138" t="s">
        <v>49</v>
      </c>
      <c r="R1138">
        <v>22</v>
      </c>
      <c r="S1138" t="s">
        <v>41</v>
      </c>
    </row>
    <row r="1139" spans="1:19" x14ac:dyDescent="0.3">
      <c r="A1139" t="s">
        <v>3114</v>
      </c>
      <c r="B1139" s="2">
        <v>45339</v>
      </c>
      <c r="C1139" t="s">
        <v>113</v>
      </c>
      <c r="D1139" t="s">
        <v>100</v>
      </c>
      <c r="E1139" t="s">
        <v>3115</v>
      </c>
      <c r="F1139" t="s">
        <v>78</v>
      </c>
      <c r="G1139" t="s">
        <v>3116</v>
      </c>
      <c r="H1139" t="s">
        <v>53</v>
      </c>
      <c r="I1139" t="s">
        <v>26</v>
      </c>
      <c r="J1139">
        <v>4</v>
      </c>
      <c r="K1139">
        <v>482</v>
      </c>
      <c r="L1139">
        <v>1928</v>
      </c>
      <c r="M1139">
        <v>3.7</v>
      </c>
      <c r="N1139">
        <v>58</v>
      </c>
      <c r="P1139">
        <v>0</v>
      </c>
      <c r="Q1139" t="s">
        <v>75</v>
      </c>
      <c r="R1139">
        <v>44</v>
      </c>
      <c r="S1139" t="s">
        <v>28</v>
      </c>
    </row>
    <row r="1140" spans="1:19" x14ac:dyDescent="0.3">
      <c r="A1140" t="s">
        <v>3117</v>
      </c>
      <c r="B1140" s="2">
        <v>45352</v>
      </c>
      <c r="C1140" t="s">
        <v>55</v>
      </c>
      <c r="D1140" t="s">
        <v>21</v>
      </c>
      <c r="E1140" t="s">
        <v>3118</v>
      </c>
      <c r="F1140" t="s">
        <v>62</v>
      </c>
      <c r="G1140" t="s">
        <v>227</v>
      </c>
      <c r="H1140" t="s">
        <v>80</v>
      </c>
      <c r="I1140" t="s">
        <v>26</v>
      </c>
      <c r="J1140">
        <v>4</v>
      </c>
      <c r="K1140">
        <v>567</v>
      </c>
      <c r="L1140">
        <v>2268</v>
      </c>
      <c r="M1140">
        <v>4.3</v>
      </c>
      <c r="N1140">
        <v>43</v>
      </c>
      <c r="O1140">
        <v>999</v>
      </c>
      <c r="P1140">
        <v>0</v>
      </c>
      <c r="Q1140" t="s">
        <v>49</v>
      </c>
      <c r="R1140">
        <v>29</v>
      </c>
      <c r="S1140" t="s">
        <v>28</v>
      </c>
    </row>
    <row r="1141" spans="1:19" x14ac:dyDescent="0.3">
      <c r="A1141" t="s">
        <v>3119</v>
      </c>
      <c r="B1141" s="2">
        <v>45372</v>
      </c>
      <c r="C1141" t="s">
        <v>55</v>
      </c>
      <c r="D1141" t="s">
        <v>92</v>
      </c>
      <c r="E1141" t="s">
        <v>3120</v>
      </c>
      <c r="F1141" t="s">
        <v>192</v>
      </c>
      <c r="G1141" t="s">
        <v>3121</v>
      </c>
      <c r="H1141" t="s">
        <v>80</v>
      </c>
      <c r="I1141" t="s">
        <v>26</v>
      </c>
      <c r="J1141">
        <v>3</v>
      </c>
      <c r="K1141">
        <v>594</v>
      </c>
      <c r="L1141">
        <v>1782</v>
      </c>
      <c r="M1141">
        <v>4.5</v>
      </c>
      <c r="N1141">
        <v>52</v>
      </c>
      <c r="P1141">
        <v>0</v>
      </c>
      <c r="Q1141" t="s">
        <v>27</v>
      </c>
      <c r="R1141">
        <v>29</v>
      </c>
      <c r="S1141" t="s">
        <v>28</v>
      </c>
    </row>
    <row r="1142" spans="1:19" x14ac:dyDescent="0.3">
      <c r="A1142" t="s">
        <v>3122</v>
      </c>
      <c r="B1142" s="2">
        <v>45317</v>
      </c>
      <c r="C1142" t="s">
        <v>43</v>
      </c>
      <c r="D1142" t="s">
        <v>21</v>
      </c>
      <c r="E1142" t="s">
        <v>3123</v>
      </c>
      <c r="F1142" t="s">
        <v>46</v>
      </c>
      <c r="G1142" t="s">
        <v>79</v>
      </c>
      <c r="H1142" t="s">
        <v>80</v>
      </c>
      <c r="I1142" t="s">
        <v>26</v>
      </c>
      <c r="J1142">
        <v>3</v>
      </c>
      <c r="K1142">
        <v>353</v>
      </c>
      <c r="L1142">
        <v>1059</v>
      </c>
      <c r="M1142">
        <v>4.2</v>
      </c>
      <c r="N1142">
        <v>47</v>
      </c>
      <c r="P1142">
        <v>0</v>
      </c>
      <c r="Q1142" t="s">
        <v>49</v>
      </c>
      <c r="R1142">
        <v>37</v>
      </c>
      <c r="S1142" t="s">
        <v>28</v>
      </c>
    </row>
    <row r="1143" spans="1:19" x14ac:dyDescent="0.3">
      <c r="A1143" t="s">
        <v>3124</v>
      </c>
      <c r="B1143" s="2">
        <v>45327</v>
      </c>
      <c r="C1143" t="s">
        <v>113</v>
      </c>
      <c r="D1143" t="s">
        <v>44</v>
      </c>
      <c r="E1143" t="s">
        <v>3125</v>
      </c>
      <c r="F1143" t="s">
        <v>115</v>
      </c>
      <c r="G1143" t="s">
        <v>1353</v>
      </c>
      <c r="H1143" t="s">
        <v>48</v>
      </c>
      <c r="I1143" t="s">
        <v>33</v>
      </c>
      <c r="J1143">
        <v>4</v>
      </c>
      <c r="K1143">
        <v>170</v>
      </c>
      <c r="L1143">
        <v>680</v>
      </c>
      <c r="M1143">
        <v>4.0999999999999996</v>
      </c>
      <c r="N1143">
        <v>45</v>
      </c>
      <c r="O1143">
        <v>749</v>
      </c>
      <c r="P1143">
        <v>0</v>
      </c>
      <c r="Q1143" t="s">
        <v>27</v>
      </c>
      <c r="R1143">
        <v>30</v>
      </c>
      <c r="S1143" t="s">
        <v>41</v>
      </c>
    </row>
    <row r="1144" spans="1:19" x14ac:dyDescent="0.3">
      <c r="A1144" t="s">
        <v>3126</v>
      </c>
      <c r="B1144" s="2">
        <v>45292</v>
      </c>
      <c r="C1144" t="s">
        <v>43</v>
      </c>
      <c r="D1144" t="s">
        <v>44</v>
      </c>
      <c r="E1144" t="s">
        <v>3127</v>
      </c>
      <c r="F1144" t="s">
        <v>62</v>
      </c>
      <c r="G1144" t="s">
        <v>621</v>
      </c>
      <c r="H1144" t="s">
        <v>40</v>
      </c>
      <c r="I1144" t="s">
        <v>26</v>
      </c>
      <c r="J1144">
        <v>3</v>
      </c>
      <c r="K1144">
        <v>425</v>
      </c>
      <c r="L1144">
        <v>1275</v>
      </c>
      <c r="M1144">
        <v>4.3</v>
      </c>
      <c r="N1144">
        <v>45</v>
      </c>
      <c r="P1144">
        <v>0</v>
      </c>
      <c r="Q1144" t="s">
        <v>27</v>
      </c>
      <c r="R1144">
        <v>37</v>
      </c>
      <c r="S1144" t="s">
        <v>41</v>
      </c>
    </row>
    <row r="1145" spans="1:19" x14ac:dyDescent="0.3">
      <c r="A1145" t="s">
        <v>3128</v>
      </c>
      <c r="B1145" s="2">
        <v>45299</v>
      </c>
      <c r="C1145" t="s">
        <v>43</v>
      </c>
      <c r="D1145" t="s">
        <v>44</v>
      </c>
      <c r="E1145" t="s">
        <v>3129</v>
      </c>
      <c r="F1145" t="s">
        <v>192</v>
      </c>
      <c r="G1145" t="s">
        <v>186</v>
      </c>
      <c r="H1145" t="s">
        <v>80</v>
      </c>
      <c r="I1145" t="s">
        <v>26</v>
      </c>
      <c r="J1145">
        <v>2</v>
      </c>
      <c r="K1145">
        <v>381</v>
      </c>
      <c r="L1145">
        <v>762</v>
      </c>
      <c r="P1145">
        <v>0</v>
      </c>
      <c r="Q1145" t="s">
        <v>75</v>
      </c>
      <c r="R1145">
        <v>26</v>
      </c>
      <c r="S1145" t="s">
        <v>41</v>
      </c>
    </row>
    <row r="1146" spans="1:19" x14ac:dyDescent="0.3">
      <c r="A1146" t="s">
        <v>3130</v>
      </c>
      <c r="B1146" s="2">
        <v>45404</v>
      </c>
      <c r="C1146" t="s">
        <v>20</v>
      </c>
      <c r="D1146" t="s">
        <v>44</v>
      </c>
      <c r="E1146" t="s">
        <v>3131</v>
      </c>
      <c r="F1146" t="s">
        <v>192</v>
      </c>
      <c r="G1146" t="s">
        <v>3132</v>
      </c>
      <c r="H1146" t="s">
        <v>64</v>
      </c>
      <c r="I1146" t="s">
        <v>26</v>
      </c>
      <c r="J1146">
        <v>2</v>
      </c>
      <c r="K1146">
        <v>434</v>
      </c>
      <c r="L1146">
        <v>868</v>
      </c>
      <c r="M1146">
        <v>4.0999999999999996</v>
      </c>
      <c r="N1146">
        <v>52</v>
      </c>
      <c r="P1146">
        <v>0</v>
      </c>
      <c r="Q1146" t="s">
        <v>34</v>
      </c>
      <c r="R1146">
        <v>24</v>
      </c>
      <c r="S1146" t="s">
        <v>41</v>
      </c>
    </row>
    <row r="1147" spans="1:19" x14ac:dyDescent="0.3">
      <c r="A1147" t="s">
        <v>3133</v>
      </c>
      <c r="B1147" s="2">
        <v>45390</v>
      </c>
      <c r="C1147" t="s">
        <v>20</v>
      </c>
      <c r="D1147" t="s">
        <v>44</v>
      </c>
      <c r="E1147" t="s">
        <v>3134</v>
      </c>
      <c r="F1147" t="s">
        <v>3135</v>
      </c>
      <c r="G1147" t="s">
        <v>154</v>
      </c>
      <c r="H1147" t="s">
        <v>80</v>
      </c>
      <c r="I1147" t="s">
        <v>26</v>
      </c>
      <c r="J1147">
        <v>2</v>
      </c>
      <c r="K1147">
        <v>244</v>
      </c>
      <c r="L1147">
        <v>488</v>
      </c>
      <c r="P1147">
        <v>0</v>
      </c>
      <c r="Q1147" t="s">
        <v>34</v>
      </c>
      <c r="R1147">
        <v>21</v>
      </c>
      <c r="S1147" t="s">
        <v>28</v>
      </c>
    </row>
    <row r="1148" spans="1:19" x14ac:dyDescent="0.3">
      <c r="A1148" t="s">
        <v>3136</v>
      </c>
      <c r="B1148" s="2">
        <v>45471</v>
      </c>
      <c r="C1148" t="s">
        <v>30</v>
      </c>
      <c r="D1148" t="s">
        <v>21</v>
      </c>
      <c r="E1148" t="s">
        <v>3137</v>
      </c>
      <c r="F1148" t="s">
        <v>78</v>
      </c>
      <c r="G1148" t="s">
        <v>418</v>
      </c>
      <c r="H1148" t="s">
        <v>80</v>
      </c>
      <c r="I1148" t="s">
        <v>26</v>
      </c>
      <c r="J1148">
        <v>4</v>
      </c>
      <c r="K1148">
        <v>518</v>
      </c>
      <c r="L1148">
        <v>2072</v>
      </c>
      <c r="M1148">
        <v>4.0999999999999996</v>
      </c>
      <c r="N1148">
        <v>50</v>
      </c>
      <c r="P1148">
        <v>0</v>
      </c>
      <c r="Q1148" t="s">
        <v>75</v>
      </c>
      <c r="R1148">
        <v>36</v>
      </c>
      <c r="S1148" t="s">
        <v>41</v>
      </c>
    </row>
    <row r="1149" spans="1:19" x14ac:dyDescent="0.3">
      <c r="A1149" t="s">
        <v>3138</v>
      </c>
      <c r="B1149" s="2">
        <v>45498</v>
      </c>
      <c r="C1149" t="s">
        <v>59</v>
      </c>
      <c r="D1149" t="s">
        <v>92</v>
      </c>
      <c r="E1149" t="s">
        <v>3139</v>
      </c>
      <c r="F1149" t="s">
        <v>78</v>
      </c>
      <c r="G1149" t="s">
        <v>3140</v>
      </c>
      <c r="H1149" t="s">
        <v>48</v>
      </c>
      <c r="I1149" t="s">
        <v>33</v>
      </c>
      <c r="J1149">
        <v>3</v>
      </c>
      <c r="K1149">
        <v>364</v>
      </c>
      <c r="L1149">
        <v>1092</v>
      </c>
      <c r="M1149">
        <v>4.2</v>
      </c>
      <c r="N1149">
        <v>64</v>
      </c>
      <c r="P1149">
        <v>0</v>
      </c>
      <c r="Q1149" t="s">
        <v>49</v>
      </c>
      <c r="R1149">
        <v>39</v>
      </c>
      <c r="S1149" t="s">
        <v>41</v>
      </c>
    </row>
    <row r="1150" spans="1:19" x14ac:dyDescent="0.3">
      <c r="A1150" t="s">
        <v>3141</v>
      </c>
      <c r="B1150" s="2">
        <v>45338</v>
      </c>
      <c r="C1150" t="s">
        <v>113</v>
      </c>
      <c r="D1150" t="s">
        <v>21</v>
      </c>
      <c r="E1150" t="s">
        <v>3142</v>
      </c>
      <c r="F1150" t="s">
        <v>102</v>
      </c>
      <c r="G1150" t="s">
        <v>80</v>
      </c>
      <c r="H1150" t="s">
        <v>80</v>
      </c>
      <c r="I1150" t="s">
        <v>26</v>
      </c>
      <c r="J1150">
        <v>3</v>
      </c>
      <c r="K1150">
        <v>149</v>
      </c>
      <c r="L1150">
        <v>447</v>
      </c>
      <c r="M1150">
        <v>4.8</v>
      </c>
      <c r="N1150">
        <v>44</v>
      </c>
      <c r="P1150">
        <v>0</v>
      </c>
      <c r="Q1150" t="s">
        <v>75</v>
      </c>
      <c r="R1150">
        <v>36</v>
      </c>
      <c r="S1150" t="s">
        <v>41</v>
      </c>
    </row>
    <row r="1151" spans="1:19" x14ac:dyDescent="0.3">
      <c r="A1151" t="s">
        <v>3143</v>
      </c>
      <c r="B1151" s="2">
        <v>45418</v>
      </c>
      <c r="C1151" t="s">
        <v>71</v>
      </c>
      <c r="D1151" t="s">
        <v>44</v>
      </c>
      <c r="E1151" t="s">
        <v>3144</v>
      </c>
      <c r="F1151" t="s">
        <v>115</v>
      </c>
      <c r="G1151" t="s">
        <v>392</v>
      </c>
      <c r="H1151" t="s">
        <v>53</v>
      </c>
      <c r="I1151" t="s">
        <v>26</v>
      </c>
      <c r="J1151">
        <v>1</v>
      </c>
      <c r="K1151">
        <v>545</v>
      </c>
      <c r="L1151">
        <v>545</v>
      </c>
      <c r="M1151">
        <v>4.4000000000000004</v>
      </c>
      <c r="N1151">
        <v>46</v>
      </c>
      <c r="O1151">
        <v>250</v>
      </c>
      <c r="P1151">
        <v>50</v>
      </c>
      <c r="Q1151" t="s">
        <v>27</v>
      </c>
      <c r="R1151">
        <v>23</v>
      </c>
      <c r="S1151" t="s">
        <v>41</v>
      </c>
    </row>
    <row r="1152" spans="1:19" x14ac:dyDescent="0.3">
      <c r="A1152" t="s">
        <v>3145</v>
      </c>
      <c r="B1152" s="2">
        <v>45347</v>
      </c>
      <c r="C1152" t="s">
        <v>113</v>
      </c>
      <c r="D1152" t="s">
        <v>60</v>
      </c>
      <c r="E1152" t="s">
        <v>3146</v>
      </c>
      <c r="F1152" t="s">
        <v>87</v>
      </c>
      <c r="G1152" t="s">
        <v>227</v>
      </c>
      <c r="H1152" t="s">
        <v>80</v>
      </c>
      <c r="I1152" t="s">
        <v>26</v>
      </c>
      <c r="J1152">
        <v>1</v>
      </c>
      <c r="K1152">
        <v>241</v>
      </c>
      <c r="L1152">
        <v>241</v>
      </c>
      <c r="M1152">
        <v>3.5</v>
      </c>
      <c r="N1152">
        <v>50</v>
      </c>
      <c r="O1152">
        <v>125</v>
      </c>
      <c r="P1152">
        <v>25</v>
      </c>
      <c r="Q1152" t="s">
        <v>34</v>
      </c>
      <c r="R1152">
        <v>44</v>
      </c>
      <c r="S1152" t="s">
        <v>28</v>
      </c>
    </row>
    <row r="1153" spans="1:19" x14ac:dyDescent="0.3">
      <c r="A1153" t="s">
        <v>3147</v>
      </c>
      <c r="B1153" s="2">
        <v>45505</v>
      </c>
      <c r="C1153" t="s">
        <v>82</v>
      </c>
      <c r="D1153" t="s">
        <v>92</v>
      </c>
      <c r="E1153" t="s">
        <v>3148</v>
      </c>
      <c r="F1153" t="s">
        <v>3149</v>
      </c>
      <c r="G1153" t="s">
        <v>227</v>
      </c>
      <c r="H1153" t="s">
        <v>80</v>
      </c>
      <c r="I1153" t="s">
        <v>26</v>
      </c>
      <c r="J1153">
        <v>3</v>
      </c>
      <c r="K1153">
        <v>244</v>
      </c>
      <c r="L1153">
        <v>732</v>
      </c>
      <c r="M1153">
        <v>3.6</v>
      </c>
      <c r="N1153">
        <v>40</v>
      </c>
      <c r="P1153">
        <v>0</v>
      </c>
      <c r="Q1153" t="s">
        <v>75</v>
      </c>
      <c r="R1153">
        <v>30</v>
      </c>
      <c r="S1153" t="s">
        <v>41</v>
      </c>
    </row>
    <row r="1154" spans="1:19" x14ac:dyDescent="0.3">
      <c r="A1154" t="s">
        <v>3150</v>
      </c>
      <c r="B1154" s="2">
        <v>45305</v>
      </c>
      <c r="C1154" t="s">
        <v>43</v>
      </c>
      <c r="D1154" t="s">
        <v>60</v>
      </c>
      <c r="E1154" t="s">
        <v>3151</v>
      </c>
      <c r="F1154" t="s">
        <v>450</v>
      </c>
      <c r="G1154" t="s">
        <v>3152</v>
      </c>
      <c r="H1154" t="s">
        <v>48</v>
      </c>
      <c r="I1154" t="s">
        <v>33</v>
      </c>
      <c r="J1154">
        <v>3</v>
      </c>
      <c r="K1154">
        <v>156</v>
      </c>
      <c r="L1154">
        <v>468</v>
      </c>
      <c r="M1154">
        <v>5</v>
      </c>
      <c r="N1154">
        <v>50</v>
      </c>
      <c r="O1154">
        <v>999</v>
      </c>
      <c r="P1154">
        <v>0</v>
      </c>
      <c r="Q1154" t="s">
        <v>49</v>
      </c>
      <c r="R1154">
        <v>28</v>
      </c>
      <c r="S1154" t="s">
        <v>41</v>
      </c>
    </row>
    <row r="1155" spans="1:19" x14ac:dyDescent="0.3">
      <c r="A1155" t="s">
        <v>3153</v>
      </c>
      <c r="B1155" s="2">
        <v>45509</v>
      </c>
      <c r="C1155" t="s">
        <v>82</v>
      </c>
      <c r="D1155" t="s">
        <v>44</v>
      </c>
      <c r="E1155" t="s">
        <v>3154</v>
      </c>
      <c r="F1155" t="s">
        <v>3155</v>
      </c>
      <c r="G1155" t="s">
        <v>2184</v>
      </c>
      <c r="H1155" t="s">
        <v>80</v>
      </c>
      <c r="I1155" t="s">
        <v>26</v>
      </c>
      <c r="J1155">
        <v>3</v>
      </c>
      <c r="K1155">
        <v>289</v>
      </c>
      <c r="L1155">
        <v>867</v>
      </c>
      <c r="M1155">
        <v>3.2</v>
      </c>
      <c r="N1155">
        <v>49</v>
      </c>
      <c r="O1155">
        <v>599</v>
      </c>
      <c r="P1155">
        <v>0</v>
      </c>
      <c r="Q1155" t="s">
        <v>75</v>
      </c>
      <c r="R1155">
        <v>30</v>
      </c>
      <c r="S1155" t="s">
        <v>41</v>
      </c>
    </row>
    <row r="1156" spans="1:19" x14ac:dyDescent="0.3">
      <c r="A1156" t="s">
        <v>3156</v>
      </c>
      <c r="B1156" s="2">
        <v>45319</v>
      </c>
      <c r="C1156" t="s">
        <v>43</v>
      </c>
      <c r="D1156" t="s">
        <v>60</v>
      </c>
      <c r="E1156" t="s">
        <v>3157</v>
      </c>
      <c r="F1156" t="s">
        <v>667</v>
      </c>
      <c r="G1156" t="s">
        <v>3158</v>
      </c>
      <c r="H1156" t="s">
        <v>40</v>
      </c>
      <c r="I1156" t="s">
        <v>26</v>
      </c>
      <c r="J1156">
        <v>4</v>
      </c>
      <c r="K1156">
        <v>243</v>
      </c>
      <c r="L1156">
        <v>972</v>
      </c>
      <c r="M1156">
        <v>4.2</v>
      </c>
      <c r="N1156">
        <v>40</v>
      </c>
      <c r="O1156">
        <v>900</v>
      </c>
      <c r="P1156">
        <v>10</v>
      </c>
      <c r="Q1156" t="s">
        <v>34</v>
      </c>
      <c r="R1156">
        <v>30</v>
      </c>
      <c r="S1156" t="s">
        <v>28</v>
      </c>
    </row>
    <row r="1157" spans="1:19" x14ac:dyDescent="0.3">
      <c r="A1157" t="s">
        <v>3159</v>
      </c>
      <c r="B1157" s="2">
        <v>45506</v>
      </c>
      <c r="C1157" t="s">
        <v>82</v>
      </c>
      <c r="D1157" t="s">
        <v>21</v>
      </c>
      <c r="E1157" t="s">
        <v>3160</v>
      </c>
      <c r="F1157" t="s">
        <v>62</v>
      </c>
      <c r="G1157" t="s">
        <v>48</v>
      </c>
      <c r="H1157" t="s">
        <v>48</v>
      </c>
      <c r="I1157" t="s">
        <v>33</v>
      </c>
      <c r="J1157">
        <v>3</v>
      </c>
      <c r="K1157">
        <v>476</v>
      </c>
      <c r="L1157">
        <v>1428</v>
      </c>
      <c r="M1157">
        <v>4</v>
      </c>
      <c r="N1157">
        <v>54</v>
      </c>
      <c r="P1157">
        <v>0</v>
      </c>
      <c r="Q1157" t="s">
        <v>75</v>
      </c>
      <c r="R1157">
        <v>45</v>
      </c>
      <c r="S1157" t="s">
        <v>28</v>
      </c>
    </row>
    <row r="1158" spans="1:19" x14ac:dyDescent="0.3">
      <c r="A1158" t="s">
        <v>3161</v>
      </c>
      <c r="B1158" s="2">
        <v>45369</v>
      </c>
      <c r="C1158" t="s">
        <v>55</v>
      </c>
      <c r="D1158" t="s">
        <v>44</v>
      </c>
      <c r="E1158" t="s">
        <v>3162</v>
      </c>
      <c r="F1158" t="s">
        <v>115</v>
      </c>
      <c r="G1158" t="s">
        <v>3163</v>
      </c>
      <c r="H1158" t="s">
        <v>64</v>
      </c>
      <c r="I1158" t="s">
        <v>26</v>
      </c>
      <c r="J1158">
        <v>1</v>
      </c>
      <c r="K1158">
        <v>154</v>
      </c>
      <c r="L1158">
        <v>154</v>
      </c>
      <c r="M1158">
        <v>4.0999999999999996</v>
      </c>
      <c r="N1158">
        <v>53</v>
      </c>
      <c r="O1158">
        <v>999</v>
      </c>
      <c r="P1158">
        <v>0</v>
      </c>
      <c r="Q1158" t="s">
        <v>75</v>
      </c>
      <c r="R1158">
        <v>42</v>
      </c>
      <c r="S1158" t="s">
        <v>41</v>
      </c>
    </row>
    <row r="1159" spans="1:19" x14ac:dyDescent="0.3">
      <c r="A1159" t="s">
        <v>3164</v>
      </c>
      <c r="B1159" s="2">
        <v>45507</v>
      </c>
      <c r="C1159" t="s">
        <v>82</v>
      </c>
      <c r="D1159" t="s">
        <v>100</v>
      </c>
      <c r="E1159" t="s">
        <v>3165</v>
      </c>
      <c r="F1159" t="s">
        <v>46</v>
      </c>
      <c r="G1159" t="s">
        <v>373</v>
      </c>
      <c r="H1159" t="s">
        <v>80</v>
      </c>
      <c r="I1159" t="s">
        <v>26</v>
      </c>
      <c r="J1159">
        <v>4</v>
      </c>
      <c r="K1159">
        <v>206</v>
      </c>
      <c r="L1159">
        <v>824</v>
      </c>
      <c r="M1159">
        <v>3.4</v>
      </c>
      <c r="N1159">
        <v>58</v>
      </c>
      <c r="P1159">
        <v>0</v>
      </c>
      <c r="Q1159" t="s">
        <v>34</v>
      </c>
      <c r="R1159">
        <v>39</v>
      </c>
      <c r="S1159" t="s">
        <v>41</v>
      </c>
    </row>
    <row r="1160" spans="1:19" x14ac:dyDescent="0.3">
      <c r="A1160" t="s">
        <v>3166</v>
      </c>
      <c r="B1160" s="2">
        <v>45421</v>
      </c>
      <c r="C1160" t="s">
        <v>71</v>
      </c>
      <c r="D1160" t="s">
        <v>92</v>
      </c>
      <c r="E1160" t="s">
        <v>3167</v>
      </c>
      <c r="F1160" t="s">
        <v>78</v>
      </c>
      <c r="G1160" t="s">
        <v>3168</v>
      </c>
      <c r="H1160" t="s">
        <v>40</v>
      </c>
      <c r="I1160" t="s">
        <v>26</v>
      </c>
      <c r="J1160">
        <v>3</v>
      </c>
      <c r="K1160">
        <v>253</v>
      </c>
      <c r="L1160">
        <v>759</v>
      </c>
      <c r="M1160">
        <v>4.3</v>
      </c>
      <c r="N1160">
        <v>57</v>
      </c>
      <c r="O1160">
        <v>100</v>
      </c>
      <c r="P1160">
        <v>10</v>
      </c>
      <c r="Q1160" t="s">
        <v>27</v>
      </c>
      <c r="R1160">
        <v>45</v>
      </c>
      <c r="S1160" t="s">
        <v>41</v>
      </c>
    </row>
    <row r="1161" spans="1:19" x14ac:dyDescent="0.3">
      <c r="A1161" t="s">
        <v>3169</v>
      </c>
      <c r="B1161" s="2">
        <v>45400</v>
      </c>
      <c r="C1161" t="s">
        <v>20</v>
      </c>
      <c r="D1161" t="s">
        <v>92</v>
      </c>
      <c r="E1161" t="s">
        <v>3170</v>
      </c>
      <c r="F1161" t="s">
        <v>46</v>
      </c>
      <c r="G1161" t="s">
        <v>154</v>
      </c>
      <c r="H1161" t="s">
        <v>80</v>
      </c>
      <c r="I1161" t="s">
        <v>26</v>
      </c>
      <c r="J1161">
        <v>1</v>
      </c>
      <c r="K1161">
        <v>315</v>
      </c>
      <c r="L1161">
        <v>315</v>
      </c>
      <c r="M1161">
        <v>4.5</v>
      </c>
      <c r="N1161">
        <v>59</v>
      </c>
      <c r="P1161">
        <v>0</v>
      </c>
      <c r="Q1161" t="s">
        <v>27</v>
      </c>
      <c r="R1161">
        <v>37</v>
      </c>
      <c r="S1161" t="s">
        <v>28</v>
      </c>
    </row>
    <row r="1162" spans="1:19" x14ac:dyDescent="0.3">
      <c r="A1162" t="s">
        <v>3171</v>
      </c>
      <c r="B1162" s="2">
        <v>45445</v>
      </c>
      <c r="C1162" t="s">
        <v>30</v>
      </c>
      <c r="D1162" t="s">
        <v>60</v>
      </c>
      <c r="E1162" t="s">
        <v>3172</v>
      </c>
      <c r="F1162" t="s">
        <v>450</v>
      </c>
      <c r="G1162" t="s">
        <v>1789</v>
      </c>
      <c r="H1162" t="s">
        <v>80</v>
      </c>
      <c r="I1162" t="s">
        <v>26</v>
      </c>
      <c r="J1162">
        <v>4</v>
      </c>
      <c r="K1162">
        <v>393</v>
      </c>
      <c r="L1162">
        <v>1572</v>
      </c>
      <c r="M1162">
        <v>3.7</v>
      </c>
      <c r="N1162">
        <v>46</v>
      </c>
      <c r="P1162">
        <v>0</v>
      </c>
      <c r="Q1162" t="s">
        <v>34</v>
      </c>
      <c r="R1162">
        <v>32</v>
      </c>
      <c r="S1162" t="s">
        <v>41</v>
      </c>
    </row>
    <row r="1163" spans="1:19" x14ac:dyDescent="0.3">
      <c r="A1163" t="s">
        <v>3173</v>
      </c>
      <c r="B1163" s="2">
        <v>45305</v>
      </c>
      <c r="C1163" t="s">
        <v>43</v>
      </c>
      <c r="D1163" t="s">
        <v>60</v>
      </c>
      <c r="E1163" t="s">
        <v>3174</v>
      </c>
      <c r="F1163" t="s">
        <v>78</v>
      </c>
      <c r="G1163" t="s">
        <v>227</v>
      </c>
      <c r="H1163" t="s">
        <v>80</v>
      </c>
      <c r="I1163" t="s">
        <v>26</v>
      </c>
      <c r="J1163">
        <v>3</v>
      </c>
      <c r="K1163">
        <v>320</v>
      </c>
      <c r="L1163">
        <v>960</v>
      </c>
      <c r="M1163">
        <v>4.5</v>
      </c>
      <c r="N1163">
        <v>53</v>
      </c>
      <c r="P1163">
        <v>0</v>
      </c>
      <c r="Q1163" t="s">
        <v>75</v>
      </c>
      <c r="R1163">
        <v>38</v>
      </c>
      <c r="S1163" t="s">
        <v>41</v>
      </c>
    </row>
    <row r="1164" spans="1:19" x14ac:dyDescent="0.3">
      <c r="A1164" t="s">
        <v>3175</v>
      </c>
      <c r="B1164" s="2">
        <v>45478</v>
      </c>
      <c r="C1164" t="s">
        <v>59</v>
      </c>
      <c r="D1164" t="s">
        <v>21</v>
      </c>
      <c r="E1164" t="s">
        <v>3176</v>
      </c>
      <c r="F1164" t="s">
        <v>192</v>
      </c>
      <c r="G1164" t="s">
        <v>3177</v>
      </c>
      <c r="H1164" t="s">
        <v>80</v>
      </c>
      <c r="I1164" t="s">
        <v>26</v>
      </c>
      <c r="J1164">
        <v>3</v>
      </c>
      <c r="K1164">
        <v>488</v>
      </c>
      <c r="L1164">
        <v>1464</v>
      </c>
      <c r="M1164">
        <v>4.4000000000000004</v>
      </c>
      <c r="N1164">
        <v>49</v>
      </c>
      <c r="P1164">
        <v>0</v>
      </c>
      <c r="Q1164" t="s">
        <v>34</v>
      </c>
      <c r="R1164">
        <v>30</v>
      </c>
      <c r="S1164" t="s">
        <v>41</v>
      </c>
    </row>
    <row r="1165" spans="1:19" x14ac:dyDescent="0.3">
      <c r="A1165" t="s">
        <v>3178</v>
      </c>
      <c r="B1165" s="2">
        <v>45347</v>
      </c>
      <c r="C1165" t="s">
        <v>113</v>
      </c>
      <c r="D1165" t="s">
        <v>60</v>
      </c>
      <c r="E1165" t="s">
        <v>3179</v>
      </c>
      <c r="F1165" t="s">
        <v>115</v>
      </c>
      <c r="G1165" t="s">
        <v>2161</v>
      </c>
      <c r="H1165" t="s">
        <v>53</v>
      </c>
      <c r="I1165" t="s">
        <v>26</v>
      </c>
      <c r="J1165">
        <v>3</v>
      </c>
      <c r="K1165">
        <v>404</v>
      </c>
      <c r="L1165">
        <v>1212</v>
      </c>
      <c r="M1165">
        <v>4.2</v>
      </c>
      <c r="N1165">
        <v>45</v>
      </c>
      <c r="P1165">
        <v>0</v>
      </c>
      <c r="Q1165" t="s">
        <v>27</v>
      </c>
      <c r="R1165">
        <v>39</v>
      </c>
      <c r="S1165" t="s">
        <v>28</v>
      </c>
    </row>
    <row r="1166" spans="1:19" x14ac:dyDescent="0.3">
      <c r="A1166" t="s">
        <v>3180</v>
      </c>
      <c r="B1166" s="2">
        <v>45406</v>
      </c>
      <c r="C1166" t="s">
        <v>20</v>
      </c>
      <c r="D1166" t="s">
        <v>72</v>
      </c>
      <c r="E1166" t="s">
        <v>3181</v>
      </c>
      <c r="F1166" t="s">
        <v>46</v>
      </c>
      <c r="G1166" t="s">
        <v>3182</v>
      </c>
      <c r="H1166" t="s">
        <v>48</v>
      </c>
      <c r="I1166" t="s">
        <v>33</v>
      </c>
      <c r="J1166">
        <v>4</v>
      </c>
      <c r="K1166">
        <v>196</v>
      </c>
      <c r="L1166">
        <v>784</v>
      </c>
      <c r="M1166">
        <v>3.2</v>
      </c>
      <c r="N1166">
        <v>60</v>
      </c>
      <c r="P1166">
        <v>0</v>
      </c>
      <c r="Q1166" t="s">
        <v>49</v>
      </c>
      <c r="R1166">
        <v>28</v>
      </c>
      <c r="S1166" t="s">
        <v>41</v>
      </c>
    </row>
    <row r="1167" spans="1:19" x14ac:dyDescent="0.3">
      <c r="A1167" t="s">
        <v>3183</v>
      </c>
      <c r="B1167" s="2">
        <v>45298</v>
      </c>
      <c r="C1167" t="s">
        <v>43</v>
      </c>
      <c r="D1167" t="s">
        <v>60</v>
      </c>
      <c r="E1167" t="s">
        <v>3184</v>
      </c>
      <c r="F1167" t="s">
        <v>824</v>
      </c>
      <c r="G1167" t="s">
        <v>373</v>
      </c>
      <c r="H1167" t="s">
        <v>80</v>
      </c>
      <c r="I1167" t="s">
        <v>26</v>
      </c>
      <c r="J1167">
        <v>1</v>
      </c>
      <c r="K1167">
        <v>178</v>
      </c>
      <c r="L1167">
        <v>178</v>
      </c>
      <c r="M1167">
        <v>4.4000000000000004</v>
      </c>
      <c r="N1167">
        <v>58</v>
      </c>
      <c r="P1167">
        <v>0</v>
      </c>
      <c r="Q1167" t="s">
        <v>75</v>
      </c>
      <c r="R1167">
        <v>36</v>
      </c>
      <c r="S1167" t="s">
        <v>41</v>
      </c>
    </row>
    <row r="1168" spans="1:19" x14ac:dyDescent="0.3">
      <c r="A1168" t="s">
        <v>3185</v>
      </c>
      <c r="B1168" s="2">
        <v>45294</v>
      </c>
      <c r="C1168" t="s">
        <v>43</v>
      </c>
      <c r="D1168" t="s">
        <v>72</v>
      </c>
      <c r="E1168" t="s">
        <v>3186</v>
      </c>
      <c r="F1168" t="s">
        <v>115</v>
      </c>
      <c r="G1168" t="s">
        <v>3187</v>
      </c>
      <c r="H1168" t="s">
        <v>80</v>
      </c>
      <c r="I1168" t="s">
        <v>26</v>
      </c>
      <c r="J1168">
        <v>1</v>
      </c>
      <c r="K1168">
        <v>550</v>
      </c>
      <c r="L1168">
        <v>550</v>
      </c>
      <c r="M1168">
        <v>3.7</v>
      </c>
      <c r="N1168">
        <v>54</v>
      </c>
      <c r="O1168">
        <v>449</v>
      </c>
      <c r="P1168">
        <v>0</v>
      </c>
      <c r="Q1168" t="s">
        <v>27</v>
      </c>
      <c r="R1168">
        <v>25</v>
      </c>
      <c r="S1168" t="s">
        <v>28</v>
      </c>
    </row>
    <row r="1169" spans="1:19" x14ac:dyDescent="0.3">
      <c r="A1169" t="s">
        <v>3188</v>
      </c>
      <c r="B1169" s="2">
        <v>45402</v>
      </c>
      <c r="C1169" t="s">
        <v>20</v>
      </c>
      <c r="D1169" t="s">
        <v>100</v>
      </c>
      <c r="E1169" t="s">
        <v>3189</v>
      </c>
      <c r="F1169" t="s">
        <v>78</v>
      </c>
      <c r="G1169" t="s">
        <v>2540</v>
      </c>
      <c r="H1169" t="s">
        <v>80</v>
      </c>
      <c r="I1169" t="s">
        <v>26</v>
      </c>
      <c r="J1169">
        <v>2</v>
      </c>
      <c r="K1169">
        <v>245</v>
      </c>
      <c r="L1169">
        <v>490</v>
      </c>
      <c r="M1169">
        <v>4.0999999999999996</v>
      </c>
      <c r="N1169">
        <v>57</v>
      </c>
      <c r="P1169">
        <v>0</v>
      </c>
      <c r="Q1169" t="s">
        <v>75</v>
      </c>
      <c r="R1169">
        <v>37</v>
      </c>
      <c r="S1169" t="s">
        <v>28</v>
      </c>
    </row>
    <row r="1170" spans="1:19" x14ac:dyDescent="0.3">
      <c r="A1170" t="s">
        <v>3190</v>
      </c>
      <c r="B1170" s="2">
        <v>45442</v>
      </c>
      <c r="C1170" t="s">
        <v>71</v>
      </c>
      <c r="D1170" t="s">
        <v>92</v>
      </c>
      <c r="E1170" t="s">
        <v>3191</v>
      </c>
      <c r="F1170" t="s">
        <v>713</v>
      </c>
      <c r="G1170" t="s">
        <v>64</v>
      </c>
      <c r="H1170" t="s">
        <v>64</v>
      </c>
      <c r="I1170" t="s">
        <v>26</v>
      </c>
      <c r="J1170">
        <v>3</v>
      </c>
      <c r="K1170">
        <v>520</v>
      </c>
      <c r="L1170">
        <v>1560</v>
      </c>
      <c r="M1170">
        <v>4.5</v>
      </c>
      <c r="N1170">
        <v>50</v>
      </c>
      <c r="P1170">
        <v>0</v>
      </c>
      <c r="Q1170" t="s">
        <v>34</v>
      </c>
      <c r="R1170">
        <v>25</v>
      </c>
      <c r="S1170" t="s">
        <v>41</v>
      </c>
    </row>
    <row r="1171" spans="1:19" x14ac:dyDescent="0.3">
      <c r="A1171" t="s">
        <v>3192</v>
      </c>
      <c r="B1171" s="2">
        <v>45529</v>
      </c>
      <c r="C1171" t="s">
        <v>82</v>
      </c>
      <c r="D1171" t="s">
        <v>60</v>
      </c>
      <c r="E1171" t="s">
        <v>3193</v>
      </c>
      <c r="F1171" t="s">
        <v>78</v>
      </c>
      <c r="G1171" t="s">
        <v>3194</v>
      </c>
      <c r="H1171" t="s">
        <v>53</v>
      </c>
      <c r="I1171" t="s">
        <v>26</v>
      </c>
      <c r="J1171">
        <v>2</v>
      </c>
      <c r="K1171">
        <v>228</v>
      </c>
      <c r="L1171">
        <v>456</v>
      </c>
      <c r="M1171">
        <v>3.9</v>
      </c>
      <c r="N1171">
        <v>51</v>
      </c>
      <c r="O1171">
        <v>125</v>
      </c>
      <c r="P1171">
        <v>25</v>
      </c>
      <c r="Q1171" t="s">
        <v>49</v>
      </c>
      <c r="R1171">
        <v>27</v>
      </c>
      <c r="S1171" t="s">
        <v>28</v>
      </c>
    </row>
    <row r="1172" spans="1:19" x14ac:dyDescent="0.3">
      <c r="A1172" t="s">
        <v>3195</v>
      </c>
      <c r="B1172" s="2">
        <v>45398</v>
      </c>
      <c r="C1172" t="s">
        <v>20</v>
      </c>
      <c r="D1172" t="s">
        <v>36</v>
      </c>
      <c r="E1172" t="s">
        <v>3196</v>
      </c>
      <c r="F1172" t="s">
        <v>450</v>
      </c>
      <c r="G1172" t="s">
        <v>186</v>
      </c>
      <c r="H1172" t="s">
        <v>80</v>
      </c>
      <c r="I1172" t="s">
        <v>26</v>
      </c>
      <c r="J1172">
        <v>2</v>
      </c>
      <c r="K1172">
        <v>343</v>
      </c>
      <c r="L1172">
        <v>686</v>
      </c>
      <c r="P1172">
        <v>0</v>
      </c>
      <c r="Q1172" t="s">
        <v>34</v>
      </c>
      <c r="R1172">
        <v>43</v>
      </c>
      <c r="S1172" t="s">
        <v>41</v>
      </c>
    </row>
    <row r="1173" spans="1:19" x14ac:dyDescent="0.3">
      <c r="A1173" t="s">
        <v>3197</v>
      </c>
      <c r="B1173" s="2">
        <v>45530</v>
      </c>
      <c r="C1173" t="s">
        <v>82</v>
      </c>
      <c r="D1173" t="s">
        <v>44</v>
      </c>
      <c r="E1173" t="s">
        <v>3198</v>
      </c>
      <c r="F1173" t="s">
        <v>23</v>
      </c>
      <c r="G1173" t="s">
        <v>79</v>
      </c>
      <c r="H1173" t="s">
        <v>80</v>
      </c>
      <c r="I1173" t="s">
        <v>26</v>
      </c>
      <c r="J1173">
        <v>1</v>
      </c>
      <c r="K1173">
        <v>397</v>
      </c>
      <c r="L1173">
        <v>397</v>
      </c>
      <c r="P1173">
        <v>0</v>
      </c>
      <c r="Q1173" t="s">
        <v>49</v>
      </c>
      <c r="R1173">
        <v>33</v>
      </c>
      <c r="S1173" t="s">
        <v>28</v>
      </c>
    </row>
    <row r="1174" spans="1:19" x14ac:dyDescent="0.3">
      <c r="A1174" t="s">
        <v>3199</v>
      </c>
      <c r="B1174" s="2">
        <v>45528</v>
      </c>
      <c r="C1174" t="s">
        <v>82</v>
      </c>
      <c r="D1174" t="s">
        <v>100</v>
      </c>
      <c r="E1174" t="s">
        <v>3200</v>
      </c>
      <c r="F1174" t="s">
        <v>3201</v>
      </c>
      <c r="G1174" t="s">
        <v>585</v>
      </c>
      <c r="H1174" t="s">
        <v>80</v>
      </c>
      <c r="I1174" t="s">
        <v>26</v>
      </c>
      <c r="J1174">
        <v>4</v>
      </c>
      <c r="K1174">
        <v>187</v>
      </c>
      <c r="L1174">
        <v>748</v>
      </c>
      <c r="M1174">
        <v>4.2</v>
      </c>
      <c r="N1174">
        <v>55</v>
      </c>
      <c r="P1174">
        <v>0</v>
      </c>
      <c r="Q1174" t="s">
        <v>75</v>
      </c>
      <c r="R1174">
        <v>36</v>
      </c>
      <c r="S1174" t="s">
        <v>28</v>
      </c>
    </row>
    <row r="1175" spans="1:19" x14ac:dyDescent="0.3">
      <c r="A1175" t="s">
        <v>3202</v>
      </c>
      <c r="B1175" s="2">
        <v>45309</v>
      </c>
      <c r="C1175" t="s">
        <v>43</v>
      </c>
      <c r="D1175" t="s">
        <v>92</v>
      </c>
      <c r="E1175" t="s">
        <v>3203</v>
      </c>
      <c r="F1175" t="s">
        <v>3155</v>
      </c>
      <c r="G1175" t="s">
        <v>978</v>
      </c>
      <c r="H1175" t="s">
        <v>80</v>
      </c>
      <c r="I1175" t="s">
        <v>26</v>
      </c>
      <c r="J1175">
        <v>4</v>
      </c>
      <c r="K1175">
        <v>188</v>
      </c>
      <c r="L1175">
        <v>752</v>
      </c>
      <c r="M1175">
        <v>2.2999999999999998</v>
      </c>
      <c r="N1175">
        <v>51</v>
      </c>
      <c r="O1175">
        <v>599</v>
      </c>
      <c r="P1175">
        <v>0</v>
      </c>
      <c r="Q1175" t="s">
        <v>75</v>
      </c>
      <c r="R1175">
        <v>43</v>
      </c>
      <c r="S1175" t="s">
        <v>41</v>
      </c>
    </row>
    <row r="1176" spans="1:19" x14ac:dyDescent="0.3">
      <c r="A1176" t="s">
        <v>3204</v>
      </c>
      <c r="B1176" s="2">
        <v>45329</v>
      </c>
      <c r="C1176" t="s">
        <v>113</v>
      </c>
      <c r="D1176" t="s">
        <v>72</v>
      </c>
      <c r="E1176" t="s">
        <v>3205</v>
      </c>
      <c r="F1176" t="s">
        <v>192</v>
      </c>
      <c r="G1176" t="s">
        <v>1347</v>
      </c>
      <c r="H1176" t="s">
        <v>64</v>
      </c>
      <c r="I1176" t="s">
        <v>26</v>
      </c>
      <c r="J1176">
        <v>1</v>
      </c>
      <c r="K1176">
        <v>284</v>
      </c>
      <c r="L1176">
        <v>284</v>
      </c>
      <c r="O1176">
        <v>449</v>
      </c>
      <c r="P1176">
        <v>0</v>
      </c>
      <c r="Q1176" t="s">
        <v>34</v>
      </c>
      <c r="R1176">
        <v>40</v>
      </c>
      <c r="S1176" t="s">
        <v>41</v>
      </c>
    </row>
    <row r="1177" spans="1:19" x14ac:dyDescent="0.3">
      <c r="A1177" t="s">
        <v>3206</v>
      </c>
      <c r="B1177" s="2">
        <v>45518</v>
      </c>
      <c r="C1177" t="s">
        <v>82</v>
      </c>
      <c r="D1177" t="s">
        <v>72</v>
      </c>
      <c r="E1177" t="s">
        <v>3207</v>
      </c>
      <c r="F1177" t="s">
        <v>78</v>
      </c>
      <c r="G1177" t="s">
        <v>227</v>
      </c>
      <c r="H1177" t="s">
        <v>80</v>
      </c>
      <c r="I1177" t="s">
        <v>26</v>
      </c>
      <c r="J1177">
        <v>4</v>
      </c>
      <c r="K1177">
        <v>424</v>
      </c>
      <c r="L1177">
        <v>1696</v>
      </c>
      <c r="M1177">
        <v>4.7</v>
      </c>
      <c r="N1177">
        <v>56</v>
      </c>
      <c r="P1177">
        <v>0</v>
      </c>
      <c r="Q1177" t="s">
        <v>49</v>
      </c>
      <c r="R1177">
        <v>28</v>
      </c>
      <c r="S1177" t="s">
        <v>41</v>
      </c>
    </row>
    <row r="1178" spans="1:19" x14ac:dyDescent="0.3">
      <c r="A1178" t="s">
        <v>3208</v>
      </c>
      <c r="B1178" s="2">
        <v>45406</v>
      </c>
      <c r="C1178" t="s">
        <v>20</v>
      </c>
      <c r="D1178" t="s">
        <v>72</v>
      </c>
      <c r="E1178" t="s">
        <v>3209</v>
      </c>
      <c r="F1178" t="s">
        <v>115</v>
      </c>
      <c r="G1178" t="s">
        <v>3210</v>
      </c>
      <c r="H1178" t="s">
        <v>64</v>
      </c>
      <c r="I1178" t="s">
        <v>26</v>
      </c>
      <c r="J1178">
        <v>2</v>
      </c>
      <c r="K1178">
        <v>516</v>
      </c>
      <c r="L1178">
        <v>1032</v>
      </c>
      <c r="M1178">
        <v>4.5999999999999996</v>
      </c>
      <c r="N1178">
        <v>41</v>
      </c>
      <c r="P1178">
        <v>0</v>
      </c>
      <c r="Q1178" t="s">
        <v>49</v>
      </c>
      <c r="R1178">
        <v>30</v>
      </c>
      <c r="S1178" t="s">
        <v>28</v>
      </c>
    </row>
    <row r="1179" spans="1:19" x14ac:dyDescent="0.3">
      <c r="A1179" t="s">
        <v>3211</v>
      </c>
      <c r="B1179" s="2">
        <v>45306</v>
      </c>
      <c r="C1179" t="s">
        <v>43</v>
      </c>
      <c r="D1179" t="s">
        <v>44</v>
      </c>
      <c r="E1179" t="s">
        <v>3212</v>
      </c>
      <c r="F1179" t="s">
        <v>115</v>
      </c>
      <c r="G1179" t="s">
        <v>3089</v>
      </c>
      <c r="H1179" t="s">
        <v>25</v>
      </c>
      <c r="I1179" t="s">
        <v>26</v>
      </c>
      <c r="J1179">
        <v>3</v>
      </c>
      <c r="K1179">
        <v>281</v>
      </c>
      <c r="L1179">
        <v>843</v>
      </c>
      <c r="M1179">
        <v>3.3</v>
      </c>
      <c r="N1179">
        <v>46</v>
      </c>
      <c r="O1179">
        <v>999</v>
      </c>
      <c r="P1179">
        <v>0</v>
      </c>
      <c r="Q1179" t="s">
        <v>75</v>
      </c>
      <c r="R1179">
        <v>45</v>
      </c>
      <c r="S1179" t="s">
        <v>41</v>
      </c>
    </row>
    <row r="1180" spans="1:19" x14ac:dyDescent="0.3">
      <c r="A1180" t="s">
        <v>3213</v>
      </c>
      <c r="B1180" s="2">
        <v>45483</v>
      </c>
      <c r="C1180" t="s">
        <v>59</v>
      </c>
      <c r="D1180" t="s">
        <v>72</v>
      </c>
      <c r="E1180" t="s">
        <v>3214</v>
      </c>
      <c r="F1180" t="s">
        <v>3215</v>
      </c>
      <c r="G1180" t="s">
        <v>3216</v>
      </c>
      <c r="H1180" t="s">
        <v>40</v>
      </c>
      <c r="I1180" t="s">
        <v>26</v>
      </c>
      <c r="J1180">
        <v>1</v>
      </c>
      <c r="K1180">
        <v>484</v>
      </c>
      <c r="L1180">
        <v>484</v>
      </c>
      <c r="M1180">
        <v>3.3</v>
      </c>
      <c r="N1180">
        <v>43</v>
      </c>
      <c r="P1180">
        <v>0</v>
      </c>
      <c r="Q1180" t="s">
        <v>34</v>
      </c>
      <c r="R1180">
        <v>26</v>
      </c>
      <c r="S1180" t="s">
        <v>41</v>
      </c>
    </row>
    <row r="1181" spans="1:19" x14ac:dyDescent="0.3">
      <c r="A1181" t="s">
        <v>3217</v>
      </c>
      <c r="B1181" s="2">
        <v>45508</v>
      </c>
      <c r="C1181" t="s">
        <v>82</v>
      </c>
      <c r="D1181" t="s">
        <v>60</v>
      </c>
      <c r="E1181" t="s">
        <v>3218</v>
      </c>
      <c r="F1181" t="s">
        <v>87</v>
      </c>
      <c r="G1181" t="s">
        <v>3219</v>
      </c>
      <c r="H1181" t="s">
        <v>48</v>
      </c>
      <c r="I1181" t="s">
        <v>33</v>
      </c>
      <c r="J1181">
        <v>3</v>
      </c>
      <c r="K1181">
        <v>461</v>
      </c>
      <c r="L1181">
        <v>1383</v>
      </c>
      <c r="M1181">
        <v>4.0999999999999996</v>
      </c>
      <c r="N1181">
        <v>46</v>
      </c>
      <c r="O1181">
        <v>999</v>
      </c>
      <c r="P1181">
        <v>0</v>
      </c>
      <c r="Q1181" t="s">
        <v>49</v>
      </c>
      <c r="R1181">
        <v>37</v>
      </c>
      <c r="S1181" t="s">
        <v>41</v>
      </c>
    </row>
    <row r="1182" spans="1:19" x14ac:dyDescent="0.3">
      <c r="A1182" t="s">
        <v>3220</v>
      </c>
      <c r="B1182" s="2">
        <v>45410</v>
      </c>
      <c r="C1182" t="s">
        <v>20</v>
      </c>
      <c r="D1182" t="s">
        <v>60</v>
      </c>
      <c r="E1182" t="s">
        <v>3221</v>
      </c>
      <c r="F1182" t="s">
        <v>450</v>
      </c>
      <c r="G1182" t="s">
        <v>94</v>
      </c>
      <c r="H1182" t="s">
        <v>80</v>
      </c>
      <c r="I1182" t="s">
        <v>26</v>
      </c>
      <c r="J1182">
        <v>4</v>
      </c>
      <c r="K1182">
        <v>428</v>
      </c>
      <c r="L1182">
        <v>1712</v>
      </c>
      <c r="M1182">
        <v>3.6</v>
      </c>
      <c r="N1182">
        <v>41</v>
      </c>
      <c r="O1182">
        <v>449</v>
      </c>
      <c r="P1182">
        <v>0</v>
      </c>
      <c r="Q1182" t="s">
        <v>75</v>
      </c>
      <c r="R1182">
        <v>41</v>
      </c>
      <c r="S1182" t="s">
        <v>41</v>
      </c>
    </row>
    <row r="1183" spans="1:19" x14ac:dyDescent="0.3">
      <c r="A1183" t="s">
        <v>3222</v>
      </c>
      <c r="B1183" s="2">
        <v>45520</v>
      </c>
      <c r="C1183" t="s">
        <v>82</v>
      </c>
      <c r="D1183" t="s">
        <v>21</v>
      </c>
      <c r="E1183" t="s">
        <v>3223</v>
      </c>
      <c r="F1183" t="s">
        <v>192</v>
      </c>
      <c r="G1183" t="s">
        <v>3224</v>
      </c>
      <c r="H1183" t="s">
        <v>53</v>
      </c>
      <c r="I1183" t="s">
        <v>26</v>
      </c>
      <c r="J1183">
        <v>3</v>
      </c>
      <c r="K1183">
        <v>498</v>
      </c>
      <c r="L1183">
        <v>1494</v>
      </c>
      <c r="M1183">
        <v>4.2</v>
      </c>
      <c r="N1183">
        <v>45</v>
      </c>
      <c r="P1183">
        <v>0</v>
      </c>
      <c r="Q1183" t="s">
        <v>27</v>
      </c>
      <c r="R1183">
        <v>36</v>
      </c>
      <c r="S1183" t="s">
        <v>41</v>
      </c>
    </row>
    <row r="1184" spans="1:19" x14ac:dyDescent="0.3">
      <c r="A1184" t="s">
        <v>3225</v>
      </c>
      <c r="B1184" s="2">
        <v>45319</v>
      </c>
      <c r="C1184" t="s">
        <v>43</v>
      </c>
      <c r="D1184" t="s">
        <v>60</v>
      </c>
      <c r="E1184" t="s">
        <v>3226</v>
      </c>
      <c r="F1184" t="s">
        <v>78</v>
      </c>
      <c r="G1184" t="s">
        <v>3227</v>
      </c>
      <c r="H1184" t="s">
        <v>53</v>
      </c>
      <c r="I1184" t="s">
        <v>26</v>
      </c>
      <c r="J1184">
        <v>4</v>
      </c>
      <c r="K1184">
        <v>462</v>
      </c>
      <c r="L1184">
        <v>1848</v>
      </c>
      <c r="M1184">
        <v>3.8</v>
      </c>
      <c r="N1184">
        <v>51</v>
      </c>
      <c r="P1184">
        <v>0</v>
      </c>
      <c r="Q1184" t="s">
        <v>34</v>
      </c>
      <c r="R1184">
        <v>33</v>
      </c>
      <c r="S1184" t="s">
        <v>28</v>
      </c>
    </row>
    <row r="1185" spans="1:19" x14ac:dyDescent="0.3">
      <c r="A1185" t="s">
        <v>3228</v>
      </c>
      <c r="B1185" s="2">
        <v>45493</v>
      </c>
      <c r="C1185" t="s">
        <v>59</v>
      </c>
      <c r="D1185" t="s">
        <v>100</v>
      </c>
      <c r="E1185" t="s">
        <v>3229</v>
      </c>
      <c r="F1185" t="s">
        <v>192</v>
      </c>
      <c r="G1185" t="s">
        <v>227</v>
      </c>
      <c r="H1185" t="s">
        <v>80</v>
      </c>
      <c r="I1185" t="s">
        <v>26</v>
      </c>
      <c r="J1185">
        <v>4</v>
      </c>
      <c r="K1185">
        <v>554</v>
      </c>
      <c r="L1185">
        <v>2216</v>
      </c>
      <c r="M1185">
        <v>4.0999999999999996</v>
      </c>
      <c r="N1185">
        <v>51</v>
      </c>
      <c r="P1185">
        <v>0</v>
      </c>
      <c r="Q1185" t="s">
        <v>27</v>
      </c>
      <c r="R1185">
        <v>24</v>
      </c>
      <c r="S1185" t="s">
        <v>41</v>
      </c>
    </row>
    <row r="1186" spans="1:19" x14ac:dyDescent="0.3">
      <c r="A1186" t="s">
        <v>3230</v>
      </c>
      <c r="B1186" s="2">
        <v>45330</v>
      </c>
      <c r="C1186" t="s">
        <v>113</v>
      </c>
      <c r="D1186" t="s">
        <v>92</v>
      </c>
      <c r="E1186" t="s">
        <v>3231</v>
      </c>
      <c r="F1186" t="s">
        <v>192</v>
      </c>
      <c r="G1186" t="s">
        <v>3232</v>
      </c>
      <c r="H1186" t="s">
        <v>40</v>
      </c>
      <c r="I1186" t="s">
        <v>33</v>
      </c>
      <c r="J1186">
        <v>2</v>
      </c>
      <c r="K1186">
        <v>506</v>
      </c>
      <c r="L1186">
        <v>1012</v>
      </c>
      <c r="M1186">
        <v>4.2</v>
      </c>
      <c r="N1186">
        <v>59</v>
      </c>
      <c r="P1186">
        <v>0</v>
      </c>
      <c r="Q1186" t="s">
        <v>34</v>
      </c>
      <c r="R1186">
        <v>36</v>
      </c>
      <c r="S1186" t="s">
        <v>41</v>
      </c>
    </row>
    <row r="1187" spans="1:19" x14ac:dyDescent="0.3">
      <c r="A1187" t="s">
        <v>3233</v>
      </c>
      <c r="B1187" s="2">
        <v>45476</v>
      </c>
      <c r="C1187" t="s">
        <v>59</v>
      </c>
      <c r="D1187" t="s">
        <v>72</v>
      </c>
      <c r="E1187" t="s">
        <v>3234</v>
      </c>
      <c r="F1187" t="s">
        <v>192</v>
      </c>
      <c r="G1187" t="s">
        <v>2685</v>
      </c>
      <c r="H1187" t="s">
        <v>80</v>
      </c>
      <c r="I1187" t="s">
        <v>26</v>
      </c>
      <c r="J1187">
        <v>4</v>
      </c>
      <c r="K1187">
        <v>161</v>
      </c>
      <c r="L1187">
        <v>644</v>
      </c>
      <c r="M1187">
        <v>3.8</v>
      </c>
      <c r="N1187">
        <v>49</v>
      </c>
      <c r="O1187">
        <v>749</v>
      </c>
      <c r="P1187">
        <v>0</v>
      </c>
      <c r="Q1187" t="s">
        <v>75</v>
      </c>
      <c r="R1187">
        <v>29</v>
      </c>
      <c r="S1187" t="s">
        <v>28</v>
      </c>
    </row>
    <row r="1188" spans="1:19" x14ac:dyDescent="0.3">
      <c r="A1188" t="s">
        <v>3235</v>
      </c>
      <c r="B1188" s="2">
        <v>45308</v>
      </c>
      <c r="C1188" t="s">
        <v>43</v>
      </c>
      <c r="D1188" t="s">
        <v>72</v>
      </c>
      <c r="E1188" t="s">
        <v>3236</v>
      </c>
      <c r="F1188" t="s">
        <v>192</v>
      </c>
      <c r="G1188" t="s">
        <v>3237</v>
      </c>
      <c r="H1188" t="s">
        <v>80</v>
      </c>
      <c r="I1188" t="s">
        <v>26</v>
      </c>
      <c r="J1188">
        <v>2</v>
      </c>
      <c r="K1188">
        <v>473</v>
      </c>
      <c r="L1188">
        <v>946</v>
      </c>
      <c r="M1188">
        <v>4.2</v>
      </c>
      <c r="N1188">
        <v>42</v>
      </c>
      <c r="P1188">
        <v>0</v>
      </c>
      <c r="Q1188" t="s">
        <v>49</v>
      </c>
      <c r="R1188">
        <v>32</v>
      </c>
      <c r="S1188" t="s">
        <v>41</v>
      </c>
    </row>
    <row r="1189" spans="1:19" x14ac:dyDescent="0.3">
      <c r="A1189" t="s">
        <v>3238</v>
      </c>
      <c r="B1189" s="2">
        <v>45522</v>
      </c>
      <c r="C1189" t="s">
        <v>82</v>
      </c>
      <c r="D1189" t="s">
        <v>60</v>
      </c>
      <c r="E1189" t="s">
        <v>3239</v>
      </c>
      <c r="F1189" t="s">
        <v>78</v>
      </c>
      <c r="G1189" t="s">
        <v>373</v>
      </c>
      <c r="H1189" t="s">
        <v>80</v>
      </c>
      <c r="I1189" t="s">
        <v>26</v>
      </c>
      <c r="J1189">
        <v>2</v>
      </c>
      <c r="K1189">
        <v>535</v>
      </c>
      <c r="L1189">
        <v>1070</v>
      </c>
      <c r="M1189">
        <v>4.4000000000000004</v>
      </c>
      <c r="N1189">
        <v>56</v>
      </c>
      <c r="P1189">
        <v>0</v>
      </c>
      <c r="Q1189" t="s">
        <v>49</v>
      </c>
      <c r="R1189">
        <v>48</v>
      </c>
      <c r="S1189" t="s">
        <v>41</v>
      </c>
    </row>
    <row r="1190" spans="1:19" x14ac:dyDescent="0.3">
      <c r="A1190" t="s">
        <v>3240</v>
      </c>
      <c r="B1190" s="2">
        <v>45377</v>
      </c>
      <c r="C1190" t="s">
        <v>55</v>
      </c>
      <c r="D1190" t="s">
        <v>36</v>
      </c>
      <c r="E1190" t="s">
        <v>3241</v>
      </c>
      <c r="F1190" t="s">
        <v>450</v>
      </c>
      <c r="G1190" t="s">
        <v>109</v>
      </c>
      <c r="H1190" t="s">
        <v>64</v>
      </c>
      <c r="I1190" t="s">
        <v>26</v>
      </c>
      <c r="J1190">
        <v>2</v>
      </c>
      <c r="K1190">
        <v>228</v>
      </c>
      <c r="L1190">
        <v>456</v>
      </c>
      <c r="M1190">
        <v>3.5</v>
      </c>
      <c r="N1190">
        <v>42</v>
      </c>
      <c r="P1190">
        <v>0</v>
      </c>
      <c r="Q1190" t="s">
        <v>49</v>
      </c>
      <c r="R1190">
        <v>40</v>
      </c>
      <c r="S1190" t="s">
        <v>41</v>
      </c>
    </row>
    <row r="1191" spans="1:19" x14ac:dyDescent="0.3">
      <c r="A1191" t="s">
        <v>3242</v>
      </c>
      <c r="B1191" s="2">
        <v>45509</v>
      </c>
      <c r="C1191" t="s">
        <v>82</v>
      </c>
      <c r="D1191" t="s">
        <v>44</v>
      </c>
      <c r="E1191" t="s">
        <v>3243</v>
      </c>
      <c r="F1191" t="s">
        <v>62</v>
      </c>
      <c r="G1191" t="s">
        <v>2782</v>
      </c>
      <c r="H1191" t="s">
        <v>40</v>
      </c>
      <c r="I1191" t="s">
        <v>26</v>
      </c>
      <c r="J1191">
        <v>1</v>
      </c>
      <c r="K1191">
        <v>170</v>
      </c>
      <c r="L1191">
        <v>170</v>
      </c>
      <c r="M1191">
        <v>4.3</v>
      </c>
      <c r="N1191">
        <v>43</v>
      </c>
      <c r="P1191">
        <v>0</v>
      </c>
      <c r="Q1191" t="s">
        <v>34</v>
      </c>
      <c r="R1191">
        <v>31</v>
      </c>
      <c r="S1191" t="s">
        <v>41</v>
      </c>
    </row>
    <row r="1192" spans="1:19" x14ac:dyDescent="0.3">
      <c r="A1192" t="s">
        <v>3244</v>
      </c>
      <c r="B1192" s="2">
        <v>45417</v>
      </c>
      <c r="C1192" t="s">
        <v>71</v>
      </c>
      <c r="D1192" t="s">
        <v>60</v>
      </c>
      <c r="E1192" t="s">
        <v>3245</v>
      </c>
      <c r="F1192" t="s">
        <v>2197</v>
      </c>
      <c r="G1192" t="s">
        <v>154</v>
      </c>
      <c r="H1192" t="s">
        <v>80</v>
      </c>
      <c r="I1192" t="s">
        <v>26</v>
      </c>
      <c r="J1192">
        <v>1</v>
      </c>
      <c r="K1192">
        <v>369</v>
      </c>
      <c r="L1192">
        <v>369</v>
      </c>
      <c r="M1192">
        <v>4.5999999999999996</v>
      </c>
      <c r="N1192">
        <v>61</v>
      </c>
      <c r="P1192">
        <v>0</v>
      </c>
      <c r="Q1192" t="s">
        <v>75</v>
      </c>
      <c r="R1192">
        <v>28</v>
      </c>
      <c r="S1192" t="s">
        <v>41</v>
      </c>
    </row>
    <row r="1193" spans="1:19" x14ac:dyDescent="0.3">
      <c r="A1193" t="s">
        <v>3246</v>
      </c>
      <c r="B1193" s="2">
        <v>45335</v>
      </c>
      <c r="C1193" t="s">
        <v>113</v>
      </c>
      <c r="D1193" t="s">
        <v>36</v>
      </c>
      <c r="E1193" t="s">
        <v>3247</v>
      </c>
      <c r="F1193" t="s">
        <v>87</v>
      </c>
      <c r="G1193" t="s">
        <v>3248</v>
      </c>
      <c r="H1193" t="s">
        <v>80</v>
      </c>
      <c r="I1193" t="s">
        <v>26</v>
      </c>
      <c r="J1193">
        <v>4</v>
      </c>
      <c r="K1193">
        <v>460</v>
      </c>
      <c r="L1193">
        <v>1840</v>
      </c>
      <c r="M1193">
        <v>3.7</v>
      </c>
      <c r="N1193">
        <v>42</v>
      </c>
      <c r="O1193">
        <v>249</v>
      </c>
      <c r="P1193">
        <v>0</v>
      </c>
      <c r="Q1193" t="s">
        <v>27</v>
      </c>
      <c r="R1193">
        <v>43</v>
      </c>
      <c r="S1193" t="s">
        <v>28</v>
      </c>
    </row>
    <row r="1194" spans="1:19" x14ac:dyDescent="0.3">
      <c r="A1194" t="s">
        <v>3249</v>
      </c>
      <c r="B1194" s="2">
        <v>45316</v>
      </c>
      <c r="C1194" t="s">
        <v>43</v>
      </c>
      <c r="D1194" t="s">
        <v>92</v>
      </c>
      <c r="E1194" t="s">
        <v>3250</v>
      </c>
      <c r="F1194" t="s">
        <v>62</v>
      </c>
      <c r="G1194" t="s">
        <v>3251</v>
      </c>
      <c r="H1194" t="s">
        <v>40</v>
      </c>
      <c r="I1194" t="s">
        <v>26</v>
      </c>
      <c r="J1194">
        <v>2</v>
      </c>
      <c r="K1194">
        <v>549</v>
      </c>
      <c r="L1194">
        <v>1098</v>
      </c>
      <c r="M1194">
        <v>4.0999999999999996</v>
      </c>
      <c r="N1194">
        <v>51</v>
      </c>
      <c r="O1194">
        <v>999</v>
      </c>
      <c r="P1194">
        <v>0</v>
      </c>
      <c r="Q1194" t="s">
        <v>75</v>
      </c>
      <c r="R1194">
        <v>27</v>
      </c>
      <c r="S1194" t="s">
        <v>28</v>
      </c>
    </row>
    <row r="1195" spans="1:19" x14ac:dyDescent="0.3">
      <c r="A1195" t="s">
        <v>3252</v>
      </c>
      <c r="B1195" s="2">
        <v>45436</v>
      </c>
      <c r="C1195" t="s">
        <v>71</v>
      </c>
      <c r="D1195" t="s">
        <v>21</v>
      </c>
      <c r="E1195" t="s">
        <v>3253</v>
      </c>
      <c r="F1195" t="s">
        <v>115</v>
      </c>
      <c r="G1195" t="s">
        <v>2069</v>
      </c>
      <c r="H1195" t="s">
        <v>48</v>
      </c>
      <c r="I1195" t="s">
        <v>33</v>
      </c>
      <c r="J1195">
        <v>1</v>
      </c>
      <c r="K1195">
        <v>502</v>
      </c>
      <c r="L1195">
        <v>502</v>
      </c>
      <c r="M1195">
        <v>4.4000000000000004</v>
      </c>
      <c r="N1195">
        <v>59</v>
      </c>
      <c r="P1195">
        <v>0</v>
      </c>
      <c r="Q1195" t="s">
        <v>27</v>
      </c>
      <c r="R1195">
        <v>44</v>
      </c>
      <c r="S1195" t="s">
        <v>28</v>
      </c>
    </row>
    <row r="1196" spans="1:19" x14ac:dyDescent="0.3">
      <c r="A1196" t="s">
        <v>3254</v>
      </c>
      <c r="B1196" s="2">
        <v>45304</v>
      </c>
      <c r="C1196" t="s">
        <v>43</v>
      </c>
      <c r="D1196" t="s">
        <v>100</v>
      </c>
      <c r="E1196" t="s">
        <v>3255</v>
      </c>
      <c r="F1196" t="s">
        <v>192</v>
      </c>
      <c r="G1196" t="s">
        <v>227</v>
      </c>
      <c r="H1196" t="s">
        <v>80</v>
      </c>
      <c r="I1196" t="s">
        <v>26</v>
      </c>
      <c r="J1196">
        <v>2</v>
      </c>
      <c r="K1196">
        <v>140</v>
      </c>
      <c r="L1196">
        <v>280</v>
      </c>
      <c r="O1196">
        <v>700</v>
      </c>
      <c r="P1196">
        <v>20</v>
      </c>
      <c r="Q1196" t="s">
        <v>34</v>
      </c>
      <c r="R1196">
        <v>28</v>
      </c>
      <c r="S1196" t="s">
        <v>41</v>
      </c>
    </row>
    <row r="1197" spans="1:19" x14ac:dyDescent="0.3">
      <c r="A1197" t="s">
        <v>3256</v>
      </c>
      <c r="B1197" s="2">
        <v>45503</v>
      </c>
      <c r="C1197" t="s">
        <v>59</v>
      </c>
      <c r="D1197" t="s">
        <v>36</v>
      </c>
      <c r="E1197" t="s">
        <v>3257</v>
      </c>
      <c r="F1197" t="s">
        <v>62</v>
      </c>
      <c r="G1197" t="s">
        <v>3258</v>
      </c>
      <c r="H1197" t="s">
        <v>40</v>
      </c>
      <c r="I1197" t="s">
        <v>33</v>
      </c>
      <c r="J1197">
        <v>3</v>
      </c>
      <c r="K1197">
        <v>419</v>
      </c>
      <c r="L1197">
        <v>1257</v>
      </c>
      <c r="M1197">
        <v>4</v>
      </c>
      <c r="N1197">
        <v>59</v>
      </c>
      <c r="P1197">
        <v>0</v>
      </c>
      <c r="Q1197" t="s">
        <v>34</v>
      </c>
      <c r="R1197">
        <v>23</v>
      </c>
      <c r="S1197" t="s">
        <v>28</v>
      </c>
    </row>
    <row r="1198" spans="1:19" x14ac:dyDescent="0.3">
      <c r="A1198" t="s">
        <v>3259</v>
      </c>
      <c r="B1198" s="2">
        <v>45316</v>
      </c>
      <c r="C1198" t="s">
        <v>43</v>
      </c>
      <c r="D1198" t="s">
        <v>92</v>
      </c>
      <c r="E1198" t="s">
        <v>3260</v>
      </c>
      <c r="F1198" t="s">
        <v>62</v>
      </c>
      <c r="G1198" t="s">
        <v>3261</v>
      </c>
      <c r="H1198" t="s">
        <v>48</v>
      </c>
      <c r="I1198" t="s">
        <v>33</v>
      </c>
      <c r="J1198">
        <v>3</v>
      </c>
      <c r="K1198">
        <v>258</v>
      </c>
      <c r="L1198">
        <v>774</v>
      </c>
      <c r="M1198">
        <v>4.5999999999999996</v>
      </c>
      <c r="N1198">
        <v>45</v>
      </c>
      <c r="P1198">
        <v>0</v>
      </c>
      <c r="Q1198" t="s">
        <v>27</v>
      </c>
      <c r="R1198">
        <v>19</v>
      </c>
      <c r="S1198" t="s">
        <v>41</v>
      </c>
    </row>
    <row r="1199" spans="1:19" x14ac:dyDescent="0.3">
      <c r="A1199" t="s">
        <v>3262</v>
      </c>
      <c r="B1199" s="2">
        <v>45359</v>
      </c>
      <c r="C1199" t="s">
        <v>55</v>
      </c>
      <c r="D1199" t="s">
        <v>21</v>
      </c>
      <c r="E1199" t="s">
        <v>3263</v>
      </c>
      <c r="F1199" t="s">
        <v>192</v>
      </c>
      <c r="G1199" t="s">
        <v>3264</v>
      </c>
      <c r="H1199" t="s">
        <v>48</v>
      </c>
      <c r="I1199" t="s">
        <v>33</v>
      </c>
      <c r="J1199">
        <v>3</v>
      </c>
      <c r="K1199">
        <v>478</v>
      </c>
      <c r="L1199">
        <v>1434</v>
      </c>
      <c r="P1199">
        <v>0</v>
      </c>
      <c r="Q1199" t="s">
        <v>27</v>
      </c>
      <c r="R1199">
        <v>28</v>
      </c>
      <c r="S1199" t="s">
        <v>41</v>
      </c>
    </row>
    <row r="1200" spans="1:19" x14ac:dyDescent="0.3">
      <c r="A1200" t="s">
        <v>3265</v>
      </c>
      <c r="B1200" s="2">
        <v>45429</v>
      </c>
      <c r="C1200" t="s">
        <v>71</v>
      </c>
      <c r="D1200" t="s">
        <v>21</v>
      </c>
      <c r="E1200" t="s">
        <v>3266</v>
      </c>
      <c r="F1200" t="s">
        <v>517</v>
      </c>
      <c r="G1200" t="s">
        <v>3267</v>
      </c>
      <c r="H1200" t="s">
        <v>48</v>
      </c>
      <c r="I1200" t="s">
        <v>33</v>
      </c>
      <c r="J1200">
        <v>4</v>
      </c>
      <c r="K1200">
        <v>443</v>
      </c>
      <c r="L1200">
        <v>1772</v>
      </c>
      <c r="M1200">
        <v>4.0999999999999996</v>
      </c>
      <c r="N1200">
        <v>52</v>
      </c>
      <c r="O1200">
        <v>449</v>
      </c>
      <c r="P1200">
        <v>0</v>
      </c>
      <c r="Q1200" t="s">
        <v>27</v>
      </c>
      <c r="R1200">
        <v>36</v>
      </c>
      <c r="S1200" t="s">
        <v>41</v>
      </c>
    </row>
    <row r="1201" spans="1:19" x14ac:dyDescent="0.3">
      <c r="A1201" t="s">
        <v>3268</v>
      </c>
      <c r="B1201" s="2">
        <v>45358</v>
      </c>
      <c r="C1201" t="s">
        <v>55</v>
      </c>
      <c r="D1201" t="s">
        <v>92</v>
      </c>
      <c r="E1201" t="s">
        <v>3269</v>
      </c>
      <c r="F1201" t="s">
        <v>713</v>
      </c>
      <c r="G1201" t="s">
        <v>3270</v>
      </c>
      <c r="H1201" t="s">
        <v>48</v>
      </c>
      <c r="I1201" t="s">
        <v>33</v>
      </c>
      <c r="J1201">
        <v>2</v>
      </c>
      <c r="K1201">
        <v>504</v>
      </c>
      <c r="L1201">
        <v>1008</v>
      </c>
      <c r="P1201">
        <v>0</v>
      </c>
      <c r="Q1201" t="s">
        <v>75</v>
      </c>
      <c r="R1201">
        <v>49</v>
      </c>
      <c r="S1201" t="s">
        <v>28</v>
      </c>
    </row>
    <row r="1202" spans="1:19" x14ac:dyDescent="0.3">
      <c r="A1202" t="s">
        <v>3271</v>
      </c>
      <c r="B1202" s="2">
        <v>45524</v>
      </c>
      <c r="C1202" t="s">
        <v>82</v>
      </c>
      <c r="D1202" t="s">
        <v>36</v>
      </c>
      <c r="E1202" t="s">
        <v>3272</v>
      </c>
      <c r="F1202" t="s">
        <v>46</v>
      </c>
      <c r="G1202" t="s">
        <v>3273</v>
      </c>
      <c r="H1202" t="s">
        <v>53</v>
      </c>
      <c r="I1202" t="s">
        <v>26</v>
      </c>
      <c r="J1202">
        <v>3</v>
      </c>
      <c r="K1202">
        <v>211</v>
      </c>
      <c r="L1202">
        <v>633</v>
      </c>
      <c r="M1202">
        <v>3.8</v>
      </c>
      <c r="N1202">
        <v>50</v>
      </c>
      <c r="O1202">
        <v>150</v>
      </c>
      <c r="P1202">
        <v>30</v>
      </c>
      <c r="Q1202" t="s">
        <v>27</v>
      </c>
      <c r="R1202">
        <v>23</v>
      </c>
      <c r="S1202" t="s">
        <v>28</v>
      </c>
    </row>
    <row r="1203" spans="1:19" x14ac:dyDescent="0.3">
      <c r="A1203" t="s">
        <v>3274</v>
      </c>
      <c r="B1203" s="2">
        <v>45400</v>
      </c>
      <c r="C1203" t="s">
        <v>20</v>
      </c>
      <c r="D1203" t="s">
        <v>92</v>
      </c>
      <c r="E1203" t="s">
        <v>3275</v>
      </c>
      <c r="F1203" t="s">
        <v>450</v>
      </c>
      <c r="G1203" t="s">
        <v>109</v>
      </c>
      <c r="H1203" t="s">
        <v>64</v>
      </c>
      <c r="I1203" t="s">
        <v>26</v>
      </c>
      <c r="J1203">
        <v>1</v>
      </c>
      <c r="K1203">
        <v>566</v>
      </c>
      <c r="L1203">
        <v>566</v>
      </c>
      <c r="M1203">
        <v>3.3</v>
      </c>
      <c r="N1203">
        <v>52</v>
      </c>
      <c r="P1203">
        <v>0</v>
      </c>
      <c r="Q1203" t="s">
        <v>34</v>
      </c>
      <c r="R1203">
        <v>31</v>
      </c>
      <c r="S1203" t="s">
        <v>28</v>
      </c>
    </row>
    <row r="1204" spans="1:19" x14ac:dyDescent="0.3">
      <c r="A1204" t="s">
        <v>3276</v>
      </c>
      <c r="B1204" s="2">
        <v>45437</v>
      </c>
      <c r="C1204" t="s">
        <v>71</v>
      </c>
      <c r="D1204" t="s">
        <v>100</v>
      </c>
      <c r="E1204" t="s">
        <v>3277</v>
      </c>
      <c r="F1204" t="s">
        <v>713</v>
      </c>
      <c r="G1204" t="s">
        <v>53</v>
      </c>
      <c r="H1204" t="s">
        <v>53</v>
      </c>
      <c r="I1204" t="s">
        <v>26</v>
      </c>
      <c r="J1204">
        <v>3</v>
      </c>
      <c r="K1204">
        <v>399</v>
      </c>
      <c r="L1204">
        <v>1197</v>
      </c>
      <c r="P1204">
        <v>0</v>
      </c>
      <c r="Q1204" t="s">
        <v>34</v>
      </c>
      <c r="R1204">
        <v>37</v>
      </c>
      <c r="S1204" t="s">
        <v>41</v>
      </c>
    </row>
    <row r="1205" spans="1:19" x14ac:dyDescent="0.3">
      <c r="A1205" t="s">
        <v>3278</v>
      </c>
      <c r="B1205" s="2">
        <v>45402</v>
      </c>
      <c r="C1205" t="s">
        <v>20</v>
      </c>
      <c r="D1205" t="s">
        <v>100</v>
      </c>
      <c r="E1205" t="s">
        <v>3279</v>
      </c>
      <c r="F1205" t="s">
        <v>192</v>
      </c>
      <c r="G1205" t="s">
        <v>3280</v>
      </c>
      <c r="H1205" t="s">
        <v>80</v>
      </c>
      <c r="I1205" t="s">
        <v>26</v>
      </c>
      <c r="J1205">
        <v>3</v>
      </c>
      <c r="K1205">
        <v>244</v>
      </c>
      <c r="L1205">
        <v>732</v>
      </c>
      <c r="M1205">
        <v>4.3</v>
      </c>
      <c r="N1205">
        <v>52</v>
      </c>
      <c r="O1205">
        <v>125</v>
      </c>
      <c r="P1205">
        <v>25</v>
      </c>
      <c r="Q1205" t="s">
        <v>49</v>
      </c>
      <c r="R1205">
        <v>23</v>
      </c>
      <c r="S1205" t="s">
        <v>28</v>
      </c>
    </row>
    <row r="1206" spans="1:19" x14ac:dyDescent="0.3">
      <c r="A1206" t="s">
        <v>3281</v>
      </c>
      <c r="B1206" s="2">
        <v>45519</v>
      </c>
      <c r="C1206" t="s">
        <v>82</v>
      </c>
      <c r="D1206" t="s">
        <v>92</v>
      </c>
      <c r="E1206" t="s">
        <v>3282</v>
      </c>
      <c r="F1206" t="s">
        <v>746</v>
      </c>
      <c r="G1206" t="s">
        <v>1526</v>
      </c>
      <c r="H1206" t="s">
        <v>80</v>
      </c>
      <c r="I1206" t="s">
        <v>26</v>
      </c>
      <c r="J1206">
        <v>3</v>
      </c>
      <c r="K1206">
        <v>516</v>
      </c>
      <c r="L1206">
        <v>1548</v>
      </c>
      <c r="O1206">
        <v>499</v>
      </c>
      <c r="P1206">
        <v>0</v>
      </c>
      <c r="Q1206" t="s">
        <v>27</v>
      </c>
      <c r="R1206">
        <v>34</v>
      </c>
      <c r="S1206" t="s">
        <v>41</v>
      </c>
    </row>
    <row r="1207" spans="1:19" x14ac:dyDescent="0.3">
      <c r="A1207" t="s">
        <v>3283</v>
      </c>
      <c r="B1207" s="2">
        <v>45402</v>
      </c>
      <c r="C1207" t="s">
        <v>20</v>
      </c>
      <c r="D1207" t="s">
        <v>100</v>
      </c>
      <c r="E1207" t="s">
        <v>3284</v>
      </c>
      <c r="F1207" t="s">
        <v>3285</v>
      </c>
      <c r="G1207" t="s">
        <v>2550</v>
      </c>
      <c r="H1207" t="s">
        <v>53</v>
      </c>
      <c r="I1207" t="s">
        <v>26</v>
      </c>
      <c r="J1207">
        <v>4</v>
      </c>
      <c r="K1207">
        <v>230</v>
      </c>
      <c r="L1207">
        <v>920</v>
      </c>
      <c r="M1207">
        <v>4</v>
      </c>
      <c r="N1207">
        <v>61</v>
      </c>
      <c r="O1207">
        <v>999</v>
      </c>
      <c r="P1207">
        <v>0</v>
      </c>
      <c r="Q1207" t="s">
        <v>75</v>
      </c>
      <c r="R1207">
        <v>27</v>
      </c>
      <c r="S1207" t="s">
        <v>28</v>
      </c>
    </row>
    <row r="1208" spans="1:19" x14ac:dyDescent="0.3">
      <c r="A1208" t="s">
        <v>3286</v>
      </c>
      <c r="B1208" s="2">
        <v>45505</v>
      </c>
      <c r="C1208" t="s">
        <v>82</v>
      </c>
      <c r="D1208" t="s">
        <v>92</v>
      </c>
      <c r="E1208" t="s">
        <v>3287</v>
      </c>
      <c r="F1208" t="s">
        <v>450</v>
      </c>
      <c r="G1208" t="s">
        <v>3288</v>
      </c>
      <c r="H1208" t="s">
        <v>53</v>
      </c>
      <c r="I1208" t="s">
        <v>26</v>
      </c>
      <c r="J1208">
        <v>1</v>
      </c>
      <c r="K1208">
        <v>473</v>
      </c>
      <c r="L1208">
        <v>473</v>
      </c>
      <c r="P1208">
        <v>0</v>
      </c>
      <c r="Q1208" t="s">
        <v>75</v>
      </c>
      <c r="R1208">
        <v>45</v>
      </c>
      <c r="S1208" t="s">
        <v>28</v>
      </c>
    </row>
    <row r="1209" spans="1:19" x14ac:dyDescent="0.3">
      <c r="A1209" t="s">
        <v>3289</v>
      </c>
      <c r="B1209" s="2">
        <v>45325</v>
      </c>
      <c r="C1209" t="s">
        <v>113</v>
      </c>
      <c r="D1209" t="s">
        <v>100</v>
      </c>
      <c r="E1209" t="s">
        <v>3290</v>
      </c>
      <c r="F1209" t="s">
        <v>192</v>
      </c>
      <c r="G1209" t="s">
        <v>3291</v>
      </c>
      <c r="H1209" t="s">
        <v>80</v>
      </c>
      <c r="I1209" t="s">
        <v>26</v>
      </c>
      <c r="J1209">
        <v>2</v>
      </c>
      <c r="K1209">
        <v>258</v>
      </c>
      <c r="L1209">
        <v>516</v>
      </c>
      <c r="P1209">
        <v>0</v>
      </c>
      <c r="Q1209" t="s">
        <v>75</v>
      </c>
      <c r="R1209">
        <v>18</v>
      </c>
      <c r="S1209" t="s">
        <v>41</v>
      </c>
    </row>
    <row r="1210" spans="1:19" x14ac:dyDescent="0.3">
      <c r="A1210" t="s">
        <v>3292</v>
      </c>
      <c r="B1210" s="2">
        <v>45402</v>
      </c>
      <c r="C1210" t="s">
        <v>20</v>
      </c>
      <c r="D1210" t="s">
        <v>100</v>
      </c>
      <c r="E1210" t="s">
        <v>3293</v>
      </c>
      <c r="F1210" t="s">
        <v>192</v>
      </c>
      <c r="G1210" t="s">
        <v>3294</v>
      </c>
      <c r="H1210" t="s">
        <v>53</v>
      </c>
      <c r="I1210" t="s">
        <v>26</v>
      </c>
      <c r="J1210">
        <v>1</v>
      </c>
      <c r="K1210">
        <v>554</v>
      </c>
      <c r="L1210">
        <v>554</v>
      </c>
      <c r="P1210">
        <v>0</v>
      </c>
      <c r="Q1210" t="s">
        <v>49</v>
      </c>
      <c r="R1210">
        <v>20</v>
      </c>
      <c r="S1210" t="s">
        <v>41</v>
      </c>
    </row>
    <row r="1211" spans="1:19" x14ac:dyDescent="0.3">
      <c r="A1211" t="s">
        <v>3295</v>
      </c>
      <c r="B1211" s="2">
        <v>45299</v>
      </c>
      <c r="C1211" t="s">
        <v>43</v>
      </c>
      <c r="D1211" t="s">
        <v>44</v>
      </c>
      <c r="E1211" t="s">
        <v>3296</v>
      </c>
      <c r="F1211" t="s">
        <v>192</v>
      </c>
      <c r="G1211" t="s">
        <v>53</v>
      </c>
      <c r="H1211" t="s">
        <v>53</v>
      </c>
      <c r="I1211" t="s">
        <v>26</v>
      </c>
      <c r="J1211">
        <v>2</v>
      </c>
      <c r="K1211">
        <v>392</v>
      </c>
      <c r="L1211">
        <v>784</v>
      </c>
      <c r="P1211">
        <v>0</v>
      </c>
      <c r="Q1211" t="s">
        <v>34</v>
      </c>
      <c r="R1211">
        <v>25</v>
      </c>
      <c r="S1211" t="s">
        <v>28</v>
      </c>
    </row>
    <row r="1212" spans="1:19" x14ac:dyDescent="0.3">
      <c r="A1212" t="s">
        <v>3297</v>
      </c>
      <c r="B1212" s="2">
        <v>45459</v>
      </c>
      <c r="C1212" t="s">
        <v>30</v>
      </c>
      <c r="D1212" t="s">
        <v>60</v>
      </c>
      <c r="E1212" t="s">
        <v>3298</v>
      </c>
      <c r="F1212" t="s">
        <v>115</v>
      </c>
      <c r="G1212" t="s">
        <v>3299</v>
      </c>
      <c r="H1212" t="s">
        <v>40</v>
      </c>
      <c r="I1212" t="s">
        <v>26</v>
      </c>
      <c r="J1212">
        <v>4</v>
      </c>
      <c r="K1212">
        <v>218</v>
      </c>
      <c r="L1212">
        <v>872</v>
      </c>
      <c r="M1212">
        <v>3.8</v>
      </c>
      <c r="N1212">
        <v>43</v>
      </c>
      <c r="P1212">
        <v>0</v>
      </c>
      <c r="Q1212" t="s">
        <v>75</v>
      </c>
      <c r="R1212">
        <v>25</v>
      </c>
      <c r="S1212" t="s">
        <v>28</v>
      </c>
    </row>
    <row r="1213" spans="1:19" x14ac:dyDescent="0.3">
      <c r="A1213" t="s">
        <v>3300</v>
      </c>
      <c r="B1213" s="2">
        <v>45404</v>
      </c>
      <c r="C1213" t="s">
        <v>20</v>
      </c>
      <c r="D1213" t="s">
        <v>44</v>
      </c>
      <c r="E1213" t="s">
        <v>3301</v>
      </c>
      <c r="F1213" t="s">
        <v>115</v>
      </c>
      <c r="G1213" t="s">
        <v>3302</v>
      </c>
      <c r="H1213" t="s">
        <v>80</v>
      </c>
      <c r="I1213" t="s">
        <v>26</v>
      </c>
      <c r="J1213">
        <v>4</v>
      </c>
      <c r="K1213">
        <v>371</v>
      </c>
      <c r="L1213">
        <v>1484</v>
      </c>
      <c r="M1213">
        <v>5</v>
      </c>
      <c r="N1213">
        <v>46</v>
      </c>
      <c r="P1213">
        <v>0</v>
      </c>
      <c r="Q1213" t="s">
        <v>34</v>
      </c>
      <c r="R1213">
        <v>44</v>
      </c>
      <c r="S1213" t="s">
        <v>28</v>
      </c>
    </row>
    <row r="1214" spans="1:19" x14ac:dyDescent="0.3">
      <c r="A1214" t="s">
        <v>3303</v>
      </c>
      <c r="B1214" s="2">
        <v>45527</v>
      </c>
      <c r="C1214" t="s">
        <v>82</v>
      </c>
      <c r="D1214" t="s">
        <v>21</v>
      </c>
      <c r="E1214" t="s">
        <v>3304</v>
      </c>
      <c r="F1214" t="s">
        <v>87</v>
      </c>
      <c r="G1214" t="s">
        <v>3305</v>
      </c>
      <c r="H1214" t="s">
        <v>53</v>
      </c>
      <c r="I1214" t="s">
        <v>26</v>
      </c>
      <c r="J1214">
        <v>4</v>
      </c>
      <c r="K1214">
        <v>457</v>
      </c>
      <c r="L1214">
        <v>1828</v>
      </c>
      <c r="M1214">
        <v>4.8</v>
      </c>
      <c r="N1214">
        <v>66</v>
      </c>
      <c r="P1214">
        <v>0</v>
      </c>
      <c r="Q1214" t="s">
        <v>49</v>
      </c>
      <c r="R1214">
        <v>37</v>
      </c>
      <c r="S1214" t="s">
        <v>41</v>
      </c>
    </row>
    <row r="1215" spans="1:19" x14ac:dyDescent="0.3">
      <c r="A1215" t="s">
        <v>3306</v>
      </c>
      <c r="B1215" s="2">
        <v>45374</v>
      </c>
      <c r="C1215" t="s">
        <v>55</v>
      </c>
      <c r="D1215" t="s">
        <v>100</v>
      </c>
      <c r="E1215" t="s">
        <v>3307</v>
      </c>
      <c r="F1215" t="s">
        <v>87</v>
      </c>
      <c r="G1215" t="s">
        <v>64</v>
      </c>
      <c r="H1215" t="s">
        <v>64</v>
      </c>
      <c r="I1215" t="s">
        <v>26</v>
      </c>
      <c r="J1215">
        <v>4</v>
      </c>
      <c r="K1215">
        <v>223</v>
      </c>
      <c r="L1215">
        <v>892</v>
      </c>
      <c r="M1215">
        <v>4.2</v>
      </c>
      <c r="N1215">
        <v>47</v>
      </c>
      <c r="P1215">
        <v>0</v>
      </c>
      <c r="Q1215" t="s">
        <v>27</v>
      </c>
      <c r="R1215">
        <v>39</v>
      </c>
      <c r="S1215" t="s">
        <v>41</v>
      </c>
    </row>
    <row r="1216" spans="1:19" x14ac:dyDescent="0.3">
      <c r="A1216" t="s">
        <v>3308</v>
      </c>
      <c r="B1216" s="2">
        <v>45333</v>
      </c>
      <c r="C1216" t="s">
        <v>113</v>
      </c>
      <c r="D1216" t="s">
        <v>60</v>
      </c>
      <c r="E1216" t="s">
        <v>3309</v>
      </c>
      <c r="F1216" t="s">
        <v>824</v>
      </c>
      <c r="G1216" t="s">
        <v>3310</v>
      </c>
      <c r="H1216" t="s">
        <v>80</v>
      </c>
      <c r="I1216" t="s">
        <v>26</v>
      </c>
      <c r="J1216">
        <v>2</v>
      </c>
      <c r="K1216">
        <v>333</v>
      </c>
      <c r="L1216">
        <v>666</v>
      </c>
      <c r="M1216">
        <v>4.2</v>
      </c>
      <c r="N1216">
        <v>54</v>
      </c>
      <c r="O1216">
        <v>700</v>
      </c>
      <c r="P1216">
        <v>20</v>
      </c>
      <c r="Q1216" t="s">
        <v>27</v>
      </c>
      <c r="R1216">
        <v>32</v>
      </c>
      <c r="S1216" t="s">
        <v>28</v>
      </c>
    </row>
    <row r="1217" spans="1:19" x14ac:dyDescent="0.3">
      <c r="A1217" t="s">
        <v>3311</v>
      </c>
      <c r="B1217" s="2">
        <v>45460</v>
      </c>
      <c r="C1217" t="s">
        <v>30</v>
      </c>
      <c r="D1217" t="s">
        <v>44</v>
      </c>
      <c r="E1217" t="s">
        <v>3312</v>
      </c>
      <c r="F1217" t="s">
        <v>115</v>
      </c>
      <c r="G1217" t="s">
        <v>3313</v>
      </c>
      <c r="H1217" t="s">
        <v>80</v>
      </c>
      <c r="I1217" t="s">
        <v>26</v>
      </c>
      <c r="J1217">
        <v>3</v>
      </c>
      <c r="K1217">
        <v>368</v>
      </c>
      <c r="L1217">
        <v>1104</v>
      </c>
      <c r="M1217">
        <v>4.3</v>
      </c>
      <c r="N1217">
        <v>45</v>
      </c>
      <c r="P1217">
        <v>0</v>
      </c>
      <c r="Q1217" t="s">
        <v>27</v>
      </c>
      <c r="R1217">
        <v>41</v>
      </c>
      <c r="S1217" t="s">
        <v>28</v>
      </c>
    </row>
    <row r="1218" spans="1:19" x14ac:dyDescent="0.3">
      <c r="A1218" t="s">
        <v>3314</v>
      </c>
      <c r="B1218" s="2">
        <v>45392</v>
      </c>
      <c r="C1218" t="s">
        <v>20</v>
      </c>
      <c r="D1218" t="s">
        <v>72</v>
      </c>
      <c r="E1218" t="s">
        <v>3315</v>
      </c>
      <c r="F1218" t="s">
        <v>115</v>
      </c>
      <c r="G1218" t="s">
        <v>3316</v>
      </c>
      <c r="H1218" t="s">
        <v>80</v>
      </c>
      <c r="I1218" t="s">
        <v>33</v>
      </c>
      <c r="J1218">
        <v>2</v>
      </c>
      <c r="K1218">
        <v>271</v>
      </c>
      <c r="L1218">
        <v>542</v>
      </c>
      <c r="M1218">
        <v>3.8</v>
      </c>
      <c r="N1218">
        <v>51</v>
      </c>
      <c r="O1218">
        <v>150</v>
      </c>
      <c r="P1218">
        <v>30</v>
      </c>
      <c r="Q1218" t="s">
        <v>75</v>
      </c>
      <c r="R1218">
        <v>24</v>
      </c>
      <c r="S1218" t="s">
        <v>41</v>
      </c>
    </row>
    <row r="1219" spans="1:19" x14ac:dyDescent="0.3">
      <c r="A1219" t="s">
        <v>3317</v>
      </c>
      <c r="B1219" s="2">
        <v>45297</v>
      </c>
      <c r="C1219" t="s">
        <v>43</v>
      </c>
      <c r="D1219" t="s">
        <v>100</v>
      </c>
      <c r="E1219" t="s">
        <v>3318</v>
      </c>
      <c r="F1219" t="s">
        <v>115</v>
      </c>
      <c r="G1219" t="s">
        <v>154</v>
      </c>
      <c r="H1219" t="s">
        <v>80</v>
      </c>
      <c r="I1219" t="s">
        <v>26</v>
      </c>
      <c r="J1219">
        <v>1</v>
      </c>
      <c r="K1219">
        <v>369</v>
      </c>
      <c r="L1219">
        <v>369</v>
      </c>
      <c r="P1219">
        <v>0</v>
      </c>
      <c r="Q1219" t="s">
        <v>27</v>
      </c>
      <c r="R1219">
        <v>28</v>
      </c>
      <c r="S1219" t="s">
        <v>28</v>
      </c>
    </row>
    <row r="1220" spans="1:19" x14ac:dyDescent="0.3">
      <c r="A1220" t="s">
        <v>3319</v>
      </c>
      <c r="B1220" s="2">
        <v>45471</v>
      </c>
      <c r="C1220" t="s">
        <v>30</v>
      </c>
      <c r="D1220" t="s">
        <v>21</v>
      </c>
      <c r="E1220" t="s">
        <v>3320</v>
      </c>
      <c r="F1220" t="s">
        <v>517</v>
      </c>
      <c r="G1220" t="s">
        <v>3321</v>
      </c>
      <c r="H1220" t="s">
        <v>48</v>
      </c>
      <c r="I1220" t="s">
        <v>33</v>
      </c>
      <c r="J1220">
        <v>4</v>
      </c>
      <c r="K1220">
        <v>394</v>
      </c>
      <c r="L1220">
        <v>1576</v>
      </c>
      <c r="M1220">
        <v>3.5</v>
      </c>
      <c r="N1220">
        <v>40</v>
      </c>
      <c r="O1220">
        <v>449</v>
      </c>
      <c r="P1220">
        <v>0</v>
      </c>
      <c r="Q1220" t="s">
        <v>75</v>
      </c>
      <c r="R1220">
        <v>24</v>
      </c>
      <c r="S1220" t="s">
        <v>41</v>
      </c>
    </row>
    <row r="1221" spans="1:19" x14ac:dyDescent="0.3">
      <c r="A1221" t="s">
        <v>3322</v>
      </c>
      <c r="B1221" s="2">
        <v>45317</v>
      </c>
      <c r="C1221" t="s">
        <v>43</v>
      </c>
      <c r="D1221" t="s">
        <v>21</v>
      </c>
      <c r="E1221" t="s">
        <v>3323</v>
      </c>
      <c r="F1221" t="s">
        <v>115</v>
      </c>
      <c r="G1221" t="s">
        <v>2161</v>
      </c>
      <c r="H1221" t="s">
        <v>53</v>
      </c>
      <c r="I1221" t="s">
        <v>26</v>
      </c>
      <c r="J1221">
        <v>4</v>
      </c>
      <c r="K1221">
        <v>284</v>
      </c>
      <c r="L1221">
        <v>1136</v>
      </c>
      <c r="M1221">
        <v>4.3</v>
      </c>
      <c r="N1221">
        <v>41</v>
      </c>
      <c r="O1221">
        <v>999</v>
      </c>
      <c r="P1221">
        <v>0</v>
      </c>
      <c r="Q1221" t="s">
        <v>49</v>
      </c>
      <c r="R1221">
        <v>46</v>
      </c>
      <c r="S1221" t="s">
        <v>41</v>
      </c>
    </row>
    <row r="1222" spans="1:19" x14ac:dyDescent="0.3">
      <c r="A1222" t="s">
        <v>3324</v>
      </c>
      <c r="B1222" s="2">
        <v>45355</v>
      </c>
      <c r="C1222" t="s">
        <v>55</v>
      </c>
      <c r="D1222" t="s">
        <v>44</v>
      </c>
      <c r="E1222" t="s">
        <v>3325</v>
      </c>
      <c r="F1222" t="s">
        <v>192</v>
      </c>
      <c r="G1222" t="s">
        <v>48</v>
      </c>
      <c r="H1222" t="s">
        <v>48</v>
      </c>
      <c r="I1222" t="s">
        <v>33</v>
      </c>
      <c r="J1222">
        <v>1</v>
      </c>
      <c r="K1222">
        <v>460</v>
      </c>
      <c r="L1222">
        <v>460</v>
      </c>
      <c r="O1222">
        <v>999</v>
      </c>
      <c r="P1222">
        <v>0</v>
      </c>
      <c r="Q1222" t="s">
        <v>49</v>
      </c>
      <c r="R1222">
        <v>21</v>
      </c>
      <c r="S1222" t="s">
        <v>41</v>
      </c>
    </row>
    <row r="1223" spans="1:19" x14ac:dyDescent="0.3">
      <c r="A1223" t="s">
        <v>3326</v>
      </c>
      <c r="B1223" s="2">
        <v>45517</v>
      </c>
      <c r="C1223" t="s">
        <v>82</v>
      </c>
      <c r="D1223" t="s">
        <v>36</v>
      </c>
      <c r="E1223" t="s">
        <v>3327</v>
      </c>
      <c r="F1223" t="s">
        <v>46</v>
      </c>
      <c r="G1223" t="s">
        <v>80</v>
      </c>
      <c r="H1223" t="s">
        <v>80</v>
      </c>
      <c r="I1223" t="s">
        <v>26</v>
      </c>
      <c r="J1223">
        <v>2</v>
      </c>
      <c r="K1223">
        <v>127</v>
      </c>
      <c r="L1223">
        <v>254</v>
      </c>
      <c r="M1223">
        <v>2.6</v>
      </c>
      <c r="N1223">
        <v>53</v>
      </c>
      <c r="P1223">
        <v>0</v>
      </c>
      <c r="Q1223" t="s">
        <v>75</v>
      </c>
      <c r="R1223">
        <v>42</v>
      </c>
      <c r="S1223" t="s">
        <v>41</v>
      </c>
    </row>
    <row r="1224" spans="1:19" x14ac:dyDescent="0.3">
      <c r="A1224" t="s">
        <v>3328</v>
      </c>
      <c r="B1224" s="2">
        <v>45478</v>
      </c>
      <c r="C1224" t="s">
        <v>59</v>
      </c>
      <c r="D1224" t="s">
        <v>21</v>
      </c>
      <c r="E1224" t="s">
        <v>3329</v>
      </c>
      <c r="F1224" t="s">
        <v>87</v>
      </c>
      <c r="G1224" t="s">
        <v>94</v>
      </c>
      <c r="H1224" t="s">
        <v>80</v>
      </c>
      <c r="I1224" t="s">
        <v>26</v>
      </c>
      <c r="J1224">
        <v>3</v>
      </c>
      <c r="K1224">
        <v>403</v>
      </c>
      <c r="L1224">
        <v>1209</v>
      </c>
      <c r="M1224">
        <v>4.7</v>
      </c>
      <c r="N1224">
        <v>42</v>
      </c>
      <c r="P1224">
        <v>0</v>
      </c>
      <c r="Q1224" t="s">
        <v>34</v>
      </c>
      <c r="R1224">
        <v>29</v>
      </c>
      <c r="S1224" t="s">
        <v>41</v>
      </c>
    </row>
    <row r="1225" spans="1:19" x14ac:dyDescent="0.3">
      <c r="A1225" t="s">
        <v>3330</v>
      </c>
      <c r="B1225" s="2">
        <v>45475</v>
      </c>
      <c r="C1225" t="s">
        <v>59</v>
      </c>
      <c r="D1225" t="s">
        <v>36</v>
      </c>
      <c r="E1225" t="s">
        <v>3331</v>
      </c>
      <c r="F1225" t="s">
        <v>824</v>
      </c>
      <c r="G1225" t="s">
        <v>154</v>
      </c>
      <c r="H1225" t="s">
        <v>80</v>
      </c>
      <c r="I1225" t="s">
        <v>26</v>
      </c>
      <c r="J1225">
        <v>3</v>
      </c>
      <c r="K1225">
        <v>124</v>
      </c>
      <c r="L1225">
        <v>372</v>
      </c>
      <c r="M1225">
        <v>3.5</v>
      </c>
      <c r="N1225">
        <v>52</v>
      </c>
      <c r="P1225">
        <v>0</v>
      </c>
      <c r="Q1225" t="s">
        <v>27</v>
      </c>
      <c r="R1225">
        <v>43</v>
      </c>
      <c r="S1225" t="s">
        <v>41</v>
      </c>
    </row>
    <row r="1226" spans="1:19" x14ac:dyDescent="0.3">
      <c r="A1226" t="s">
        <v>3332</v>
      </c>
      <c r="B1226" s="2">
        <v>45350</v>
      </c>
      <c r="C1226" t="s">
        <v>113</v>
      </c>
      <c r="D1226" t="s">
        <v>72</v>
      </c>
      <c r="E1226" t="s">
        <v>3333</v>
      </c>
      <c r="F1226" t="s">
        <v>62</v>
      </c>
      <c r="G1226" t="s">
        <v>221</v>
      </c>
      <c r="H1226" t="s">
        <v>80</v>
      </c>
      <c r="I1226" t="s">
        <v>26</v>
      </c>
      <c r="J1226">
        <v>1</v>
      </c>
      <c r="K1226">
        <v>264</v>
      </c>
      <c r="L1226">
        <v>264</v>
      </c>
      <c r="M1226">
        <v>3.6</v>
      </c>
      <c r="N1226">
        <v>51</v>
      </c>
      <c r="O1226">
        <v>1000</v>
      </c>
      <c r="P1226">
        <v>10</v>
      </c>
      <c r="Q1226" t="s">
        <v>27</v>
      </c>
      <c r="R1226">
        <v>23</v>
      </c>
      <c r="S1226" t="s">
        <v>28</v>
      </c>
    </row>
    <row r="1227" spans="1:19" x14ac:dyDescent="0.3">
      <c r="A1227" t="s">
        <v>3334</v>
      </c>
      <c r="B1227" s="2">
        <v>45400</v>
      </c>
      <c r="C1227" t="s">
        <v>20</v>
      </c>
      <c r="D1227" t="s">
        <v>92</v>
      </c>
      <c r="E1227" t="s">
        <v>3335</v>
      </c>
      <c r="F1227" t="s">
        <v>713</v>
      </c>
      <c r="G1227" t="s">
        <v>373</v>
      </c>
      <c r="H1227" t="s">
        <v>80</v>
      </c>
      <c r="I1227" t="s">
        <v>26</v>
      </c>
      <c r="J1227">
        <v>3</v>
      </c>
      <c r="K1227">
        <v>220</v>
      </c>
      <c r="L1227">
        <v>660</v>
      </c>
      <c r="M1227">
        <v>4.5999999999999996</v>
      </c>
      <c r="N1227">
        <v>41</v>
      </c>
      <c r="P1227">
        <v>0</v>
      </c>
      <c r="Q1227" t="s">
        <v>27</v>
      </c>
      <c r="R1227">
        <v>31</v>
      </c>
      <c r="S1227" t="s">
        <v>41</v>
      </c>
    </row>
    <row r="1228" spans="1:19" x14ac:dyDescent="0.3">
      <c r="A1228" t="s">
        <v>3336</v>
      </c>
      <c r="B1228" s="2">
        <v>45489</v>
      </c>
      <c r="C1228" t="s">
        <v>59</v>
      </c>
      <c r="D1228" t="s">
        <v>36</v>
      </c>
      <c r="E1228" t="s">
        <v>3337</v>
      </c>
      <c r="F1228" t="s">
        <v>115</v>
      </c>
      <c r="G1228" t="s">
        <v>158</v>
      </c>
      <c r="H1228" t="s">
        <v>40</v>
      </c>
      <c r="I1228" t="s">
        <v>26</v>
      </c>
      <c r="J1228">
        <v>2</v>
      </c>
      <c r="K1228">
        <v>283</v>
      </c>
      <c r="L1228">
        <v>566</v>
      </c>
      <c r="M1228">
        <v>3.4</v>
      </c>
      <c r="N1228">
        <v>45</v>
      </c>
      <c r="P1228">
        <v>0</v>
      </c>
      <c r="Q1228" t="s">
        <v>75</v>
      </c>
      <c r="R1228">
        <v>29</v>
      </c>
      <c r="S1228" t="s">
        <v>41</v>
      </c>
    </row>
    <row r="1229" spans="1:19" x14ac:dyDescent="0.3">
      <c r="A1229" t="s">
        <v>3338</v>
      </c>
      <c r="B1229" s="2">
        <v>45520</v>
      </c>
      <c r="C1229" t="s">
        <v>82</v>
      </c>
      <c r="D1229" t="s">
        <v>21</v>
      </c>
      <c r="E1229" t="s">
        <v>3339</v>
      </c>
      <c r="F1229" t="s">
        <v>46</v>
      </c>
      <c r="G1229" t="s">
        <v>3340</v>
      </c>
      <c r="H1229" t="s">
        <v>80</v>
      </c>
      <c r="I1229" t="s">
        <v>26</v>
      </c>
      <c r="J1229">
        <v>2</v>
      </c>
      <c r="K1229">
        <v>493</v>
      </c>
      <c r="L1229">
        <v>986</v>
      </c>
      <c r="M1229">
        <v>5</v>
      </c>
      <c r="N1229">
        <v>41</v>
      </c>
      <c r="P1229">
        <v>0</v>
      </c>
      <c r="Q1229" t="s">
        <v>49</v>
      </c>
      <c r="R1229">
        <v>28</v>
      </c>
      <c r="S1229" t="s">
        <v>28</v>
      </c>
    </row>
    <row r="1230" spans="1:19" x14ac:dyDescent="0.3">
      <c r="A1230" t="s">
        <v>3341</v>
      </c>
      <c r="B1230" s="2">
        <v>45412</v>
      </c>
      <c r="C1230" t="s">
        <v>20</v>
      </c>
      <c r="D1230" t="s">
        <v>36</v>
      </c>
      <c r="E1230" t="s">
        <v>3342</v>
      </c>
      <c r="F1230" t="s">
        <v>713</v>
      </c>
      <c r="G1230" t="s">
        <v>3343</v>
      </c>
      <c r="H1230" t="s">
        <v>48</v>
      </c>
      <c r="I1230" t="s">
        <v>33</v>
      </c>
      <c r="J1230">
        <v>1</v>
      </c>
      <c r="K1230">
        <v>266</v>
      </c>
      <c r="L1230">
        <v>266</v>
      </c>
      <c r="O1230">
        <v>120</v>
      </c>
      <c r="P1230">
        <v>20</v>
      </c>
      <c r="Q1230" t="s">
        <v>27</v>
      </c>
      <c r="R1230">
        <v>36</v>
      </c>
      <c r="S1230" t="s">
        <v>41</v>
      </c>
    </row>
    <row r="1231" spans="1:19" x14ac:dyDescent="0.3">
      <c r="A1231" t="s">
        <v>3344</v>
      </c>
      <c r="B1231" s="2">
        <v>45324</v>
      </c>
      <c r="C1231" t="s">
        <v>113</v>
      </c>
      <c r="D1231" t="s">
        <v>21</v>
      </c>
      <c r="E1231" t="s">
        <v>3345</v>
      </c>
      <c r="F1231" t="s">
        <v>115</v>
      </c>
      <c r="G1231" t="s">
        <v>2098</v>
      </c>
      <c r="H1231" t="s">
        <v>80</v>
      </c>
      <c r="I1231" t="s">
        <v>26</v>
      </c>
      <c r="J1231">
        <v>2</v>
      </c>
      <c r="K1231">
        <v>183</v>
      </c>
      <c r="L1231">
        <v>366</v>
      </c>
      <c r="M1231">
        <v>3.6</v>
      </c>
      <c r="N1231">
        <v>40</v>
      </c>
      <c r="O1231">
        <v>999</v>
      </c>
      <c r="P1231">
        <v>0</v>
      </c>
      <c r="Q1231" t="s">
        <v>49</v>
      </c>
      <c r="R1231">
        <v>38</v>
      </c>
      <c r="S1231" t="s">
        <v>28</v>
      </c>
    </row>
    <row r="1232" spans="1:19" x14ac:dyDescent="0.3">
      <c r="A1232" t="s">
        <v>3346</v>
      </c>
      <c r="B1232" s="2">
        <v>45472</v>
      </c>
      <c r="C1232" t="s">
        <v>30</v>
      </c>
      <c r="D1232" t="s">
        <v>100</v>
      </c>
      <c r="E1232" t="s">
        <v>3347</v>
      </c>
      <c r="F1232" t="s">
        <v>115</v>
      </c>
      <c r="G1232" t="s">
        <v>3348</v>
      </c>
      <c r="H1232" t="s">
        <v>40</v>
      </c>
      <c r="I1232" t="s">
        <v>26</v>
      </c>
      <c r="J1232">
        <v>4</v>
      </c>
      <c r="K1232">
        <v>210</v>
      </c>
      <c r="L1232">
        <v>840</v>
      </c>
      <c r="M1232">
        <v>4.3</v>
      </c>
      <c r="N1232">
        <v>56</v>
      </c>
      <c r="O1232">
        <v>999</v>
      </c>
      <c r="P1232">
        <v>0</v>
      </c>
      <c r="Q1232" t="s">
        <v>27</v>
      </c>
      <c r="R1232">
        <v>22</v>
      </c>
      <c r="S1232" t="s">
        <v>41</v>
      </c>
    </row>
    <row r="1233" spans="1:19" x14ac:dyDescent="0.3">
      <c r="A1233" t="s">
        <v>3349</v>
      </c>
      <c r="B1233" s="2">
        <v>45441</v>
      </c>
      <c r="C1233" t="s">
        <v>71</v>
      </c>
      <c r="D1233" t="s">
        <v>72</v>
      </c>
      <c r="E1233" t="s">
        <v>3350</v>
      </c>
      <c r="F1233" t="s">
        <v>746</v>
      </c>
      <c r="G1233" t="s">
        <v>109</v>
      </c>
      <c r="H1233" t="s">
        <v>64</v>
      </c>
      <c r="I1233" t="s">
        <v>26</v>
      </c>
      <c r="J1233">
        <v>1</v>
      </c>
      <c r="K1233">
        <v>236</v>
      </c>
      <c r="L1233">
        <v>236</v>
      </c>
      <c r="P1233">
        <v>0</v>
      </c>
      <c r="Q1233" t="s">
        <v>27</v>
      </c>
      <c r="R1233">
        <v>31</v>
      </c>
      <c r="S1233" t="s">
        <v>28</v>
      </c>
    </row>
    <row r="1234" spans="1:19" x14ac:dyDescent="0.3">
      <c r="A1234" t="s">
        <v>3351</v>
      </c>
      <c r="B1234" s="2">
        <v>45312</v>
      </c>
      <c r="C1234" t="s">
        <v>43</v>
      </c>
      <c r="D1234" t="s">
        <v>60</v>
      </c>
      <c r="E1234" t="s">
        <v>3352</v>
      </c>
      <c r="F1234" t="s">
        <v>192</v>
      </c>
      <c r="G1234" t="s">
        <v>1629</v>
      </c>
      <c r="H1234" t="s">
        <v>53</v>
      </c>
      <c r="I1234" t="s">
        <v>26</v>
      </c>
      <c r="J1234">
        <v>2</v>
      </c>
      <c r="K1234">
        <v>473</v>
      </c>
      <c r="L1234">
        <v>946</v>
      </c>
      <c r="M1234">
        <v>4.5</v>
      </c>
      <c r="N1234">
        <v>42</v>
      </c>
      <c r="O1234">
        <v>749</v>
      </c>
      <c r="P1234">
        <v>0</v>
      </c>
      <c r="Q1234" t="s">
        <v>75</v>
      </c>
      <c r="R1234">
        <v>38</v>
      </c>
      <c r="S1234" t="s">
        <v>28</v>
      </c>
    </row>
    <row r="1235" spans="1:19" x14ac:dyDescent="0.3">
      <c r="A1235" t="s">
        <v>3353</v>
      </c>
      <c r="B1235" s="2">
        <v>45489</v>
      </c>
      <c r="C1235" t="s">
        <v>59</v>
      </c>
      <c r="D1235" t="s">
        <v>36</v>
      </c>
      <c r="E1235" t="s">
        <v>3354</v>
      </c>
      <c r="F1235" t="s">
        <v>78</v>
      </c>
      <c r="G1235" t="s">
        <v>3355</v>
      </c>
      <c r="H1235" t="s">
        <v>80</v>
      </c>
      <c r="I1235" t="s">
        <v>26</v>
      </c>
      <c r="J1235">
        <v>1</v>
      </c>
      <c r="K1235">
        <v>386</v>
      </c>
      <c r="L1235">
        <v>386</v>
      </c>
      <c r="M1235">
        <v>3.7</v>
      </c>
      <c r="N1235">
        <v>46</v>
      </c>
      <c r="P1235">
        <v>0</v>
      </c>
      <c r="Q1235" t="s">
        <v>34</v>
      </c>
      <c r="R1235">
        <v>41</v>
      </c>
      <c r="S1235" t="s">
        <v>41</v>
      </c>
    </row>
    <row r="1236" spans="1:19" x14ac:dyDescent="0.3">
      <c r="A1236" t="s">
        <v>3356</v>
      </c>
      <c r="B1236" s="2">
        <v>45361</v>
      </c>
      <c r="C1236" t="s">
        <v>55</v>
      </c>
      <c r="D1236" t="s">
        <v>60</v>
      </c>
      <c r="E1236" t="s">
        <v>3357</v>
      </c>
      <c r="F1236" t="s">
        <v>78</v>
      </c>
      <c r="G1236" t="s">
        <v>3060</v>
      </c>
      <c r="H1236" t="s">
        <v>80</v>
      </c>
      <c r="I1236" t="s">
        <v>26</v>
      </c>
      <c r="J1236">
        <v>3</v>
      </c>
      <c r="K1236">
        <v>429</v>
      </c>
      <c r="L1236">
        <v>1287</v>
      </c>
      <c r="M1236">
        <v>4.8</v>
      </c>
      <c r="N1236">
        <v>46</v>
      </c>
      <c r="P1236">
        <v>0</v>
      </c>
      <c r="Q1236" t="s">
        <v>75</v>
      </c>
      <c r="R1236">
        <v>33</v>
      </c>
      <c r="S1236" t="s">
        <v>41</v>
      </c>
    </row>
    <row r="1237" spans="1:19" x14ac:dyDescent="0.3">
      <c r="A1237" t="s">
        <v>3358</v>
      </c>
      <c r="B1237" s="2">
        <v>45403</v>
      </c>
      <c r="C1237" t="s">
        <v>20</v>
      </c>
      <c r="D1237" t="s">
        <v>60</v>
      </c>
      <c r="E1237" t="s">
        <v>3359</v>
      </c>
      <c r="F1237" t="s">
        <v>713</v>
      </c>
      <c r="G1237" t="s">
        <v>227</v>
      </c>
      <c r="H1237" t="s">
        <v>80</v>
      </c>
      <c r="I1237" t="s">
        <v>26</v>
      </c>
      <c r="J1237">
        <v>2</v>
      </c>
      <c r="K1237">
        <v>292</v>
      </c>
      <c r="L1237">
        <v>584</v>
      </c>
      <c r="P1237">
        <v>0</v>
      </c>
      <c r="Q1237" t="s">
        <v>27</v>
      </c>
      <c r="R1237">
        <v>42</v>
      </c>
      <c r="S1237" t="s">
        <v>41</v>
      </c>
    </row>
    <row r="1238" spans="1:19" x14ac:dyDescent="0.3">
      <c r="A1238" t="s">
        <v>3360</v>
      </c>
      <c r="B1238" s="2">
        <v>45295</v>
      </c>
      <c r="C1238" t="s">
        <v>43</v>
      </c>
      <c r="D1238" t="s">
        <v>92</v>
      </c>
      <c r="E1238" t="s">
        <v>3361</v>
      </c>
      <c r="F1238" t="s">
        <v>87</v>
      </c>
      <c r="G1238" t="s">
        <v>158</v>
      </c>
      <c r="H1238" t="s">
        <v>40</v>
      </c>
      <c r="I1238" t="s">
        <v>26</v>
      </c>
      <c r="J1238">
        <v>4</v>
      </c>
      <c r="K1238">
        <v>166</v>
      </c>
      <c r="L1238">
        <v>664</v>
      </c>
      <c r="M1238">
        <v>4</v>
      </c>
      <c r="N1238">
        <v>43</v>
      </c>
      <c r="P1238">
        <v>0</v>
      </c>
      <c r="Q1238" t="s">
        <v>27</v>
      </c>
      <c r="R1238">
        <v>30</v>
      </c>
      <c r="S1238" t="s">
        <v>41</v>
      </c>
    </row>
    <row r="1239" spans="1:19" x14ac:dyDescent="0.3">
      <c r="A1239" t="s">
        <v>3362</v>
      </c>
      <c r="B1239" s="2">
        <v>45385</v>
      </c>
      <c r="C1239" t="s">
        <v>20</v>
      </c>
      <c r="D1239" t="s">
        <v>72</v>
      </c>
      <c r="E1239" t="s">
        <v>3363</v>
      </c>
      <c r="F1239" t="s">
        <v>450</v>
      </c>
      <c r="G1239" t="s">
        <v>834</v>
      </c>
      <c r="H1239" t="s">
        <v>25</v>
      </c>
      <c r="I1239" t="s">
        <v>26</v>
      </c>
      <c r="J1239">
        <v>2</v>
      </c>
      <c r="K1239">
        <v>259</v>
      </c>
      <c r="L1239">
        <v>518</v>
      </c>
      <c r="M1239">
        <v>4.9000000000000004</v>
      </c>
      <c r="N1239">
        <v>55</v>
      </c>
      <c r="P1239">
        <v>0</v>
      </c>
      <c r="Q1239" t="s">
        <v>34</v>
      </c>
      <c r="R1239">
        <v>42</v>
      </c>
      <c r="S1239" t="s">
        <v>28</v>
      </c>
    </row>
    <row r="1240" spans="1:19" x14ac:dyDescent="0.3">
      <c r="A1240" t="s">
        <v>3364</v>
      </c>
      <c r="B1240" s="2">
        <v>45366</v>
      </c>
      <c r="C1240" t="s">
        <v>55</v>
      </c>
      <c r="D1240" t="s">
        <v>21</v>
      </c>
      <c r="E1240" t="s">
        <v>3365</v>
      </c>
      <c r="F1240" t="s">
        <v>192</v>
      </c>
      <c r="G1240" t="s">
        <v>3366</v>
      </c>
      <c r="H1240" t="s">
        <v>80</v>
      </c>
      <c r="I1240" t="s">
        <v>26</v>
      </c>
      <c r="J1240">
        <v>1</v>
      </c>
      <c r="K1240">
        <v>365</v>
      </c>
      <c r="L1240">
        <v>365</v>
      </c>
      <c r="M1240">
        <v>4.0999999999999996</v>
      </c>
      <c r="N1240">
        <v>67</v>
      </c>
      <c r="O1240">
        <v>999</v>
      </c>
      <c r="P1240">
        <v>0</v>
      </c>
      <c r="Q1240" t="s">
        <v>49</v>
      </c>
      <c r="R1240">
        <v>46</v>
      </c>
      <c r="S1240" t="s">
        <v>28</v>
      </c>
    </row>
    <row r="1241" spans="1:19" x14ac:dyDescent="0.3">
      <c r="A1241" t="s">
        <v>3367</v>
      </c>
      <c r="B1241" s="2">
        <v>45481</v>
      </c>
      <c r="C1241" t="s">
        <v>59</v>
      </c>
      <c r="D1241" t="s">
        <v>44</v>
      </c>
      <c r="E1241" t="s">
        <v>3368</v>
      </c>
      <c r="F1241" t="s">
        <v>62</v>
      </c>
      <c r="G1241" t="s">
        <v>1907</v>
      </c>
      <c r="H1241" t="s">
        <v>80</v>
      </c>
      <c r="I1241" t="s">
        <v>26</v>
      </c>
      <c r="J1241">
        <v>1</v>
      </c>
      <c r="K1241">
        <v>268</v>
      </c>
      <c r="L1241">
        <v>268</v>
      </c>
      <c r="M1241">
        <v>4.4000000000000004</v>
      </c>
      <c r="N1241">
        <v>46</v>
      </c>
      <c r="O1241">
        <v>999</v>
      </c>
      <c r="P1241">
        <v>0</v>
      </c>
      <c r="Q1241" t="s">
        <v>49</v>
      </c>
      <c r="R1241">
        <v>39</v>
      </c>
      <c r="S1241" t="s">
        <v>28</v>
      </c>
    </row>
    <row r="1242" spans="1:19" x14ac:dyDescent="0.3">
      <c r="A1242" t="s">
        <v>3369</v>
      </c>
      <c r="B1242" s="2">
        <v>45353</v>
      </c>
      <c r="C1242" t="s">
        <v>55</v>
      </c>
      <c r="D1242" t="s">
        <v>100</v>
      </c>
      <c r="E1242" t="s">
        <v>3370</v>
      </c>
      <c r="F1242" t="s">
        <v>956</v>
      </c>
      <c r="G1242" t="s">
        <v>154</v>
      </c>
      <c r="H1242" t="s">
        <v>80</v>
      </c>
      <c r="I1242" t="s">
        <v>26</v>
      </c>
      <c r="J1242">
        <v>2</v>
      </c>
      <c r="K1242">
        <v>365</v>
      </c>
      <c r="L1242">
        <v>730</v>
      </c>
      <c r="M1242">
        <v>2.4</v>
      </c>
      <c r="N1242">
        <v>53</v>
      </c>
      <c r="P1242">
        <v>0</v>
      </c>
      <c r="Q1242" t="s">
        <v>27</v>
      </c>
      <c r="R1242">
        <v>39</v>
      </c>
      <c r="S1242" t="s">
        <v>41</v>
      </c>
    </row>
    <row r="1243" spans="1:19" x14ac:dyDescent="0.3">
      <c r="A1243" t="s">
        <v>3371</v>
      </c>
      <c r="B1243" s="2">
        <v>45385</v>
      </c>
      <c r="C1243" t="s">
        <v>20</v>
      </c>
      <c r="D1243" t="s">
        <v>72</v>
      </c>
      <c r="E1243" t="s">
        <v>3372</v>
      </c>
      <c r="F1243" t="s">
        <v>956</v>
      </c>
      <c r="G1243" t="s">
        <v>3373</v>
      </c>
      <c r="H1243" t="s">
        <v>80</v>
      </c>
      <c r="I1243" t="s">
        <v>26</v>
      </c>
      <c r="J1243">
        <v>4</v>
      </c>
      <c r="K1243">
        <v>514</v>
      </c>
      <c r="L1243">
        <v>2056</v>
      </c>
      <c r="M1243">
        <v>4.7</v>
      </c>
      <c r="N1243">
        <v>60</v>
      </c>
      <c r="P1243">
        <v>0</v>
      </c>
      <c r="Q1243" t="s">
        <v>49</v>
      </c>
      <c r="R1243">
        <v>42</v>
      </c>
      <c r="S1243" t="s">
        <v>28</v>
      </c>
    </row>
    <row r="1244" spans="1:19" x14ac:dyDescent="0.3">
      <c r="A1244" t="s">
        <v>3374</v>
      </c>
      <c r="B1244" s="2">
        <v>45386</v>
      </c>
      <c r="C1244" t="s">
        <v>20</v>
      </c>
      <c r="D1244" t="s">
        <v>92</v>
      </c>
      <c r="E1244" t="s">
        <v>3375</v>
      </c>
      <c r="F1244" t="s">
        <v>115</v>
      </c>
      <c r="G1244" t="s">
        <v>3376</v>
      </c>
      <c r="H1244" t="s">
        <v>48</v>
      </c>
      <c r="I1244" t="s">
        <v>33</v>
      </c>
      <c r="J1244">
        <v>4</v>
      </c>
      <c r="K1244">
        <v>595</v>
      </c>
      <c r="L1244">
        <v>2380</v>
      </c>
      <c r="M1244">
        <v>4</v>
      </c>
      <c r="N1244">
        <v>62</v>
      </c>
      <c r="O1244">
        <v>499</v>
      </c>
      <c r="P1244">
        <v>0</v>
      </c>
      <c r="Q1244" t="s">
        <v>27</v>
      </c>
      <c r="R1244">
        <v>37</v>
      </c>
      <c r="S1244" t="s">
        <v>41</v>
      </c>
    </row>
    <row r="1245" spans="1:19" x14ac:dyDescent="0.3">
      <c r="A1245" t="s">
        <v>3377</v>
      </c>
      <c r="B1245" s="2">
        <v>45443</v>
      </c>
      <c r="C1245" t="s">
        <v>71</v>
      </c>
      <c r="D1245" t="s">
        <v>21</v>
      </c>
      <c r="E1245" t="s">
        <v>3378</v>
      </c>
      <c r="F1245" t="s">
        <v>78</v>
      </c>
      <c r="G1245" t="s">
        <v>344</v>
      </c>
      <c r="H1245" t="s">
        <v>40</v>
      </c>
      <c r="I1245" t="s">
        <v>26</v>
      </c>
      <c r="J1245">
        <v>4</v>
      </c>
      <c r="K1245">
        <v>124</v>
      </c>
      <c r="L1245">
        <v>496</v>
      </c>
      <c r="M1245">
        <v>4.3</v>
      </c>
      <c r="N1245">
        <v>52</v>
      </c>
      <c r="P1245">
        <v>0</v>
      </c>
      <c r="Q1245" t="s">
        <v>34</v>
      </c>
      <c r="R1245">
        <v>39</v>
      </c>
      <c r="S1245" t="s">
        <v>41</v>
      </c>
    </row>
    <row r="1246" spans="1:19" x14ac:dyDescent="0.3">
      <c r="A1246" t="s">
        <v>3379</v>
      </c>
      <c r="B1246" s="2">
        <v>45346</v>
      </c>
      <c r="C1246" t="s">
        <v>113</v>
      </c>
      <c r="D1246" t="s">
        <v>100</v>
      </c>
      <c r="E1246" t="s">
        <v>3380</v>
      </c>
      <c r="F1246" t="s">
        <v>87</v>
      </c>
      <c r="G1246" t="s">
        <v>3381</v>
      </c>
      <c r="H1246" t="s">
        <v>53</v>
      </c>
      <c r="I1246" t="s">
        <v>26</v>
      </c>
      <c r="J1246">
        <v>1</v>
      </c>
      <c r="K1246">
        <v>584</v>
      </c>
      <c r="L1246">
        <v>584</v>
      </c>
      <c r="M1246">
        <v>3.5</v>
      </c>
      <c r="N1246">
        <v>46</v>
      </c>
      <c r="O1246">
        <v>600</v>
      </c>
      <c r="P1246">
        <v>25</v>
      </c>
      <c r="Q1246" t="s">
        <v>34</v>
      </c>
      <c r="R1246">
        <v>21</v>
      </c>
      <c r="S1246" t="s">
        <v>28</v>
      </c>
    </row>
    <row r="1247" spans="1:19" x14ac:dyDescent="0.3">
      <c r="A1247" t="s">
        <v>3382</v>
      </c>
      <c r="B1247" s="2">
        <v>45428</v>
      </c>
      <c r="C1247" t="s">
        <v>71</v>
      </c>
      <c r="D1247" t="s">
        <v>92</v>
      </c>
      <c r="E1247" t="s">
        <v>3383</v>
      </c>
      <c r="F1247" t="s">
        <v>102</v>
      </c>
      <c r="G1247" t="s">
        <v>227</v>
      </c>
      <c r="H1247" t="s">
        <v>80</v>
      </c>
      <c r="I1247" t="s">
        <v>26</v>
      </c>
      <c r="J1247">
        <v>2</v>
      </c>
      <c r="K1247">
        <v>303</v>
      </c>
      <c r="L1247">
        <v>606</v>
      </c>
      <c r="M1247">
        <v>3.8</v>
      </c>
      <c r="N1247">
        <v>51</v>
      </c>
      <c r="O1247">
        <v>999</v>
      </c>
      <c r="P1247">
        <v>0</v>
      </c>
      <c r="Q1247" t="s">
        <v>27</v>
      </c>
      <c r="R1247">
        <v>28</v>
      </c>
      <c r="S1247" t="s">
        <v>41</v>
      </c>
    </row>
    <row r="1248" spans="1:19" x14ac:dyDescent="0.3">
      <c r="A1248" t="s">
        <v>3384</v>
      </c>
      <c r="B1248" s="2">
        <v>45422</v>
      </c>
      <c r="C1248" t="s">
        <v>71</v>
      </c>
      <c r="D1248" t="s">
        <v>21</v>
      </c>
      <c r="E1248" t="s">
        <v>3385</v>
      </c>
      <c r="F1248" t="s">
        <v>192</v>
      </c>
      <c r="G1248" t="s">
        <v>941</v>
      </c>
      <c r="H1248" t="s">
        <v>25</v>
      </c>
      <c r="I1248" t="s">
        <v>26</v>
      </c>
      <c r="J1248">
        <v>3</v>
      </c>
      <c r="K1248">
        <v>139</v>
      </c>
      <c r="L1248">
        <v>417</v>
      </c>
      <c r="M1248">
        <v>4</v>
      </c>
      <c r="N1248">
        <v>46</v>
      </c>
      <c r="O1248">
        <v>449</v>
      </c>
      <c r="P1248">
        <v>0</v>
      </c>
      <c r="Q1248" t="s">
        <v>34</v>
      </c>
      <c r="R1248">
        <v>49</v>
      </c>
      <c r="S1248" t="s">
        <v>28</v>
      </c>
    </row>
    <row r="1249" spans="1:19" x14ac:dyDescent="0.3">
      <c r="A1249" t="s">
        <v>3386</v>
      </c>
      <c r="B1249" s="2">
        <v>45322</v>
      </c>
      <c r="C1249" t="s">
        <v>43</v>
      </c>
      <c r="D1249" t="s">
        <v>72</v>
      </c>
      <c r="E1249" t="s">
        <v>3387</v>
      </c>
      <c r="F1249" t="s">
        <v>450</v>
      </c>
      <c r="G1249" t="s">
        <v>3388</v>
      </c>
      <c r="H1249" t="s">
        <v>80</v>
      </c>
      <c r="I1249" t="s">
        <v>26</v>
      </c>
      <c r="J1249">
        <v>1</v>
      </c>
      <c r="K1249">
        <v>544</v>
      </c>
      <c r="L1249">
        <v>544</v>
      </c>
      <c r="M1249">
        <v>3.9</v>
      </c>
      <c r="N1249">
        <v>52</v>
      </c>
      <c r="O1249">
        <v>1000</v>
      </c>
      <c r="P1249">
        <v>20</v>
      </c>
      <c r="Q1249" t="s">
        <v>75</v>
      </c>
      <c r="R1249">
        <v>34</v>
      </c>
      <c r="S1249" t="s">
        <v>41</v>
      </c>
    </row>
    <row r="1250" spans="1:19" x14ac:dyDescent="0.3">
      <c r="A1250" t="s">
        <v>3389</v>
      </c>
      <c r="B1250" s="2">
        <v>45331</v>
      </c>
      <c r="C1250" t="s">
        <v>113</v>
      </c>
      <c r="D1250" t="s">
        <v>21</v>
      </c>
      <c r="E1250" t="s">
        <v>3390</v>
      </c>
      <c r="F1250" t="s">
        <v>746</v>
      </c>
      <c r="G1250" t="s">
        <v>3391</v>
      </c>
      <c r="H1250" t="s">
        <v>64</v>
      </c>
      <c r="I1250" t="s">
        <v>33</v>
      </c>
      <c r="J1250">
        <v>4</v>
      </c>
      <c r="K1250">
        <v>165</v>
      </c>
      <c r="L1250">
        <v>660</v>
      </c>
      <c r="M1250">
        <v>3.4</v>
      </c>
      <c r="N1250">
        <v>47</v>
      </c>
      <c r="P1250">
        <v>0</v>
      </c>
      <c r="Q1250" t="s">
        <v>75</v>
      </c>
      <c r="R1250">
        <v>24</v>
      </c>
      <c r="S1250" t="s">
        <v>28</v>
      </c>
    </row>
    <row r="1251" spans="1:19" x14ac:dyDescent="0.3">
      <c r="A1251" t="s">
        <v>3392</v>
      </c>
      <c r="B1251" s="2">
        <v>45520</v>
      </c>
      <c r="C1251" t="s">
        <v>82</v>
      </c>
      <c r="D1251" t="s">
        <v>21</v>
      </c>
      <c r="E1251" t="s">
        <v>3393</v>
      </c>
      <c r="F1251" t="s">
        <v>115</v>
      </c>
      <c r="G1251" t="s">
        <v>3394</v>
      </c>
      <c r="H1251" t="s">
        <v>80</v>
      </c>
      <c r="I1251" t="s">
        <v>26</v>
      </c>
      <c r="J1251">
        <v>2</v>
      </c>
      <c r="K1251">
        <v>131</v>
      </c>
      <c r="L1251">
        <v>262</v>
      </c>
      <c r="M1251">
        <v>4.2</v>
      </c>
      <c r="N1251">
        <v>50</v>
      </c>
      <c r="P1251">
        <v>0</v>
      </c>
      <c r="Q1251" t="s">
        <v>34</v>
      </c>
      <c r="R1251">
        <v>31</v>
      </c>
      <c r="S1251" t="s">
        <v>41</v>
      </c>
    </row>
    <row r="1252" spans="1:19" x14ac:dyDescent="0.3">
      <c r="A1252" t="s">
        <v>3395</v>
      </c>
      <c r="B1252" s="2">
        <v>45327</v>
      </c>
      <c r="C1252" t="s">
        <v>113</v>
      </c>
      <c r="D1252" t="s">
        <v>44</v>
      </c>
      <c r="E1252" t="s">
        <v>3396</v>
      </c>
      <c r="F1252" t="s">
        <v>46</v>
      </c>
      <c r="G1252" t="s">
        <v>53</v>
      </c>
      <c r="H1252" t="s">
        <v>53</v>
      </c>
      <c r="I1252" t="s">
        <v>26</v>
      </c>
      <c r="J1252">
        <v>4</v>
      </c>
      <c r="K1252">
        <v>189</v>
      </c>
      <c r="L1252">
        <v>756</v>
      </c>
      <c r="P1252">
        <v>0</v>
      </c>
      <c r="Q1252" t="s">
        <v>27</v>
      </c>
      <c r="R1252">
        <v>43</v>
      </c>
      <c r="S1252" t="s">
        <v>28</v>
      </c>
    </row>
    <row r="1253" spans="1:19" x14ac:dyDescent="0.3">
      <c r="A1253" t="s">
        <v>3397</v>
      </c>
      <c r="B1253" s="2">
        <v>45443</v>
      </c>
      <c r="C1253" t="s">
        <v>71</v>
      </c>
      <c r="D1253" t="s">
        <v>21</v>
      </c>
      <c r="E1253" t="s">
        <v>3398</v>
      </c>
      <c r="F1253" t="s">
        <v>115</v>
      </c>
      <c r="G1253" t="s">
        <v>186</v>
      </c>
      <c r="H1253" t="s">
        <v>80</v>
      </c>
      <c r="I1253" t="s">
        <v>26</v>
      </c>
      <c r="J1253">
        <v>3</v>
      </c>
      <c r="K1253">
        <v>136</v>
      </c>
      <c r="L1253">
        <v>408</v>
      </c>
      <c r="P1253">
        <v>0</v>
      </c>
      <c r="Q1253" t="s">
        <v>27</v>
      </c>
      <c r="R1253">
        <v>28</v>
      </c>
      <c r="S1253" t="s">
        <v>28</v>
      </c>
    </row>
    <row r="1254" spans="1:19" x14ac:dyDescent="0.3">
      <c r="A1254" t="s">
        <v>3399</v>
      </c>
      <c r="B1254" s="2">
        <v>45514</v>
      </c>
      <c r="C1254" t="s">
        <v>82</v>
      </c>
      <c r="D1254" t="s">
        <v>100</v>
      </c>
      <c r="E1254" t="s">
        <v>3400</v>
      </c>
      <c r="F1254" t="s">
        <v>115</v>
      </c>
      <c r="G1254" t="s">
        <v>109</v>
      </c>
      <c r="H1254" t="s">
        <v>64</v>
      </c>
      <c r="I1254" t="s">
        <v>26</v>
      </c>
      <c r="J1254">
        <v>4</v>
      </c>
      <c r="K1254">
        <v>490</v>
      </c>
      <c r="L1254">
        <v>1960</v>
      </c>
      <c r="M1254">
        <v>4.0999999999999996</v>
      </c>
      <c r="N1254">
        <v>32</v>
      </c>
      <c r="P1254">
        <v>0</v>
      </c>
      <c r="Q1254" t="s">
        <v>34</v>
      </c>
      <c r="R1254">
        <v>45</v>
      </c>
      <c r="S1254" t="s">
        <v>41</v>
      </c>
    </row>
    <row r="1255" spans="1:19" x14ac:dyDescent="0.3">
      <c r="A1255" t="s">
        <v>3401</v>
      </c>
      <c r="B1255" s="2">
        <v>45297</v>
      </c>
      <c r="C1255" t="s">
        <v>43</v>
      </c>
      <c r="D1255" t="s">
        <v>100</v>
      </c>
      <c r="E1255" t="s">
        <v>3402</v>
      </c>
      <c r="F1255" t="s">
        <v>115</v>
      </c>
      <c r="G1255" t="s">
        <v>1058</v>
      </c>
      <c r="H1255" t="s">
        <v>80</v>
      </c>
      <c r="I1255" t="s">
        <v>26</v>
      </c>
      <c r="J1255">
        <v>4</v>
      </c>
      <c r="K1255">
        <v>266</v>
      </c>
      <c r="L1255">
        <v>1064</v>
      </c>
      <c r="P1255">
        <v>0</v>
      </c>
      <c r="Q1255" t="s">
        <v>49</v>
      </c>
      <c r="R1255">
        <v>39</v>
      </c>
      <c r="S1255" t="s">
        <v>41</v>
      </c>
    </row>
    <row r="1256" spans="1:19" x14ac:dyDescent="0.3">
      <c r="A1256" t="s">
        <v>3403</v>
      </c>
      <c r="B1256" s="2">
        <v>45357</v>
      </c>
      <c r="C1256" t="s">
        <v>55</v>
      </c>
      <c r="D1256" t="s">
        <v>72</v>
      </c>
      <c r="E1256" t="s">
        <v>3404</v>
      </c>
      <c r="F1256" t="s">
        <v>115</v>
      </c>
      <c r="G1256" t="s">
        <v>356</v>
      </c>
      <c r="H1256" t="s">
        <v>64</v>
      </c>
      <c r="I1256" t="s">
        <v>26</v>
      </c>
      <c r="J1256">
        <v>3</v>
      </c>
      <c r="K1256">
        <v>273</v>
      </c>
      <c r="L1256">
        <v>819</v>
      </c>
      <c r="P1256">
        <v>0</v>
      </c>
      <c r="Q1256" t="s">
        <v>75</v>
      </c>
      <c r="R1256">
        <v>26</v>
      </c>
      <c r="S1256" t="s">
        <v>28</v>
      </c>
    </row>
    <row r="1257" spans="1:19" x14ac:dyDescent="0.3">
      <c r="A1257" t="s">
        <v>3405</v>
      </c>
      <c r="B1257" s="2">
        <v>45503</v>
      </c>
      <c r="C1257" t="s">
        <v>59</v>
      </c>
      <c r="D1257" t="s">
        <v>36</v>
      </c>
      <c r="E1257" t="s">
        <v>3406</v>
      </c>
      <c r="F1257" t="s">
        <v>115</v>
      </c>
      <c r="G1257" t="s">
        <v>3407</v>
      </c>
      <c r="H1257" t="s">
        <v>53</v>
      </c>
      <c r="I1257" t="s">
        <v>26</v>
      </c>
      <c r="J1257">
        <v>2</v>
      </c>
      <c r="K1257">
        <v>423</v>
      </c>
      <c r="L1257">
        <v>846</v>
      </c>
      <c r="P1257">
        <v>0</v>
      </c>
      <c r="Q1257" t="s">
        <v>49</v>
      </c>
      <c r="R1257">
        <v>40</v>
      </c>
      <c r="S1257" t="s">
        <v>41</v>
      </c>
    </row>
    <row r="1258" spans="1:19" x14ac:dyDescent="0.3">
      <c r="A1258" t="s">
        <v>3408</v>
      </c>
      <c r="B1258" s="2">
        <v>45511</v>
      </c>
      <c r="C1258" t="s">
        <v>82</v>
      </c>
      <c r="D1258" t="s">
        <v>72</v>
      </c>
      <c r="E1258" t="s">
        <v>3409</v>
      </c>
      <c r="F1258" t="s">
        <v>115</v>
      </c>
      <c r="G1258" t="s">
        <v>3410</v>
      </c>
      <c r="H1258" t="s">
        <v>40</v>
      </c>
      <c r="I1258" t="s">
        <v>26</v>
      </c>
      <c r="J1258">
        <v>1</v>
      </c>
      <c r="K1258">
        <v>227</v>
      </c>
      <c r="L1258">
        <v>227</v>
      </c>
      <c r="O1258">
        <v>125</v>
      </c>
      <c r="P1258">
        <v>25</v>
      </c>
      <c r="Q1258" t="s">
        <v>27</v>
      </c>
      <c r="R1258">
        <v>30</v>
      </c>
      <c r="S1258" t="s">
        <v>41</v>
      </c>
    </row>
    <row r="1259" spans="1:19" x14ac:dyDescent="0.3">
      <c r="A1259" t="s">
        <v>3411</v>
      </c>
      <c r="B1259" s="2">
        <v>45366</v>
      </c>
      <c r="C1259" t="s">
        <v>55</v>
      </c>
      <c r="D1259" t="s">
        <v>21</v>
      </c>
      <c r="E1259" t="s">
        <v>3412</v>
      </c>
      <c r="F1259" t="s">
        <v>46</v>
      </c>
      <c r="G1259" t="s">
        <v>3413</v>
      </c>
      <c r="H1259" t="s">
        <v>53</v>
      </c>
      <c r="I1259" t="s">
        <v>26</v>
      </c>
      <c r="J1259">
        <v>2</v>
      </c>
      <c r="K1259">
        <v>355</v>
      </c>
      <c r="L1259">
        <v>710</v>
      </c>
      <c r="M1259">
        <v>3.7</v>
      </c>
      <c r="N1259">
        <v>33</v>
      </c>
      <c r="O1259">
        <v>150</v>
      </c>
      <c r="P1259">
        <v>30</v>
      </c>
      <c r="Q1259" t="s">
        <v>27</v>
      </c>
      <c r="R1259">
        <v>40</v>
      </c>
      <c r="S1259" t="s">
        <v>41</v>
      </c>
    </row>
    <row r="1260" spans="1:19" x14ac:dyDescent="0.3">
      <c r="A1260" t="s">
        <v>3414</v>
      </c>
      <c r="B1260" s="2">
        <v>45295</v>
      </c>
      <c r="C1260" t="s">
        <v>43</v>
      </c>
      <c r="D1260" t="s">
        <v>92</v>
      </c>
      <c r="E1260" t="s">
        <v>3415</v>
      </c>
      <c r="F1260" t="s">
        <v>46</v>
      </c>
      <c r="G1260" t="s">
        <v>308</v>
      </c>
      <c r="H1260" t="s">
        <v>64</v>
      </c>
      <c r="I1260" t="s">
        <v>26</v>
      </c>
      <c r="J1260">
        <v>3</v>
      </c>
      <c r="K1260">
        <v>427</v>
      </c>
      <c r="L1260">
        <v>1281</v>
      </c>
      <c r="P1260">
        <v>0</v>
      </c>
      <c r="Q1260" t="s">
        <v>49</v>
      </c>
      <c r="R1260">
        <v>35</v>
      </c>
      <c r="S1260" t="s">
        <v>28</v>
      </c>
    </row>
    <row r="1261" spans="1:19" x14ac:dyDescent="0.3">
      <c r="A1261" t="s">
        <v>3416</v>
      </c>
      <c r="B1261" s="2">
        <v>45370</v>
      </c>
      <c r="C1261" t="s">
        <v>55</v>
      </c>
      <c r="D1261" t="s">
        <v>36</v>
      </c>
      <c r="E1261" t="s">
        <v>3417</v>
      </c>
      <c r="F1261" t="s">
        <v>46</v>
      </c>
      <c r="G1261" t="s">
        <v>3418</v>
      </c>
      <c r="H1261" t="s">
        <v>53</v>
      </c>
      <c r="I1261" t="s">
        <v>26</v>
      </c>
      <c r="J1261">
        <v>4</v>
      </c>
      <c r="K1261">
        <v>471</v>
      </c>
      <c r="L1261">
        <v>1884</v>
      </c>
      <c r="O1261">
        <v>150</v>
      </c>
      <c r="P1261">
        <v>30</v>
      </c>
      <c r="Q1261" t="s">
        <v>34</v>
      </c>
      <c r="R1261">
        <v>45</v>
      </c>
      <c r="S1261" t="s">
        <v>28</v>
      </c>
    </row>
    <row r="1262" spans="1:19" x14ac:dyDescent="0.3">
      <c r="A1262" t="s">
        <v>3419</v>
      </c>
      <c r="B1262" s="2">
        <v>45425</v>
      </c>
      <c r="C1262" t="s">
        <v>71</v>
      </c>
      <c r="D1262" t="s">
        <v>44</v>
      </c>
      <c r="E1262" t="s">
        <v>3420</v>
      </c>
      <c r="F1262" t="s">
        <v>115</v>
      </c>
      <c r="G1262" t="s">
        <v>3421</v>
      </c>
      <c r="H1262" t="s">
        <v>64</v>
      </c>
      <c r="I1262" t="s">
        <v>26</v>
      </c>
      <c r="J1262">
        <v>2</v>
      </c>
      <c r="K1262">
        <v>189</v>
      </c>
      <c r="L1262">
        <v>378</v>
      </c>
      <c r="P1262">
        <v>0</v>
      </c>
      <c r="Q1262" t="s">
        <v>49</v>
      </c>
      <c r="R1262">
        <v>28</v>
      </c>
      <c r="S1262" t="s">
        <v>41</v>
      </c>
    </row>
    <row r="1263" spans="1:19" x14ac:dyDescent="0.3">
      <c r="A1263" t="s">
        <v>3422</v>
      </c>
      <c r="B1263" s="2">
        <v>45409</v>
      </c>
      <c r="C1263" t="s">
        <v>20</v>
      </c>
      <c r="D1263" t="s">
        <v>100</v>
      </c>
      <c r="E1263" t="s">
        <v>3423</v>
      </c>
      <c r="F1263" t="s">
        <v>46</v>
      </c>
      <c r="G1263" t="s">
        <v>3424</v>
      </c>
      <c r="H1263" t="s">
        <v>53</v>
      </c>
      <c r="I1263" t="s">
        <v>26</v>
      </c>
      <c r="J1263">
        <v>1</v>
      </c>
      <c r="K1263">
        <v>302</v>
      </c>
      <c r="L1263">
        <v>302</v>
      </c>
      <c r="M1263">
        <v>3.4</v>
      </c>
      <c r="N1263">
        <v>33</v>
      </c>
      <c r="O1263">
        <v>150</v>
      </c>
      <c r="P1263">
        <v>30</v>
      </c>
      <c r="Q1263" t="s">
        <v>49</v>
      </c>
      <c r="R1263">
        <v>32</v>
      </c>
      <c r="S1263" t="s">
        <v>41</v>
      </c>
    </row>
    <row r="1264" spans="1:19" x14ac:dyDescent="0.3">
      <c r="A1264" t="s">
        <v>3425</v>
      </c>
      <c r="B1264" s="2">
        <v>45404</v>
      </c>
      <c r="C1264" t="s">
        <v>20</v>
      </c>
      <c r="D1264" t="s">
        <v>44</v>
      </c>
      <c r="E1264" t="s">
        <v>3426</v>
      </c>
      <c r="F1264" t="s">
        <v>46</v>
      </c>
      <c r="G1264" t="s">
        <v>2822</v>
      </c>
      <c r="H1264" t="s">
        <v>80</v>
      </c>
      <c r="I1264" t="s">
        <v>26</v>
      </c>
      <c r="J1264">
        <v>3</v>
      </c>
      <c r="K1264">
        <v>369</v>
      </c>
      <c r="L1264">
        <v>1107</v>
      </c>
      <c r="M1264">
        <v>3.7</v>
      </c>
      <c r="N1264">
        <v>33</v>
      </c>
      <c r="O1264">
        <v>150</v>
      </c>
      <c r="P1264">
        <v>30</v>
      </c>
      <c r="Q1264" t="s">
        <v>75</v>
      </c>
      <c r="R1264">
        <v>42</v>
      </c>
      <c r="S1264" t="s">
        <v>28</v>
      </c>
    </row>
    <row r="1265" spans="1:19" x14ac:dyDescent="0.3">
      <c r="A1265" t="s">
        <v>3427</v>
      </c>
      <c r="B1265" s="2">
        <v>45385</v>
      </c>
      <c r="C1265" t="s">
        <v>20</v>
      </c>
      <c r="D1265" t="s">
        <v>72</v>
      </c>
      <c r="E1265" t="s">
        <v>3428</v>
      </c>
      <c r="F1265" t="s">
        <v>115</v>
      </c>
      <c r="G1265" t="s">
        <v>3429</v>
      </c>
      <c r="H1265" t="s">
        <v>64</v>
      </c>
      <c r="I1265" t="s">
        <v>26</v>
      </c>
      <c r="J1265">
        <v>2</v>
      </c>
      <c r="K1265">
        <v>347</v>
      </c>
      <c r="L1265">
        <v>694</v>
      </c>
      <c r="O1265">
        <v>65</v>
      </c>
      <c r="P1265">
        <v>25</v>
      </c>
      <c r="Q1265" t="s">
        <v>75</v>
      </c>
      <c r="R1265">
        <v>43</v>
      </c>
      <c r="S1265" t="s">
        <v>41</v>
      </c>
    </row>
    <row r="1266" spans="1:19" x14ac:dyDescent="0.3">
      <c r="A1266" t="s">
        <v>3430</v>
      </c>
      <c r="B1266" s="2">
        <v>45521</v>
      </c>
      <c r="C1266" t="s">
        <v>82</v>
      </c>
      <c r="D1266" t="s">
        <v>100</v>
      </c>
      <c r="E1266" t="s">
        <v>3431</v>
      </c>
      <c r="F1266" t="s">
        <v>115</v>
      </c>
      <c r="G1266" t="s">
        <v>3075</v>
      </c>
      <c r="H1266" t="s">
        <v>80</v>
      </c>
      <c r="I1266" t="s">
        <v>26</v>
      </c>
      <c r="J1266">
        <v>1</v>
      </c>
      <c r="K1266">
        <v>221</v>
      </c>
      <c r="L1266">
        <v>221</v>
      </c>
      <c r="O1266">
        <v>499</v>
      </c>
      <c r="P1266">
        <v>0</v>
      </c>
      <c r="Q1266" t="s">
        <v>49</v>
      </c>
      <c r="R1266">
        <v>42</v>
      </c>
      <c r="S1266" t="s">
        <v>28</v>
      </c>
    </row>
    <row r="1267" spans="1:19" x14ac:dyDescent="0.3">
      <c r="A1267" t="s">
        <v>3432</v>
      </c>
      <c r="B1267" s="2">
        <v>45470</v>
      </c>
      <c r="C1267" t="s">
        <v>30</v>
      </c>
      <c r="D1267" t="s">
        <v>92</v>
      </c>
      <c r="E1267" t="s">
        <v>3433</v>
      </c>
      <c r="F1267" t="s">
        <v>115</v>
      </c>
      <c r="G1267" t="s">
        <v>3434</v>
      </c>
      <c r="H1267" t="s">
        <v>80</v>
      </c>
      <c r="I1267" t="s">
        <v>26</v>
      </c>
      <c r="J1267">
        <v>3</v>
      </c>
      <c r="K1267">
        <v>194</v>
      </c>
      <c r="L1267">
        <v>582</v>
      </c>
      <c r="M1267">
        <v>3.4</v>
      </c>
      <c r="N1267">
        <v>33</v>
      </c>
      <c r="P1267">
        <v>0</v>
      </c>
      <c r="Q1267" t="s">
        <v>49</v>
      </c>
      <c r="R1267">
        <v>39</v>
      </c>
      <c r="S1267" t="s">
        <v>41</v>
      </c>
    </row>
    <row r="1268" spans="1:19" x14ac:dyDescent="0.3">
      <c r="A1268" t="s">
        <v>3435</v>
      </c>
      <c r="B1268" s="2">
        <v>45353</v>
      </c>
      <c r="C1268" t="s">
        <v>55</v>
      </c>
      <c r="D1268" t="s">
        <v>100</v>
      </c>
      <c r="E1268" t="s">
        <v>3436</v>
      </c>
      <c r="F1268" t="s">
        <v>1372</v>
      </c>
      <c r="G1268" t="s">
        <v>3437</v>
      </c>
      <c r="H1268" t="s">
        <v>80</v>
      </c>
      <c r="I1268" t="s">
        <v>26</v>
      </c>
      <c r="J1268">
        <v>1</v>
      </c>
      <c r="K1268">
        <v>536</v>
      </c>
      <c r="L1268">
        <v>536</v>
      </c>
      <c r="P1268">
        <v>0</v>
      </c>
      <c r="Q1268" t="s">
        <v>27</v>
      </c>
      <c r="R1268">
        <v>46</v>
      </c>
      <c r="S1268" t="s">
        <v>41</v>
      </c>
    </row>
    <row r="1269" spans="1:19" x14ac:dyDescent="0.3">
      <c r="A1269" t="s">
        <v>3438</v>
      </c>
      <c r="B1269" s="2">
        <v>45476</v>
      </c>
      <c r="C1269" t="s">
        <v>59</v>
      </c>
      <c r="D1269" t="s">
        <v>72</v>
      </c>
      <c r="E1269" t="s">
        <v>3439</v>
      </c>
      <c r="F1269" t="s">
        <v>46</v>
      </c>
      <c r="G1269" t="s">
        <v>2987</v>
      </c>
      <c r="H1269" t="s">
        <v>80</v>
      </c>
      <c r="I1269" t="s">
        <v>26</v>
      </c>
      <c r="J1269">
        <v>3</v>
      </c>
      <c r="K1269">
        <v>565</v>
      </c>
      <c r="L1269">
        <v>1695</v>
      </c>
      <c r="M1269">
        <v>4.4000000000000004</v>
      </c>
      <c r="N1269">
        <v>27</v>
      </c>
      <c r="O1269">
        <v>120</v>
      </c>
      <c r="P1269">
        <v>60</v>
      </c>
      <c r="Q1269" t="s">
        <v>75</v>
      </c>
      <c r="R1269">
        <v>36</v>
      </c>
      <c r="S1269" t="s">
        <v>41</v>
      </c>
    </row>
    <row r="1270" spans="1:19" x14ac:dyDescent="0.3">
      <c r="A1270" t="s">
        <v>3440</v>
      </c>
      <c r="B1270" s="2">
        <v>45485</v>
      </c>
      <c r="C1270" t="s">
        <v>59</v>
      </c>
      <c r="D1270" t="s">
        <v>21</v>
      </c>
      <c r="E1270" t="s">
        <v>3441</v>
      </c>
      <c r="F1270" t="s">
        <v>46</v>
      </c>
      <c r="G1270" t="s">
        <v>48</v>
      </c>
      <c r="H1270" t="s">
        <v>48</v>
      </c>
      <c r="I1270" t="s">
        <v>33</v>
      </c>
      <c r="J1270">
        <v>4</v>
      </c>
      <c r="K1270">
        <v>335</v>
      </c>
      <c r="L1270">
        <v>1340</v>
      </c>
      <c r="M1270">
        <v>2.4</v>
      </c>
      <c r="N1270">
        <v>28</v>
      </c>
      <c r="O1270">
        <v>120</v>
      </c>
      <c r="P1270">
        <v>60</v>
      </c>
      <c r="Q1270" t="s">
        <v>75</v>
      </c>
      <c r="R1270">
        <v>18</v>
      </c>
      <c r="S1270" t="s">
        <v>28</v>
      </c>
    </row>
    <row r="1271" spans="1:19" x14ac:dyDescent="0.3">
      <c r="A1271" t="s">
        <v>3442</v>
      </c>
      <c r="B1271" s="2">
        <v>45370</v>
      </c>
      <c r="C1271" t="s">
        <v>55</v>
      </c>
      <c r="D1271" t="s">
        <v>36</v>
      </c>
      <c r="E1271" t="s">
        <v>3443</v>
      </c>
      <c r="F1271" t="s">
        <v>46</v>
      </c>
      <c r="G1271" t="s">
        <v>418</v>
      </c>
      <c r="H1271" t="s">
        <v>80</v>
      </c>
      <c r="I1271" t="s">
        <v>26</v>
      </c>
      <c r="J1271">
        <v>2</v>
      </c>
      <c r="K1271">
        <v>526</v>
      </c>
      <c r="L1271">
        <v>1052</v>
      </c>
      <c r="O1271">
        <v>75</v>
      </c>
      <c r="P1271">
        <v>30</v>
      </c>
      <c r="Q1271" t="s">
        <v>27</v>
      </c>
      <c r="R1271">
        <v>21</v>
      </c>
      <c r="S1271" t="s">
        <v>28</v>
      </c>
    </row>
    <row r="1272" spans="1:19" x14ac:dyDescent="0.3">
      <c r="A1272" t="s">
        <v>3444</v>
      </c>
      <c r="B1272" s="2">
        <v>45494</v>
      </c>
      <c r="C1272" t="s">
        <v>59</v>
      </c>
      <c r="D1272" t="s">
        <v>60</v>
      </c>
      <c r="E1272" t="s">
        <v>3445</v>
      </c>
      <c r="F1272" t="s">
        <v>46</v>
      </c>
      <c r="G1272" t="s">
        <v>441</v>
      </c>
      <c r="H1272" t="s">
        <v>53</v>
      </c>
      <c r="I1272" t="s">
        <v>26</v>
      </c>
      <c r="J1272">
        <v>1</v>
      </c>
      <c r="K1272">
        <v>518</v>
      </c>
      <c r="L1272">
        <v>518</v>
      </c>
      <c r="P1272">
        <v>0</v>
      </c>
      <c r="Q1272" t="s">
        <v>34</v>
      </c>
      <c r="R1272">
        <v>31</v>
      </c>
      <c r="S1272" t="s">
        <v>28</v>
      </c>
    </row>
    <row r="1273" spans="1:19" x14ac:dyDescent="0.3">
      <c r="A1273" t="s">
        <v>3446</v>
      </c>
      <c r="B1273" s="2">
        <v>45427</v>
      </c>
      <c r="C1273" t="s">
        <v>71</v>
      </c>
      <c r="D1273" t="s">
        <v>72</v>
      </c>
      <c r="E1273" t="s">
        <v>3447</v>
      </c>
      <c r="F1273" t="s">
        <v>713</v>
      </c>
      <c r="G1273" t="s">
        <v>186</v>
      </c>
      <c r="H1273" t="s">
        <v>80</v>
      </c>
      <c r="I1273" t="s">
        <v>26</v>
      </c>
      <c r="J1273">
        <v>3</v>
      </c>
      <c r="K1273">
        <v>530</v>
      </c>
      <c r="L1273">
        <v>1590</v>
      </c>
      <c r="P1273">
        <v>0</v>
      </c>
      <c r="Q1273" t="s">
        <v>75</v>
      </c>
      <c r="R1273">
        <v>31</v>
      </c>
      <c r="S1273" t="s">
        <v>28</v>
      </c>
    </row>
    <row r="1274" spans="1:19" x14ac:dyDescent="0.3">
      <c r="A1274" t="s">
        <v>3448</v>
      </c>
      <c r="B1274" s="2">
        <v>45317</v>
      </c>
      <c r="C1274" t="s">
        <v>43</v>
      </c>
      <c r="D1274" t="s">
        <v>21</v>
      </c>
      <c r="E1274" t="s">
        <v>3449</v>
      </c>
      <c r="F1274" t="s">
        <v>62</v>
      </c>
      <c r="G1274" t="s">
        <v>63</v>
      </c>
      <c r="H1274" t="s">
        <v>64</v>
      </c>
      <c r="I1274" t="s">
        <v>26</v>
      </c>
      <c r="J1274">
        <v>1</v>
      </c>
      <c r="K1274">
        <v>322</v>
      </c>
      <c r="L1274">
        <v>322</v>
      </c>
      <c r="M1274">
        <v>4.4000000000000004</v>
      </c>
      <c r="N1274">
        <v>46</v>
      </c>
      <c r="P1274">
        <v>0</v>
      </c>
      <c r="Q1274" t="s">
        <v>75</v>
      </c>
      <c r="R1274">
        <v>20</v>
      </c>
      <c r="S1274" t="s">
        <v>41</v>
      </c>
    </row>
    <row r="1275" spans="1:19" x14ac:dyDescent="0.3">
      <c r="A1275" t="s">
        <v>3450</v>
      </c>
      <c r="B1275" s="2">
        <v>45470</v>
      </c>
      <c r="C1275" t="s">
        <v>30</v>
      </c>
      <c r="D1275" t="s">
        <v>92</v>
      </c>
      <c r="E1275" t="s">
        <v>3451</v>
      </c>
      <c r="F1275" t="s">
        <v>115</v>
      </c>
      <c r="G1275" t="s">
        <v>2198</v>
      </c>
      <c r="H1275" t="s">
        <v>80</v>
      </c>
      <c r="I1275" t="s">
        <v>26</v>
      </c>
      <c r="J1275">
        <v>1</v>
      </c>
      <c r="K1275">
        <v>311</v>
      </c>
      <c r="L1275">
        <v>311</v>
      </c>
      <c r="M1275">
        <v>4.2</v>
      </c>
      <c r="N1275">
        <v>51</v>
      </c>
      <c r="P1275">
        <v>0</v>
      </c>
      <c r="Q1275" t="s">
        <v>34</v>
      </c>
      <c r="R1275">
        <v>47</v>
      </c>
      <c r="S1275" t="s">
        <v>41</v>
      </c>
    </row>
    <row r="1276" spans="1:19" x14ac:dyDescent="0.3">
      <c r="A1276" t="s">
        <v>3452</v>
      </c>
      <c r="B1276" s="2">
        <v>45464</v>
      </c>
      <c r="C1276" t="s">
        <v>30</v>
      </c>
      <c r="D1276" t="s">
        <v>21</v>
      </c>
      <c r="E1276" t="s">
        <v>3453</v>
      </c>
      <c r="F1276" t="s">
        <v>78</v>
      </c>
      <c r="G1276" t="s">
        <v>3454</v>
      </c>
      <c r="H1276" t="s">
        <v>64</v>
      </c>
      <c r="I1276" t="s">
        <v>26</v>
      </c>
      <c r="J1276">
        <v>2</v>
      </c>
      <c r="K1276">
        <v>368</v>
      </c>
      <c r="L1276">
        <v>736</v>
      </c>
      <c r="M1276">
        <v>4.7</v>
      </c>
      <c r="N1276">
        <v>57</v>
      </c>
      <c r="O1276">
        <v>600</v>
      </c>
      <c r="P1276">
        <v>10</v>
      </c>
      <c r="Q1276" t="s">
        <v>75</v>
      </c>
      <c r="R1276">
        <v>45</v>
      </c>
      <c r="S1276" t="s">
        <v>28</v>
      </c>
    </row>
    <row r="1277" spans="1:19" x14ac:dyDescent="0.3">
      <c r="A1277" t="s">
        <v>3455</v>
      </c>
      <c r="B1277" s="2">
        <v>45335</v>
      </c>
      <c r="C1277" t="s">
        <v>113</v>
      </c>
      <c r="D1277" t="s">
        <v>36</v>
      </c>
      <c r="E1277" t="s">
        <v>3456</v>
      </c>
      <c r="F1277" t="s">
        <v>3457</v>
      </c>
      <c r="G1277" t="s">
        <v>3458</v>
      </c>
      <c r="H1277" t="s">
        <v>48</v>
      </c>
      <c r="I1277" t="s">
        <v>33</v>
      </c>
      <c r="J1277">
        <v>4</v>
      </c>
      <c r="K1277">
        <v>361</v>
      </c>
      <c r="L1277">
        <v>1444</v>
      </c>
      <c r="M1277">
        <v>3.4</v>
      </c>
      <c r="N1277">
        <v>46</v>
      </c>
      <c r="O1277">
        <v>599</v>
      </c>
      <c r="P1277">
        <v>0</v>
      </c>
      <c r="Q1277" t="s">
        <v>75</v>
      </c>
      <c r="R1277">
        <v>34</v>
      </c>
      <c r="S1277" t="s">
        <v>41</v>
      </c>
    </row>
    <row r="1278" spans="1:19" x14ac:dyDescent="0.3">
      <c r="A1278" t="s">
        <v>3459</v>
      </c>
      <c r="B1278" s="2">
        <v>45424</v>
      </c>
      <c r="C1278" t="s">
        <v>71</v>
      </c>
      <c r="D1278" t="s">
        <v>60</v>
      </c>
      <c r="E1278" t="s">
        <v>3460</v>
      </c>
      <c r="F1278" t="s">
        <v>115</v>
      </c>
      <c r="G1278" t="s">
        <v>186</v>
      </c>
      <c r="H1278" t="s">
        <v>80</v>
      </c>
      <c r="I1278" t="s">
        <v>26</v>
      </c>
      <c r="J1278">
        <v>1</v>
      </c>
      <c r="K1278">
        <v>584</v>
      </c>
      <c r="L1278">
        <v>584</v>
      </c>
      <c r="P1278">
        <v>0</v>
      </c>
      <c r="Q1278" t="s">
        <v>34</v>
      </c>
      <c r="R1278">
        <v>20</v>
      </c>
      <c r="S1278" t="s">
        <v>41</v>
      </c>
    </row>
    <row r="1279" spans="1:19" x14ac:dyDescent="0.3">
      <c r="A1279" t="s">
        <v>3461</v>
      </c>
      <c r="B1279" s="2">
        <v>45361</v>
      </c>
      <c r="C1279" t="s">
        <v>55</v>
      </c>
      <c r="D1279" t="s">
        <v>60</v>
      </c>
      <c r="E1279" t="s">
        <v>3462</v>
      </c>
      <c r="F1279" t="s">
        <v>2197</v>
      </c>
      <c r="G1279" t="s">
        <v>3463</v>
      </c>
      <c r="H1279" t="s">
        <v>53</v>
      </c>
      <c r="I1279" t="s">
        <v>26</v>
      </c>
      <c r="J1279">
        <v>3</v>
      </c>
      <c r="K1279">
        <v>298</v>
      </c>
      <c r="L1279">
        <v>894</v>
      </c>
      <c r="M1279">
        <v>4.2</v>
      </c>
      <c r="N1279">
        <v>48</v>
      </c>
      <c r="P1279">
        <v>0</v>
      </c>
      <c r="Q1279" t="s">
        <v>34</v>
      </c>
      <c r="R1279">
        <v>33</v>
      </c>
      <c r="S1279" t="s">
        <v>28</v>
      </c>
    </row>
    <row r="1280" spans="1:19" x14ac:dyDescent="0.3">
      <c r="A1280" t="s">
        <v>3464</v>
      </c>
      <c r="B1280" s="2">
        <v>45445</v>
      </c>
      <c r="C1280" t="s">
        <v>30</v>
      </c>
      <c r="D1280" t="s">
        <v>60</v>
      </c>
      <c r="E1280" t="s">
        <v>3465</v>
      </c>
      <c r="F1280" t="s">
        <v>960</v>
      </c>
      <c r="G1280" t="s">
        <v>3466</v>
      </c>
      <c r="H1280" t="s">
        <v>80</v>
      </c>
      <c r="I1280" t="s">
        <v>26</v>
      </c>
      <c r="J1280">
        <v>3</v>
      </c>
      <c r="K1280">
        <v>556</v>
      </c>
      <c r="L1280">
        <v>1668</v>
      </c>
      <c r="M1280">
        <v>2.5</v>
      </c>
      <c r="N1280">
        <v>41</v>
      </c>
      <c r="P1280">
        <v>0</v>
      </c>
      <c r="Q1280" t="s">
        <v>49</v>
      </c>
      <c r="R1280">
        <v>31</v>
      </c>
      <c r="S1280" t="s">
        <v>41</v>
      </c>
    </row>
    <row r="1281" spans="1:19" x14ac:dyDescent="0.3">
      <c r="A1281" t="s">
        <v>3467</v>
      </c>
      <c r="B1281" s="2">
        <v>45409</v>
      </c>
      <c r="C1281" t="s">
        <v>20</v>
      </c>
      <c r="D1281" t="s">
        <v>100</v>
      </c>
      <c r="E1281" t="s">
        <v>3468</v>
      </c>
      <c r="F1281" t="s">
        <v>824</v>
      </c>
      <c r="G1281" t="s">
        <v>3469</v>
      </c>
      <c r="H1281" t="s">
        <v>48</v>
      </c>
      <c r="I1281" t="s">
        <v>33</v>
      </c>
      <c r="J1281">
        <v>4</v>
      </c>
      <c r="K1281">
        <v>581</v>
      </c>
      <c r="L1281">
        <v>2324</v>
      </c>
      <c r="M1281">
        <v>2.8</v>
      </c>
      <c r="N1281">
        <v>49</v>
      </c>
      <c r="O1281">
        <v>120</v>
      </c>
      <c r="P1281">
        <v>25</v>
      </c>
      <c r="Q1281" t="s">
        <v>27</v>
      </c>
      <c r="R1281">
        <v>47</v>
      </c>
      <c r="S1281" t="s">
        <v>41</v>
      </c>
    </row>
    <row r="1282" spans="1:19" x14ac:dyDescent="0.3">
      <c r="A1282" t="s">
        <v>3470</v>
      </c>
      <c r="B1282" s="2">
        <v>45359</v>
      </c>
      <c r="C1282" t="s">
        <v>55</v>
      </c>
      <c r="D1282" t="s">
        <v>21</v>
      </c>
      <c r="E1282" t="s">
        <v>3471</v>
      </c>
      <c r="F1282" t="s">
        <v>450</v>
      </c>
      <c r="G1282" t="s">
        <v>2146</v>
      </c>
      <c r="H1282" t="s">
        <v>80</v>
      </c>
      <c r="I1282" t="s">
        <v>26</v>
      </c>
      <c r="J1282">
        <v>3</v>
      </c>
      <c r="K1282">
        <v>338</v>
      </c>
      <c r="L1282">
        <v>1014</v>
      </c>
      <c r="M1282">
        <v>4.2</v>
      </c>
      <c r="N1282">
        <v>55</v>
      </c>
      <c r="O1282">
        <v>100</v>
      </c>
      <c r="P1282">
        <v>10</v>
      </c>
      <c r="Q1282" t="s">
        <v>27</v>
      </c>
      <c r="R1282">
        <v>37</v>
      </c>
      <c r="S1282" t="s">
        <v>28</v>
      </c>
    </row>
    <row r="1283" spans="1:19" x14ac:dyDescent="0.3">
      <c r="A1283" t="s">
        <v>3472</v>
      </c>
      <c r="B1283" s="2">
        <v>45310</v>
      </c>
      <c r="C1283" t="s">
        <v>43</v>
      </c>
      <c r="D1283" t="s">
        <v>21</v>
      </c>
      <c r="E1283" t="s">
        <v>3473</v>
      </c>
      <c r="F1283" t="s">
        <v>102</v>
      </c>
      <c r="G1283" t="s">
        <v>3474</v>
      </c>
      <c r="H1283" t="s">
        <v>80</v>
      </c>
      <c r="I1283" t="s">
        <v>26</v>
      </c>
      <c r="J1283">
        <v>4</v>
      </c>
      <c r="K1283">
        <v>201</v>
      </c>
      <c r="L1283">
        <v>804</v>
      </c>
      <c r="M1283">
        <v>2.6</v>
      </c>
      <c r="N1283">
        <v>41</v>
      </c>
      <c r="P1283">
        <v>0</v>
      </c>
      <c r="Q1283" t="s">
        <v>34</v>
      </c>
      <c r="R1283">
        <v>46</v>
      </c>
      <c r="S1283" t="s">
        <v>41</v>
      </c>
    </row>
    <row r="1284" spans="1:19" x14ac:dyDescent="0.3">
      <c r="A1284" t="s">
        <v>3475</v>
      </c>
      <c r="B1284" s="2">
        <v>45503</v>
      </c>
      <c r="C1284" t="s">
        <v>59</v>
      </c>
      <c r="D1284" t="s">
        <v>36</v>
      </c>
      <c r="E1284" t="s">
        <v>3476</v>
      </c>
      <c r="F1284" t="s">
        <v>517</v>
      </c>
      <c r="G1284" t="s">
        <v>2251</v>
      </c>
      <c r="H1284" t="s">
        <v>80</v>
      </c>
      <c r="I1284" t="s">
        <v>26</v>
      </c>
      <c r="J1284">
        <v>3</v>
      </c>
      <c r="K1284">
        <v>211</v>
      </c>
      <c r="L1284">
        <v>633</v>
      </c>
      <c r="M1284">
        <v>3.1</v>
      </c>
      <c r="N1284">
        <v>46</v>
      </c>
      <c r="O1284">
        <v>200</v>
      </c>
      <c r="P1284">
        <v>40</v>
      </c>
      <c r="Q1284" t="s">
        <v>34</v>
      </c>
      <c r="R1284">
        <v>30</v>
      </c>
      <c r="S1284" t="s">
        <v>41</v>
      </c>
    </row>
    <row r="1285" spans="1:19" x14ac:dyDescent="0.3">
      <c r="A1285" t="s">
        <v>3477</v>
      </c>
      <c r="B1285" s="2">
        <v>45516</v>
      </c>
      <c r="C1285" t="s">
        <v>82</v>
      </c>
      <c r="D1285" t="s">
        <v>44</v>
      </c>
      <c r="E1285" t="s">
        <v>3478</v>
      </c>
      <c r="F1285" t="s">
        <v>517</v>
      </c>
      <c r="G1285" t="s">
        <v>3479</v>
      </c>
      <c r="H1285" t="s">
        <v>48</v>
      </c>
      <c r="I1285" t="s">
        <v>33</v>
      </c>
      <c r="J1285">
        <v>2</v>
      </c>
      <c r="K1285">
        <v>554</v>
      </c>
      <c r="L1285">
        <v>1108</v>
      </c>
      <c r="M1285">
        <v>4.0999999999999996</v>
      </c>
      <c r="N1285">
        <v>44</v>
      </c>
      <c r="O1285">
        <v>200</v>
      </c>
      <c r="P1285">
        <v>40</v>
      </c>
      <c r="Q1285" t="s">
        <v>75</v>
      </c>
      <c r="R1285">
        <v>32</v>
      </c>
      <c r="S1285" t="s">
        <v>41</v>
      </c>
    </row>
    <row r="1286" spans="1:19" x14ac:dyDescent="0.3">
      <c r="A1286" t="s">
        <v>3480</v>
      </c>
      <c r="B1286" s="2">
        <v>45311</v>
      </c>
      <c r="C1286" t="s">
        <v>43</v>
      </c>
      <c r="D1286" t="s">
        <v>100</v>
      </c>
      <c r="E1286" t="s">
        <v>3481</v>
      </c>
      <c r="F1286" t="s">
        <v>713</v>
      </c>
      <c r="G1286" t="s">
        <v>3482</v>
      </c>
      <c r="H1286" t="s">
        <v>25</v>
      </c>
      <c r="I1286" t="s">
        <v>26</v>
      </c>
      <c r="J1286">
        <v>1</v>
      </c>
      <c r="K1286">
        <v>294</v>
      </c>
      <c r="L1286">
        <v>294</v>
      </c>
      <c r="P1286">
        <v>0</v>
      </c>
      <c r="Q1286" t="s">
        <v>49</v>
      </c>
      <c r="R1286">
        <v>31</v>
      </c>
      <c r="S1286" t="s">
        <v>28</v>
      </c>
    </row>
    <row r="1287" spans="1:19" x14ac:dyDescent="0.3">
      <c r="A1287" t="s">
        <v>3483</v>
      </c>
      <c r="B1287" s="2">
        <v>45404</v>
      </c>
      <c r="C1287" t="s">
        <v>20</v>
      </c>
      <c r="D1287" t="s">
        <v>44</v>
      </c>
      <c r="E1287" t="s">
        <v>3484</v>
      </c>
      <c r="F1287" t="s">
        <v>102</v>
      </c>
      <c r="G1287" t="s">
        <v>201</v>
      </c>
      <c r="H1287" t="s">
        <v>80</v>
      </c>
      <c r="I1287" t="s">
        <v>26</v>
      </c>
      <c r="J1287">
        <v>2</v>
      </c>
      <c r="K1287">
        <v>358</v>
      </c>
      <c r="L1287">
        <v>716</v>
      </c>
      <c r="M1287">
        <v>4.2</v>
      </c>
      <c r="N1287">
        <v>42</v>
      </c>
      <c r="P1287">
        <v>0</v>
      </c>
      <c r="Q1287" t="s">
        <v>49</v>
      </c>
      <c r="R1287">
        <v>41</v>
      </c>
      <c r="S1287" t="s">
        <v>28</v>
      </c>
    </row>
    <row r="1288" spans="1:19" x14ac:dyDescent="0.3">
      <c r="A1288" t="s">
        <v>3485</v>
      </c>
      <c r="B1288" s="2">
        <v>45431</v>
      </c>
      <c r="C1288" t="s">
        <v>71</v>
      </c>
      <c r="D1288" t="s">
        <v>60</v>
      </c>
      <c r="E1288" t="s">
        <v>3486</v>
      </c>
      <c r="F1288" t="s">
        <v>23</v>
      </c>
      <c r="G1288" t="s">
        <v>3487</v>
      </c>
      <c r="H1288" t="s">
        <v>53</v>
      </c>
      <c r="I1288" t="s">
        <v>26</v>
      </c>
      <c r="J1288">
        <v>1</v>
      </c>
      <c r="K1288">
        <v>379</v>
      </c>
      <c r="L1288">
        <v>379</v>
      </c>
      <c r="M1288">
        <v>5</v>
      </c>
      <c r="N1288">
        <v>42</v>
      </c>
      <c r="O1288">
        <v>75</v>
      </c>
      <c r="P1288">
        <v>30</v>
      </c>
      <c r="Q1288" t="s">
        <v>34</v>
      </c>
      <c r="R1288">
        <v>42</v>
      </c>
      <c r="S1288" t="s">
        <v>41</v>
      </c>
    </row>
    <row r="1289" spans="1:19" x14ac:dyDescent="0.3">
      <c r="A1289" t="s">
        <v>3488</v>
      </c>
      <c r="B1289" s="2">
        <v>45338</v>
      </c>
      <c r="C1289" t="s">
        <v>113</v>
      </c>
      <c r="D1289" t="s">
        <v>21</v>
      </c>
      <c r="E1289" t="s">
        <v>3489</v>
      </c>
      <c r="F1289" t="s">
        <v>87</v>
      </c>
      <c r="G1289" t="s">
        <v>410</v>
      </c>
      <c r="H1289" t="s">
        <v>64</v>
      </c>
      <c r="I1289" t="s">
        <v>26</v>
      </c>
      <c r="J1289">
        <v>1</v>
      </c>
      <c r="K1289">
        <v>510</v>
      </c>
      <c r="L1289">
        <v>510</v>
      </c>
      <c r="M1289">
        <v>4</v>
      </c>
      <c r="N1289">
        <v>35</v>
      </c>
      <c r="P1289">
        <v>0</v>
      </c>
      <c r="Q1289" t="s">
        <v>75</v>
      </c>
      <c r="R1289">
        <v>36</v>
      </c>
      <c r="S1289" t="s">
        <v>41</v>
      </c>
    </row>
    <row r="1290" spans="1:19" x14ac:dyDescent="0.3">
      <c r="A1290" t="s">
        <v>3490</v>
      </c>
      <c r="B1290" s="2">
        <v>45292</v>
      </c>
      <c r="C1290" t="s">
        <v>43</v>
      </c>
      <c r="D1290" t="s">
        <v>44</v>
      </c>
      <c r="E1290" t="s">
        <v>3491</v>
      </c>
      <c r="F1290" t="s">
        <v>46</v>
      </c>
      <c r="G1290" t="s">
        <v>3492</v>
      </c>
      <c r="H1290" t="s">
        <v>80</v>
      </c>
      <c r="I1290" t="s">
        <v>26</v>
      </c>
      <c r="J1290">
        <v>1</v>
      </c>
      <c r="K1290">
        <v>484</v>
      </c>
      <c r="L1290">
        <v>484</v>
      </c>
      <c r="M1290">
        <v>3.3</v>
      </c>
      <c r="N1290">
        <v>36</v>
      </c>
      <c r="O1290">
        <v>100</v>
      </c>
      <c r="P1290">
        <v>20</v>
      </c>
      <c r="Q1290" t="s">
        <v>75</v>
      </c>
      <c r="R1290">
        <v>23</v>
      </c>
      <c r="S1290" t="s">
        <v>41</v>
      </c>
    </row>
    <row r="1291" spans="1:19" x14ac:dyDescent="0.3">
      <c r="A1291" t="s">
        <v>3493</v>
      </c>
      <c r="B1291" s="2">
        <v>45381</v>
      </c>
      <c r="C1291" t="s">
        <v>55</v>
      </c>
      <c r="D1291" t="s">
        <v>100</v>
      </c>
      <c r="E1291" t="s">
        <v>3494</v>
      </c>
      <c r="F1291" t="s">
        <v>713</v>
      </c>
      <c r="G1291" t="s">
        <v>1058</v>
      </c>
      <c r="H1291" t="s">
        <v>80</v>
      </c>
      <c r="I1291" t="s">
        <v>26</v>
      </c>
      <c r="J1291">
        <v>2</v>
      </c>
      <c r="K1291">
        <v>282</v>
      </c>
      <c r="L1291">
        <v>564</v>
      </c>
      <c r="P1291">
        <v>0</v>
      </c>
      <c r="Q1291" t="s">
        <v>27</v>
      </c>
      <c r="R1291">
        <v>27</v>
      </c>
      <c r="S1291" t="s">
        <v>28</v>
      </c>
    </row>
    <row r="1292" spans="1:19" x14ac:dyDescent="0.3">
      <c r="A1292" t="s">
        <v>3495</v>
      </c>
      <c r="B1292" s="2">
        <v>45433</v>
      </c>
      <c r="C1292" t="s">
        <v>71</v>
      </c>
      <c r="D1292" t="s">
        <v>36</v>
      </c>
      <c r="E1292" t="s">
        <v>3496</v>
      </c>
      <c r="F1292" t="s">
        <v>115</v>
      </c>
      <c r="G1292" t="s">
        <v>3497</v>
      </c>
      <c r="H1292" t="s">
        <v>40</v>
      </c>
      <c r="I1292" t="s">
        <v>26</v>
      </c>
      <c r="J1292">
        <v>1</v>
      </c>
      <c r="K1292">
        <v>167</v>
      </c>
      <c r="L1292">
        <v>167</v>
      </c>
      <c r="P1292">
        <v>0</v>
      </c>
      <c r="Q1292" t="s">
        <v>27</v>
      </c>
      <c r="R1292">
        <v>44</v>
      </c>
      <c r="S1292" t="s">
        <v>28</v>
      </c>
    </row>
    <row r="1293" spans="1:19" x14ac:dyDescent="0.3">
      <c r="A1293" t="s">
        <v>3498</v>
      </c>
      <c r="B1293" s="2">
        <v>45355</v>
      </c>
      <c r="C1293" t="s">
        <v>55</v>
      </c>
      <c r="D1293" t="s">
        <v>44</v>
      </c>
      <c r="E1293" t="s">
        <v>3499</v>
      </c>
      <c r="F1293" t="s">
        <v>87</v>
      </c>
      <c r="G1293" t="s">
        <v>3500</v>
      </c>
      <c r="H1293" t="s">
        <v>80</v>
      </c>
      <c r="I1293" t="s">
        <v>33</v>
      </c>
      <c r="J1293">
        <v>2</v>
      </c>
      <c r="K1293">
        <v>448</v>
      </c>
      <c r="L1293">
        <v>896</v>
      </c>
      <c r="P1293">
        <v>0</v>
      </c>
      <c r="Q1293" t="s">
        <v>75</v>
      </c>
      <c r="R1293">
        <v>32</v>
      </c>
      <c r="S1293" t="s">
        <v>28</v>
      </c>
    </row>
    <row r="1294" spans="1:19" x14ac:dyDescent="0.3">
      <c r="A1294" t="s">
        <v>3501</v>
      </c>
      <c r="B1294" s="2">
        <v>45329</v>
      </c>
      <c r="C1294" t="s">
        <v>113</v>
      </c>
      <c r="D1294" t="s">
        <v>72</v>
      </c>
      <c r="E1294" t="s">
        <v>3502</v>
      </c>
      <c r="F1294" t="s">
        <v>115</v>
      </c>
      <c r="G1294" t="s">
        <v>1187</v>
      </c>
      <c r="H1294" t="s">
        <v>53</v>
      </c>
      <c r="I1294" t="s">
        <v>26</v>
      </c>
      <c r="J1294">
        <v>4</v>
      </c>
      <c r="K1294">
        <v>447</v>
      </c>
      <c r="L1294">
        <v>1788</v>
      </c>
      <c r="P1294">
        <v>0</v>
      </c>
      <c r="Q1294" t="s">
        <v>27</v>
      </c>
      <c r="R1294">
        <v>38</v>
      </c>
      <c r="S1294" t="s">
        <v>41</v>
      </c>
    </row>
    <row r="1295" spans="1:19" x14ac:dyDescent="0.3">
      <c r="A1295" t="s">
        <v>3503</v>
      </c>
      <c r="B1295" s="2">
        <v>45328</v>
      </c>
      <c r="C1295" t="s">
        <v>113</v>
      </c>
      <c r="D1295" t="s">
        <v>36</v>
      </c>
      <c r="E1295" t="s">
        <v>3504</v>
      </c>
      <c r="F1295" t="s">
        <v>115</v>
      </c>
      <c r="G1295" t="s">
        <v>1397</v>
      </c>
      <c r="H1295" t="s">
        <v>64</v>
      </c>
      <c r="I1295" t="s">
        <v>26</v>
      </c>
      <c r="J1295">
        <v>3</v>
      </c>
      <c r="K1295">
        <v>235</v>
      </c>
      <c r="L1295">
        <v>705</v>
      </c>
      <c r="P1295">
        <v>0</v>
      </c>
      <c r="Q1295" t="s">
        <v>34</v>
      </c>
      <c r="R1295">
        <v>49</v>
      </c>
      <c r="S1295" t="s">
        <v>41</v>
      </c>
    </row>
    <row r="1296" spans="1:19" x14ac:dyDescent="0.3">
      <c r="A1296" t="s">
        <v>3505</v>
      </c>
      <c r="B1296" s="2">
        <v>45417</v>
      </c>
      <c r="C1296" t="s">
        <v>71</v>
      </c>
      <c r="D1296" t="s">
        <v>60</v>
      </c>
      <c r="E1296" t="s">
        <v>3506</v>
      </c>
      <c r="F1296" t="s">
        <v>115</v>
      </c>
      <c r="G1296" t="s">
        <v>3507</v>
      </c>
      <c r="H1296" t="s">
        <v>53</v>
      </c>
      <c r="I1296" t="s">
        <v>26</v>
      </c>
      <c r="J1296">
        <v>3</v>
      </c>
      <c r="K1296">
        <v>548</v>
      </c>
      <c r="L1296">
        <v>1644</v>
      </c>
      <c r="M1296">
        <v>2.2999999999999998</v>
      </c>
      <c r="N1296">
        <v>35</v>
      </c>
      <c r="P1296">
        <v>0</v>
      </c>
      <c r="Q1296" t="s">
        <v>75</v>
      </c>
      <c r="R1296">
        <v>39</v>
      </c>
      <c r="S1296" t="s">
        <v>41</v>
      </c>
    </row>
    <row r="1297" spans="1:19" x14ac:dyDescent="0.3">
      <c r="A1297" t="s">
        <v>3508</v>
      </c>
      <c r="B1297" s="2">
        <v>45430</v>
      </c>
      <c r="C1297" t="s">
        <v>71</v>
      </c>
      <c r="D1297" t="s">
        <v>100</v>
      </c>
      <c r="E1297" t="s">
        <v>3509</v>
      </c>
      <c r="F1297" t="s">
        <v>192</v>
      </c>
      <c r="G1297" t="s">
        <v>2839</v>
      </c>
      <c r="H1297" t="s">
        <v>64</v>
      </c>
      <c r="I1297" t="s">
        <v>26</v>
      </c>
      <c r="J1297">
        <v>1</v>
      </c>
      <c r="K1297">
        <v>456</v>
      </c>
      <c r="L1297">
        <v>456</v>
      </c>
      <c r="O1297">
        <v>500</v>
      </c>
      <c r="P1297">
        <v>25</v>
      </c>
      <c r="Q1297" t="s">
        <v>27</v>
      </c>
      <c r="R1297">
        <v>37</v>
      </c>
      <c r="S1297" t="s">
        <v>41</v>
      </c>
    </row>
    <row r="1298" spans="1:19" x14ac:dyDescent="0.3">
      <c r="A1298" t="s">
        <v>3510</v>
      </c>
      <c r="B1298" s="2">
        <v>45391</v>
      </c>
      <c r="C1298" t="s">
        <v>20</v>
      </c>
      <c r="D1298" t="s">
        <v>36</v>
      </c>
      <c r="E1298" t="s">
        <v>3511</v>
      </c>
      <c r="F1298" t="s">
        <v>192</v>
      </c>
      <c r="G1298" t="s">
        <v>79</v>
      </c>
      <c r="H1298" t="s">
        <v>80</v>
      </c>
      <c r="I1298" t="s">
        <v>26</v>
      </c>
      <c r="J1298">
        <v>2</v>
      </c>
      <c r="K1298">
        <v>456</v>
      </c>
      <c r="L1298">
        <v>912</v>
      </c>
      <c r="P1298">
        <v>0</v>
      </c>
      <c r="Q1298" t="s">
        <v>49</v>
      </c>
      <c r="R1298">
        <v>43</v>
      </c>
      <c r="S1298" t="s">
        <v>41</v>
      </c>
    </row>
    <row r="1299" spans="1:19" x14ac:dyDescent="0.3">
      <c r="A1299" t="s">
        <v>3512</v>
      </c>
      <c r="B1299" s="2">
        <v>45368</v>
      </c>
      <c r="C1299" t="s">
        <v>55</v>
      </c>
      <c r="D1299" t="s">
        <v>60</v>
      </c>
      <c r="E1299" t="s">
        <v>3513</v>
      </c>
      <c r="F1299" t="s">
        <v>23</v>
      </c>
      <c r="G1299" t="s">
        <v>227</v>
      </c>
      <c r="H1299" t="s">
        <v>80</v>
      </c>
      <c r="I1299" t="s">
        <v>26</v>
      </c>
      <c r="J1299">
        <v>3</v>
      </c>
      <c r="K1299">
        <v>488</v>
      </c>
      <c r="L1299">
        <v>1464</v>
      </c>
      <c r="M1299">
        <v>3.3</v>
      </c>
      <c r="N1299">
        <v>36</v>
      </c>
      <c r="O1299">
        <v>159</v>
      </c>
      <c r="P1299">
        <v>20</v>
      </c>
      <c r="Q1299" t="s">
        <v>75</v>
      </c>
      <c r="R1299">
        <v>23</v>
      </c>
      <c r="S1299" t="s">
        <v>28</v>
      </c>
    </row>
    <row r="1300" spans="1:19" x14ac:dyDescent="0.3">
      <c r="A1300" t="s">
        <v>3514</v>
      </c>
      <c r="B1300" s="2">
        <v>45526</v>
      </c>
      <c r="C1300" t="s">
        <v>82</v>
      </c>
      <c r="D1300" t="s">
        <v>92</v>
      </c>
      <c r="E1300" t="s">
        <v>3515</v>
      </c>
      <c r="F1300" t="s">
        <v>46</v>
      </c>
      <c r="G1300" t="s">
        <v>186</v>
      </c>
      <c r="H1300" t="s">
        <v>80</v>
      </c>
      <c r="I1300" t="s">
        <v>26</v>
      </c>
      <c r="J1300">
        <v>2</v>
      </c>
      <c r="K1300">
        <v>344</v>
      </c>
      <c r="L1300">
        <v>688</v>
      </c>
      <c r="P1300">
        <v>0</v>
      </c>
      <c r="Q1300" t="s">
        <v>75</v>
      </c>
      <c r="R1300">
        <v>49</v>
      </c>
      <c r="S1300" t="s">
        <v>41</v>
      </c>
    </row>
    <row r="1301" spans="1:19" x14ac:dyDescent="0.3">
      <c r="A1301" t="s">
        <v>3516</v>
      </c>
      <c r="B1301" s="2">
        <v>45294</v>
      </c>
      <c r="C1301" t="s">
        <v>43</v>
      </c>
      <c r="D1301" t="s">
        <v>72</v>
      </c>
      <c r="E1301" t="s">
        <v>3517</v>
      </c>
      <c r="F1301" t="s">
        <v>1225</v>
      </c>
      <c r="G1301" t="s">
        <v>3518</v>
      </c>
      <c r="H1301" t="s">
        <v>80</v>
      </c>
      <c r="I1301" t="s">
        <v>26</v>
      </c>
      <c r="J1301">
        <v>2</v>
      </c>
      <c r="K1301">
        <v>471</v>
      </c>
      <c r="L1301">
        <v>942</v>
      </c>
      <c r="M1301">
        <v>3.7</v>
      </c>
      <c r="N1301">
        <v>36</v>
      </c>
      <c r="P1301">
        <v>0</v>
      </c>
      <c r="Q1301" t="s">
        <v>49</v>
      </c>
      <c r="R1301">
        <v>40</v>
      </c>
      <c r="S1301" t="s">
        <v>41</v>
      </c>
    </row>
    <row r="1302" spans="1:19" x14ac:dyDescent="0.3">
      <c r="A1302" t="s">
        <v>3519</v>
      </c>
      <c r="B1302" s="2">
        <v>45452</v>
      </c>
      <c r="C1302" t="s">
        <v>30</v>
      </c>
      <c r="D1302" t="s">
        <v>60</v>
      </c>
      <c r="E1302" t="s">
        <v>3520</v>
      </c>
      <c r="F1302" t="s">
        <v>667</v>
      </c>
      <c r="G1302" t="s">
        <v>3521</v>
      </c>
      <c r="H1302" t="s">
        <v>53</v>
      </c>
      <c r="I1302" t="s">
        <v>26</v>
      </c>
      <c r="J1302">
        <v>1</v>
      </c>
      <c r="K1302">
        <v>447</v>
      </c>
      <c r="L1302">
        <v>447</v>
      </c>
      <c r="M1302">
        <v>3.5</v>
      </c>
      <c r="N1302">
        <v>36</v>
      </c>
      <c r="P1302">
        <v>0</v>
      </c>
      <c r="Q1302" t="s">
        <v>34</v>
      </c>
      <c r="R1302">
        <v>42</v>
      </c>
      <c r="S1302" t="s">
        <v>41</v>
      </c>
    </row>
    <row r="1303" spans="1:19" x14ac:dyDescent="0.3">
      <c r="A1303" t="s">
        <v>3522</v>
      </c>
      <c r="B1303" s="2">
        <v>45425</v>
      </c>
      <c r="C1303" t="s">
        <v>71</v>
      </c>
      <c r="D1303" t="s">
        <v>44</v>
      </c>
      <c r="E1303" t="s">
        <v>3523</v>
      </c>
      <c r="F1303" t="s">
        <v>115</v>
      </c>
      <c r="G1303" t="s">
        <v>3524</v>
      </c>
      <c r="H1303" t="s">
        <v>64</v>
      </c>
      <c r="I1303" t="s">
        <v>26</v>
      </c>
      <c r="J1303">
        <v>3</v>
      </c>
      <c r="K1303">
        <v>266</v>
      </c>
      <c r="L1303">
        <v>798</v>
      </c>
      <c r="M1303">
        <v>4</v>
      </c>
      <c r="N1303">
        <v>36</v>
      </c>
      <c r="P1303">
        <v>0</v>
      </c>
      <c r="Q1303" t="s">
        <v>49</v>
      </c>
      <c r="R1303">
        <v>27</v>
      </c>
      <c r="S1303" t="s">
        <v>28</v>
      </c>
    </row>
    <row r="1304" spans="1:19" x14ac:dyDescent="0.3">
      <c r="A1304" t="s">
        <v>3525</v>
      </c>
      <c r="B1304" s="2">
        <v>45469</v>
      </c>
      <c r="C1304" t="s">
        <v>30</v>
      </c>
      <c r="D1304" t="s">
        <v>72</v>
      </c>
      <c r="E1304" t="s">
        <v>3526</v>
      </c>
      <c r="F1304" t="s">
        <v>46</v>
      </c>
      <c r="G1304" t="s">
        <v>3527</v>
      </c>
      <c r="H1304" t="s">
        <v>80</v>
      </c>
      <c r="I1304" t="s">
        <v>26</v>
      </c>
      <c r="J1304">
        <v>1</v>
      </c>
      <c r="K1304">
        <v>182</v>
      </c>
      <c r="L1304">
        <v>182</v>
      </c>
      <c r="P1304">
        <v>0</v>
      </c>
      <c r="Q1304" t="s">
        <v>75</v>
      </c>
      <c r="R1304">
        <v>24</v>
      </c>
      <c r="S1304" t="s">
        <v>41</v>
      </c>
    </row>
    <row r="1305" spans="1:19" x14ac:dyDescent="0.3">
      <c r="A1305" t="s">
        <v>3528</v>
      </c>
      <c r="B1305" s="2">
        <v>45301</v>
      </c>
      <c r="C1305" t="s">
        <v>43</v>
      </c>
      <c r="D1305" t="s">
        <v>72</v>
      </c>
      <c r="E1305" t="s">
        <v>3529</v>
      </c>
      <c r="F1305" t="s">
        <v>23</v>
      </c>
      <c r="G1305" t="s">
        <v>3530</v>
      </c>
      <c r="H1305" t="s">
        <v>80</v>
      </c>
      <c r="I1305" t="s">
        <v>26</v>
      </c>
      <c r="J1305">
        <v>1</v>
      </c>
      <c r="K1305">
        <v>413</v>
      </c>
      <c r="L1305">
        <v>413</v>
      </c>
      <c r="M1305">
        <v>4</v>
      </c>
      <c r="N1305">
        <v>34</v>
      </c>
      <c r="P1305">
        <v>0</v>
      </c>
      <c r="Q1305" t="s">
        <v>34</v>
      </c>
      <c r="R1305">
        <v>39</v>
      </c>
      <c r="S1305" t="s">
        <v>28</v>
      </c>
    </row>
    <row r="1306" spans="1:19" x14ac:dyDescent="0.3">
      <c r="A1306" t="s">
        <v>3531</v>
      </c>
      <c r="B1306" s="2">
        <v>45296</v>
      </c>
      <c r="C1306" t="s">
        <v>43</v>
      </c>
      <c r="D1306" t="s">
        <v>21</v>
      </c>
      <c r="E1306" t="s">
        <v>3532</v>
      </c>
      <c r="F1306" t="s">
        <v>46</v>
      </c>
      <c r="G1306" t="s">
        <v>154</v>
      </c>
      <c r="H1306" t="s">
        <v>80</v>
      </c>
      <c r="I1306" t="s">
        <v>26</v>
      </c>
      <c r="J1306">
        <v>3</v>
      </c>
      <c r="K1306">
        <v>442</v>
      </c>
      <c r="L1306">
        <v>1326</v>
      </c>
      <c r="O1306">
        <v>50</v>
      </c>
      <c r="P1306">
        <v>20</v>
      </c>
      <c r="Q1306" t="s">
        <v>27</v>
      </c>
      <c r="R1306">
        <v>34</v>
      </c>
      <c r="S1306" t="s">
        <v>28</v>
      </c>
    </row>
    <row r="1307" spans="1:19" x14ac:dyDescent="0.3">
      <c r="A1307" t="s">
        <v>3533</v>
      </c>
      <c r="B1307" s="2">
        <v>45442</v>
      </c>
      <c r="C1307" t="s">
        <v>71</v>
      </c>
      <c r="D1307" t="s">
        <v>92</v>
      </c>
      <c r="E1307" t="s">
        <v>3534</v>
      </c>
      <c r="F1307" t="s">
        <v>115</v>
      </c>
      <c r="G1307" t="s">
        <v>3535</v>
      </c>
      <c r="H1307" t="s">
        <v>80</v>
      </c>
      <c r="I1307" t="s">
        <v>26</v>
      </c>
      <c r="J1307">
        <v>3</v>
      </c>
      <c r="K1307">
        <v>562</v>
      </c>
      <c r="L1307">
        <v>1686</v>
      </c>
      <c r="M1307">
        <v>4</v>
      </c>
      <c r="N1307">
        <v>34</v>
      </c>
      <c r="P1307">
        <v>0</v>
      </c>
      <c r="Q1307" t="s">
        <v>27</v>
      </c>
      <c r="R1307">
        <v>35</v>
      </c>
      <c r="S1307" t="s">
        <v>28</v>
      </c>
    </row>
    <row r="1308" spans="1:19" x14ac:dyDescent="0.3">
      <c r="A1308" t="s">
        <v>3536</v>
      </c>
      <c r="B1308" s="2">
        <v>45429</v>
      </c>
      <c r="C1308" t="s">
        <v>71</v>
      </c>
      <c r="D1308" t="s">
        <v>21</v>
      </c>
      <c r="E1308" t="s">
        <v>3537</v>
      </c>
      <c r="F1308" t="s">
        <v>192</v>
      </c>
      <c r="G1308" t="s">
        <v>3538</v>
      </c>
      <c r="H1308" t="s">
        <v>40</v>
      </c>
      <c r="I1308" t="s">
        <v>26</v>
      </c>
      <c r="J1308">
        <v>4</v>
      </c>
      <c r="K1308">
        <v>444</v>
      </c>
      <c r="L1308">
        <v>1776</v>
      </c>
      <c r="P1308">
        <v>0</v>
      </c>
      <c r="Q1308" t="s">
        <v>27</v>
      </c>
      <c r="R1308">
        <v>34</v>
      </c>
      <c r="S1308" t="s">
        <v>28</v>
      </c>
    </row>
    <row r="1309" spans="1:19" x14ac:dyDescent="0.3">
      <c r="A1309" t="s">
        <v>3539</v>
      </c>
      <c r="B1309" s="2">
        <v>45463</v>
      </c>
      <c r="C1309" t="s">
        <v>30</v>
      </c>
      <c r="D1309" t="s">
        <v>92</v>
      </c>
      <c r="E1309" t="s">
        <v>3540</v>
      </c>
      <c r="F1309" t="s">
        <v>115</v>
      </c>
      <c r="G1309" t="s">
        <v>3541</v>
      </c>
      <c r="H1309" t="s">
        <v>80</v>
      </c>
      <c r="I1309" t="s">
        <v>26</v>
      </c>
      <c r="J1309">
        <v>4</v>
      </c>
      <c r="K1309">
        <v>132</v>
      </c>
      <c r="L1309">
        <v>528</v>
      </c>
      <c r="M1309">
        <v>3.8</v>
      </c>
      <c r="N1309">
        <v>34</v>
      </c>
      <c r="P1309">
        <v>0</v>
      </c>
      <c r="Q1309" t="s">
        <v>75</v>
      </c>
      <c r="R1309">
        <v>26</v>
      </c>
      <c r="S1309" t="s">
        <v>28</v>
      </c>
    </row>
    <row r="1310" spans="1:19" x14ac:dyDescent="0.3">
      <c r="A1310" t="s">
        <v>3542</v>
      </c>
      <c r="B1310" s="2">
        <v>45421</v>
      </c>
      <c r="C1310" t="s">
        <v>71</v>
      </c>
      <c r="D1310" t="s">
        <v>92</v>
      </c>
      <c r="E1310" t="s">
        <v>3543</v>
      </c>
      <c r="F1310" t="s">
        <v>87</v>
      </c>
      <c r="G1310" t="s">
        <v>3544</v>
      </c>
      <c r="H1310" t="s">
        <v>80</v>
      </c>
      <c r="I1310" t="s">
        <v>26</v>
      </c>
      <c r="J1310">
        <v>2</v>
      </c>
      <c r="K1310">
        <v>550</v>
      </c>
      <c r="L1310">
        <v>1100</v>
      </c>
      <c r="P1310">
        <v>0</v>
      </c>
      <c r="Q1310" t="s">
        <v>49</v>
      </c>
      <c r="R1310">
        <v>27</v>
      </c>
      <c r="S1310" t="s">
        <v>41</v>
      </c>
    </row>
    <row r="1311" spans="1:19" x14ac:dyDescent="0.3">
      <c r="A1311" t="s">
        <v>3545</v>
      </c>
      <c r="B1311" s="2">
        <v>45304</v>
      </c>
      <c r="C1311" t="s">
        <v>43</v>
      </c>
      <c r="D1311" t="s">
        <v>100</v>
      </c>
      <c r="E1311" t="s">
        <v>3546</v>
      </c>
      <c r="F1311" t="s">
        <v>46</v>
      </c>
      <c r="G1311" t="s">
        <v>186</v>
      </c>
      <c r="H1311" t="s">
        <v>80</v>
      </c>
      <c r="I1311" t="s">
        <v>26</v>
      </c>
      <c r="J1311">
        <v>3</v>
      </c>
      <c r="K1311">
        <v>308</v>
      </c>
      <c r="L1311">
        <v>924</v>
      </c>
      <c r="M1311">
        <v>4.0999999999999996</v>
      </c>
      <c r="N1311">
        <v>39</v>
      </c>
      <c r="P1311">
        <v>0</v>
      </c>
      <c r="Q1311" t="s">
        <v>34</v>
      </c>
      <c r="R1311">
        <v>27</v>
      </c>
      <c r="S1311" t="s">
        <v>41</v>
      </c>
    </row>
    <row r="1312" spans="1:19" x14ac:dyDescent="0.3">
      <c r="A1312" t="s">
        <v>3547</v>
      </c>
      <c r="B1312" s="2">
        <v>45459</v>
      </c>
      <c r="C1312" t="s">
        <v>30</v>
      </c>
      <c r="D1312" t="s">
        <v>60</v>
      </c>
      <c r="E1312" t="s">
        <v>3548</v>
      </c>
      <c r="F1312" t="s">
        <v>115</v>
      </c>
      <c r="G1312" t="s">
        <v>3549</v>
      </c>
      <c r="H1312" t="s">
        <v>80</v>
      </c>
      <c r="I1312" t="s">
        <v>26</v>
      </c>
      <c r="J1312">
        <v>4</v>
      </c>
      <c r="K1312">
        <v>406</v>
      </c>
      <c r="L1312">
        <v>1624</v>
      </c>
      <c r="P1312">
        <v>0</v>
      </c>
      <c r="Q1312" t="s">
        <v>27</v>
      </c>
      <c r="R1312">
        <v>42</v>
      </c>
      <c r="S1312" t="s">
        <v>28</v>
      </c>
    </row>
    <row r="1313" spans="1:19" x14ac:dyDescent="0.3">
      <c r="A1313" t="s">
        <v>3550</v>
      </c>
      <c r="B1313" s="2">
        <v>45421</v>
      </c>
      <c r="C1313" t="s">
        <v>71</v>
      </c>
      <c r="D1313" t="s">
        <v>92</v>
      </c>
      <c r="E1313" t="s">
        <v>3551</v>
      </c>
      <c r="F1313" t="s">
        <v>115</v>
      </c>
      <c r="G1313" t="s">
        <v>373</v>
      </c>
      <c r="H1313" t="s">
        <v>80</v>
      </c>
      <c r="I1313" t="s">
        <v>26</v>
      </c>
      <c r="J1313">
        <v>2</v>
      </c>
      <c r="K1313">
        <v>327</v>
      </c>
      <c r="L1313">
        <v>654</v>
      </c>
      <c r="M1313">
        <v>3.4</v>
      </c>
      <c r="N1313">
        <v>34</v>
      </c>
      <c r="P1313">
        <v>0</v>
      </c>
      <c r="Q1313" t="s">
        <v>34</v>
      </c>
      <c r="R1313">
        <v>24</v>
      </c>
      <c r="S1313" t="s">
        <v>28</v>
      </c>
    </row>
    <row r="1314" spans="1:19" x14ac:dyDescent="0.3">
      <c r="A1314" t="s">
        <v>3552</v>
      </c>
      <c r="B1314" s="2">
        <v>45375</v>
      </c>
      <c r="C1314" t="s">
        <v>55</v>
      </c>
      <c r="D1314" t="s">
        <v>60</v>
      </c>
      <c r="E1314" t="s">
        <v>3553</v>
      </c>
      <c r="F1314" t="s">
        <v>115</v>
      </c>
      <c r="G1314" t="s">
        <v>79</v>
      </c>
      <c r="H1314" t="s">
        <v>80</v>
      </c>
      <c r="I1314" t="s">
        <v>26</v>
      </c>
      <c r="J1314">
        <v>2</v>
      </c>
      <c r="K1314">
        <v>233</v>
      </c>
      <c r="L1314">
        <v>466</v>
      </c>
      <c r="M1314">
        <v>2.2999999999999998</v>
      </c>
      <c r="N1314">
        <v>36</v>
      </c>
      <c r="P1314">
        <v>0</v>
      </c>
      <c r="Q1314" t="s">
        <v>75</v>
      </c>
      <c r="R1314">
        <v>33</v>
      </c>
      <c r="S1314" t="s">
        <v>28</v>
      </c>
    </row>
    <row r="1315" spans="1:19" x14ac:dyDescent="0.3">
      <c r="A1315" t="s">
        <v>3554</v>
      </c>
      <c r="B1315" s="2">
        <v>45356</v>
      </c>
      <c r="C1315" t="s">
        <v>55</v>
      </c>
      <c r="D1315" t="s">
        <v>36</v>
      </c>
      <c r="E1315" t="s">
        <v>3555</v>
      </c>
      <c r="F1315" t="s">
        <v>115</v>
      </c>
      <c r="G1315" t="s">
        <v>227</v>
      </c>
      <c r="H1315" t="s">
        <v>80</v>
      </c>
      <c r="I1315" t="s">
        <v>26</v>
      </c>
      <c r="J1315">
        <v>2</v>
      </c>
      <c r="K1315">
        <v>599</v>
      </c>
      <c r="L1315">
        <v>1198</v>
      </c>
      <c r="P1315">
        <v>0</v>
      </c>
      <c r="Q1315" t="s">
        <v>27</v>
      </c>
      <c r="R1315">
        <v>46</v>
      </c>
      <c r="S1315" t="s">
        <v>41</v>
      </c>
    </row>
    <row r="1316" spans="1:19" x14ac:dyDescent="0.3">
      <c r="A1316" t="s">
        <v>3556</v>
      </c>
      <c r="B1316" s="2">
        <v>45354</v>
      </c>
      <c r="C1316" t="s">
        <v>55</v>
      </c>
      <c r="D1316" t="s">
        <v>60</v>
      </c>
      <c r="E1316" t="s">
        <v>3557</v>
      </c>
      <c r="F1316" t="s">
        <v>2424</v>
      </c>
      <c r="G1316" t="s">
        <v>221</v>
      </c>
      <c r="H1316" t="s">
        <v>80</v>
      </c>
      <c r="I1316" t="s">
        <v>26</v>
      </c>
      <c r="J1316">
        <v>4</v>
      </c>
      <c r="K1316">
        <v>141</v>
      </c>
      <c r="L1316">
        <v>564</v>
      </c>
      <c r="P1316">
        <v>0</v>
      </c>
      <c r="Q1316" t="s">
        <v>75</v>
      </c>
      <c r="R1316">
        <v>35</v>
      </c>
      <c r="S1316" t="s">
        <v>41</v>
      </c>
    </row>
    <row r="1317" spans="1:19" x14ac:dyDescent="0.3">
      <c r="A1317" t="s">
        <v>3558</v>
      </c>
      <c r="B1317" s="2">
        <v>45392</v>
      </c>
      <c r="C1317" t="s">
        <v>20</v>
      </c>
      <c r="D1317" t="s">
        <v>72</v>
      </c>
      <c r="E1317" t="s">
        <v>3559</v>
      </c>
      <c r="F1317" t="s">
        <v>87</v>
      </c>
      <c r="G1317" t="s">
        <v>204</v>
      </c>
      <c r="H1317" t="s">
        <v>80</v>
      </c>
      <c r="I1317" t="s">
        <v>26</v>
      </c>
      <c r="J1317">
        <v>3</v>
      </c>
      <c r="K1317">
        <v>468</v>
      </c>
      <c r="L1317">
        <v>1404</v>
      </c>
      <c r="P1317">
        <v>0</v>
      </c>
      <c r="Q1317" t="s">
        <v>49</v>
      </c>
      <c r="R1317">
        <v>23</v>
      </c>
      <c r="S1317" t="s">
        <v>28</v>
      </c>
    </row>
    <row r="1318" spans="1:19" x14ac:dyDescent="0.3">
      <c r="A1318" t="s">
        <v>3560</v>
      </c>
      <c r="B1318" s="2">
        <v>45364</v>
      </c>
      <c r="C1318" t="s">
        <v>55</v>
      </c>
      <c r="D1318" t="s">
        <v>72</v>
      </c>
      <c r="E1318" t="s">
        <v>3561</v>
      </c>
      <c r="F1318" t="s">
        <v>115</v>
      </c>
      <c r="G1318" t="s">
        <v>94</v>
      </c>
      <c r="H1318" t="s">
        <v>80</v>
      </c>
      <c r="I1318" t="s">
        <v>26</v>
      </c>
      <c r="J1318">
        <v>1</v>
      </c>
      <c r="K1318">
        <v>333</v>
      </c>
      <c r="L1318">
        <v>333</v>
      </c>
      <c r="O1318">
        <v>249</v>
      </c>
      <c r="P1318">
        <v>0</v>
      </c>
      <c r="Q1318" t="s">
        <v>75</v>
      </c>
      <c r="R1318">
        <v>44</v>
      </c>
      <c r="S1318" t="s">
        <v>41</v>
      </c>
    </row>
    <row r="1319" spans="1:19" x14ac:dyDescent="0.3">
      <c r="A1319" t="s">
        <v>3562</v>
      </c>
      <c r="B1319" s="2">
        <v>45308</v>
      </c>
      <c r="C1319" t="s">
        <v>43</v>
      </c>
      <c r="D1319" t="s">
        <v>72</v>
      </c>
      <c r="E1319" t="s">
        <v>3563</v>
      </c>
      <c r="F1319" t="s">
        <v>115</v>
      </c>
      <c r="G1319" t="s">
        <v>154</v>
      </c>
      <c r="H1319" t="s">
        <v>80</v>
      </c>
      <c r="I1319" t="s">
        <v>26</v>
      </c>
      <c r="J1319">
        <v>2</v>
      </c>
      <c r="K1319">
        <v>290</v>
      </c>
      <c r="L1319">
        <v>580</v>
      </c>
      <c r="P1319">
        <v>0</v>
      </c>
      <c r="Q1319" t="s">
        <v>75</v>
      </c>
      <c r="R1319">
        <v>37</v>
      </c>
      <c r="S1319" t="s">
        <v>41</v>
      </c>
    </row>
    <row r="1320" spans="1:19" x14ac:dyDescent="0.3">
      <c r="A1320" t="s">
        <v>3564</v>
      </c>
      <c r="B1320" s="2">
        <v>45300</v>
      </c>
      <c r="C1320" t="s">
        <v>43</v>
      </c>
      <c r="D1320" t="s">
        <v>36</v>
      </c>
      <c r="E1320" t="s">
        <v>3565</v>
      </c>
      <c r="F1320" t="s">
        <v>115</v>
      </c>
      <c r="G1320" t="s">
        <v>3566</v>
      </c>
      <c r="H1320" t="s">
        <v>40</v>
      </c>
      <c r="I1320" t="s">
        <v>26</v>
      </c>
      <c r="J1320">
        <v>4</v>
      </c>
      <c r="K1320">
        <v>442</v>
      </c>
      <c r="L1320">
        <v>1768</v>
      </c>
      <c r="O1320">
        <v>350</v>
      </c>
      <c r="P1320">
        <v>10</v>
      </c>
      <c r="Q1320" t="s">
        <v>49</v>
      </c>
      <c r="R1320">
        <v>18</v>
      </c>
      <c r="S1320" t="s">
        <v>28</v>
      </c>
    </row>
    <row r="1321" spans="1:19" x14ac:dyDescent="0.3">
      <c r="A1321" t="s">
        <v>3567</v>
      </c>
      <c r="B1321" s="2">
        <v>45494</v>
      </c>
      <c r="C1321" t="s">
        <v>59</v>
      </c>
      <c r="D1321" t="s">
        <v>60</v>
      </c>
      <c r="E1321" t="s">
        <v>3568</v>
      </c>
      <c r="F1321" t="s">
        <v>62</v>
      </c>
      <c r="G1321" t="s">
        <v>94</v>
      </c>
      <c r="H1321" t="s">
        <v>80</v>
      </c>
      <c r="I1321" t="s">
        <v>26</v>
      </c>
      <c r="J1321">
        <v>4</v>
      </c>
      <c r="K1321">
        <v>173</v>
      </c>
      <c r="L1321">
        <v>692</v>
      </c>
      <c r="M1321">
        <v>4.5999999999999996</v>
      </c>
      <c r="N1321">
        <v>31</v>
      </c>
      <c r="P1321">
        <v>0</v>
      </c>
      <c r="Q1321" t="s">
        <v>34</v>
      </c>
      <c r="R1321">
        <v>18</v>
      </c>
      <c r="S1321" t="s">
        <v>28</v>
      </c>
    </row>
    <row r="1322" spans="1:19" x14ac:dyDescent="0.3">
      <c r="A1322" t="s">
        <v>3569</v>
      </c>
      <c r="B1322" s="2">
        <v>45434</v>
      </c>
      <c r="C1322" t="s">
        <v>71</v>
      </c>
      <c r="D1322" t="s">
        <v>72</v>
      </c>
      <c r="E1322" t="s">
        <v>3570</v>
      </c>
      <c r="F1322" t="s">
        <v>115</v>
      </c>
      <c r="G1322" t="s">
        <v>154</v>
      </c>
      <c r="H1322" t="s">
        <v>80</v>
      </c>
      <c r="I1322" t="s">
        <v>26</v>
      </c>
      <c r="J1322">
        <v>1</v>
      </c>
      <c r="K1322">
        <v>513</v>
      </c>
      <c r="L1322">
        <v>513</v>
      </c>
      <c r="P1322">
        <v>0</v>
      </c>
      <c r="Q1322" t="s">
        <v>49</v>
      </c>
      <c r="R1322">
        <v>29</v>
      </c>
      <c r="S1322" t="s">
        <v>41</v>
      </c>
    </row>
    <row r="1323" spans="1:19" x14ac:dyDescent="0.3">
      <c r="A1323" t="s">
        <v>3571</v>
      </c>
      <c r="B1323" s="2">
        <v>45443</v>
      </c>
      <c r="C1323" t="s">
        <v>71</v>
      </c>
      <c r="D1323" t="s">
        <v>21</v>
      </c>
      <c r="E1323" t="s">
        <v>3572</v>
      </c>
      <c r="F1323" t="s">
        <v>115</v>
      </c>
      <c r="G1323" t="s">
        <v>227</v>
      </c>
      <c r="H1323" t="s">
        <v>80</v>
      </c>
      <c r="I1323" t="s">
        <v>26</v>
      </c>
      <c r="J1323">
        <v>1</v>
      </c>
      <c r="K1323">
        <v>417</v>
      </c>
      <c r="L1323">
        <v>417</v>
      </c>
      <c r="M1323">
        <v>3.8</v>
      </c>
      <c r="N1323">
        <v>32</v>
      </c>
      <c r="P1323">
        <v>0</v>
      </c>
      <c r="Q1323" t="s">
        <v>49</v>
      </c>
      <c r="R1323">
        <v>38</v>
      </c>
      <c r="S1323" t="s">
        <v>41</v>
      </c>
    </row>
    <row r="1324" spans="1:19" x14ac:dyDescent="0.3">
      <c r="A1324" t="s">
        <v>3573</v>
      </c>
      <c r="B1324" s="2">
        <v>45329</v>
      </c>
      <c r="C1324" t="s">
        <v>113</v>
      </c>
      <c r="D1324" t="s">
        <v>72</v>
      </c>
      <c r="E1324" t="s">
        <v>3574</v>
      </c>
      <c r="F1324" t="s">
        <v>87</v>
      </c>
      <c r="G1324" t="s">
        <v>500</v>
      </c>
      <c r="H1324" t="s">
        <v>64</v>
      </c>
      <c r="I1324" t="s">
        <v>26</v>
      </c>
      <c r="J1324">
        <v>4</v>
      </c>
      <c r="K1324">
        <v>439</v>
      </c>
      <c r="L1324">
        <v>1756</v>
      </c>
      <c r="M1324">
        <v>4.9000000000000004</v>
      </c>
      <c r="N1324">
        <v>29</v>
      </c>
      <c r="O1324">
        <v>999</v>
      </c>
      <c r="P1324">
        <v>0</v>
      </c>
      <c r="Q1324" t="s">
        <v>75</v>
      </c>
      <c r="R1324">
        <v>45</v>
      </c>
      <c r="S1324" t="s">
        <v>41</v>
      </c>
    </row>
    <row r="1325" spans="1:19" x14ac:dyDescent="0.3">
      <c r="A1325" t="s">
        <v>3575</v>
      </c>
      <c r="B1325" s="2">
        <v>45454</v>
      </c>
      <c r="C1325" t="s">
        <v>30</v>
      </c>
      <c r="D1325" t="s">
        <v>36</v>
      </c>
      <c r="E1325" t="s">
        <v>3576</v>
      </c>
      <c r="F1325" t="s">
        <v>115</v>
      </c>
      <c r="G1325" t="s">
        <v>186</v>
      </c>
      <c r="H1325" t="s">
        <v>80</v>
      </c>
      <c r="I1325" t="s">
        <v>26</v>
      </c>
      <c r="J1325">
        <v>3</v>
      </c>
      <c r="K1325">
        <v>245</v>
      </c>
      <c r="L1325">
        <v>735</v>
      </c>
      <c r="M1325">
        <v>3.4</v>
      </c>
      <c r="N1325">
        <v>31</v>
      </c>
      <c r="O1325">
        <v>1000</v>
      </c>
      <c r="P1325">
        <v>15</v>
      </c>
      <c r="Q1325" t="s">
        <v>34</v>
      </c>
      <c r="R1325">
        <v>19</v>
      </c>
      <c r="S1325" t="s">
        <v>28</v>
      </c>
    </row>
    <row r="1326" spans="1:19" x14ac:dyDescent="0.3">
      <c r="A1326" t="s">
        <v>3577</v>
      </c>
      <c r="B1326" s="2">
        <v>45385</v>
      </c>
      <c r="C1326" t="s">
        <v>20</v>
      </c>
      <c r="D1326" t="s">
        <v>72</v>
      </c>
      <c r="E1326" t="s">
        <v>3578</v>
      </c>
      <c r="F1326" t="s">
        <v>115</v>
      </c>
      <c r="G1326" t="s">
        <v>109</v>
      </c>
      <c r="H1326" t="s">
        <v>64</v>
      </c>
      <c r="I1326" t="s">
        <v>26</v>
      </c>
      <c r="J1326">
        <v>1</v>
      </c>
      <c r="K1326">
        <v>396</v>
      </c>
      <c r="L1326">
        <v>396</v>
      </c>
      <c r="P1326">
        <v>0</v>
      </c>
      <c r="Q1326" t="s">
        <v>27</v>
      </c>
      <c r="R1326">
        <v>21</v>
      </c>
      <c r="S1326" t="s">
        <v>28</v>
      </c>
    </row>
    <row r="1327" spans="1:19" x14ac:dyDescent="0.3">
      <c r="A1327" t="s">
        <v>3579</v>
      </c>
      <c r="B1327" s="2">
        <v>45386</v>
      </c>
      <c r="C1327" t="s">
        <v>20</v>
      </c>
      <c r="D1327" t="s">
        <v>92</v>
      </c>
      <c r="E1327" t="s">
        <v>3580</v>
      </c>
      <c r="F1327" t="s">
        <v>46</v>
      </c>
      <c r="G1327" t="s">
        <v>3581</v>
      </c>
      <c r="H1327" t="s">
        <v>53</v>
      </c>
      <c r="I1327" t="s">
        <v>26</v>
      </c>
      <c r="J1327">
        <v>4</v>
      </c>
      <c r="K1327">
        <v>583</v>
      </c>
      <c r="L1327">
        <v>2332</v>
      </c>
      <c r="P1327">
        <v>0</v>
      </c>
      <c r="Q1327" t="s">
        <v>49</v>
      </c>
      <c r="R1327">
        <v>34</v>
      </c>
      <c r="S1327" t="s">
        <v>28</v>
      </c>
    </row>
    <row r="1328" spans="1:19" x14ac:dyDescent="0.3">
      <c r="A1328" t="s">
        <v>3582</v>
      </c>
      <c r="B1328" s="2">
        <v>45340</v>
      </c>
      <c r="C1328" t="s">
        <v>113</v>
      </c>
      <c r="D1328" t="s">
        <v>60</v>
      </c>
      <c r="E1328" t="s">
        <v>3583</v>
      </c>
      <c r="F1328" t="s">
        <v>62</v>
      </c>
      <c r="G1328" t="s">
        <v>154</v>
      </c>
      <c r="H1328" t="s">
        <v>80</v>
      </c>
      <c r="I1328" t="s">
        <v>26</v>
      </c>
      <c r="J1328">
        <v>1</v>
      </c>
      <c r="K1328">
        <v>323</v>
      </c>
      <c r="L1328">
        <v>323</v>
      </c>
      <c r="M1328">
        <v>3.9</v>
      </c>
      <c r="N1328">
        <v>41</v>
      </c>
      <c r="P1328">
        <v>0</v>
      </c>
      <c r="Q1328" t="s">
        <v>34</v>
      </c>
      <c r="R1328">
        <v>21</v>
      </c>
      <c r="S1328" t="s">
        <v>41</v>
      </c>
    </row>
    <row r="1329" spans="1:19" x14ac:dyDescent="0.3">
      <c r="A1329" t="s">
        <v>3584</v>
      </c>
      <c r="B1329" s="2">
        <v>45360</v>
      </c>
      <c r="C1329" t="s">
        <v>55</v>
      </c>
      <c r="D1329" t="s">
        <v>100</v>
      </c>
      <c r="E1329" t="s">
        <v>3585</v>
      </c>
      <c r="F1329" t="s">
        <v>23</v>
      </c>
      <c r="G1329" t="s">
        <v>154</v>
      </c>
      <c r="H1329" t="s">
        <v>80</v>
      </c>
      <c r="I1329" t="s">
        <v>26</v>
      </c>
      <c r="J1329">
        <v>3</v>
      </c>
      <c r="K1329">
        <v>313</v>
      </c>
      <c r="L1329">
        <v>939</v>
      </c>
      <c r="M1329">
        <v>3.1</v>
      </c>
      <c r="N1329">
        <v>40</v>
      </c>
      <c r="P1329">
        <v>0</v>
      </c>
      <c r="Q1329" t="s">
        <v>49</v>
      </c>
      <c r="R1329">
        <v>28</v>
      </c>
      <c r="S1329" t="s">
        <v>41</v>
      </c>
    </row>
    <row r="1330" spans="1:19" x14ac:dyDescent="0.3">
      <c r="A1330" t="s">
        <v>3586</v>
      </c>
      <c r="B1330" s="2">
        <v>45353</v>
      </c>
      <c r="C1330" t="s">
        <v>55</v>
      </c>
      <c r="D1330" t="s">
        <v>100</v>
      </c>
      <c r="E1330" t="s">
        <v>3587</v>
      </c>
      <c r="F1330" t="s">
        <v>62</v>
      </c>
      <c r="G1330" t="s">
        <v>3588</v>
      </c>
      <c r="H1330" t="s">
        <v>53</v>
      </c>
      <c r="I1330" t="s">
        <v>26</v>
      </c>
      <c r="J1330">
        <v>2</v>
      </c>
      <c r="K1330">
        <v>288</v>
      </c>
      <c r="L1330">
        <v>576</v>
      </c>
      <c r="M1330">
        <v>4.4000000000000004</v>
      </c>
      <c r="N1330">
        <v>40</v>
      </c>
      <c r="P1330">
        <v>0</v>
      </c>
      <c r="Q1330" t="s">
        <v>49</v>
      </c>
      <c r="R1330">
        <v>39</v>
      </c>
      <c r="S1330" t="s">
        <v>28</v>
      </c>
    </row>
    <row r="1331" spans="1:19" x14ac:dyDescent="0.3">
      <c r="A1331" t="s">
        <v>3589</v>
      </c>
      <c r="B1331" s="2">
        <v>45479</v>
      </c>
      <c r="C1331" t="s">
        <v>59</v>
      </c>
      <c r="D1331" t="s">
        <v>100</v>
      </c>
      <c r="E1331" t="s">
        <v>3590</v>
      </c>
      <c r="F1331" t="s">
        <v>46</v>
      </c>
      <c r="G1331" t="s">
        <v>3591</v>
      </c>
      <c r="H1331" t="s">
        <v>80</v>
      </c>
      <c r="I1331" t="s">
        <v>26</v>
      </c>
      <c r="J1331">
        <v>1</v>
      </c>
      <c r="K1331">
        <v>271</v>
      </c>
      <c r="L1331">
        <v>271</v>
      </c>
      <c r="M1331">
        <v>4.3</v>
      </c>
      <c r="N1331">
        <v>41</v>
      </c>
      <c r="O1331">
        <v>40</v>
      </c>
      <c r="P1331">
        <v>10</v>
      </c>
      <c r="Q1331" t="s">
        <v>49</v>
      </c>
      <c r="R1331">
        <v>43</v>
      </c>
      <c r="S1331" t="s">
        <v>41</v>
      </c>
    </row>
    <row r="1332" spans="1:19" x14ac:dyDescent="0.3">
      <c r="A1332" t="s">
        <v>3592</v>
      </c>
      <c r="B1332" s="2">
        <v>45527</v>
      </c>
      <c r="C1332" t="s">
        <v>82</v>
      </c>
      <c r="D1332" t="s">
        <v>21</v>
      </c>
      <c r="E1332" t="s">
        <v>3593</v>
      </c>
      <c r="F1332" t="s">
        <v>46</v>
      </c>
      <c r="G1332" t="s">
        <v>3594</v>
      </c>
      <c r="H1332" t="s">
        <v>40</v>
      </c>
      <c r="I1332" t="s">
        <v>26</v>
      </c>
      <c r="J1332">
        <v>3</v>
      </c>
      <c r="K1332">
        <v>154</v>
      </c>
      <c r="L1332">
        <v>462</v>
      </c>
      <c r="P1332">
        <v>0</v>
      </c>
      <c r="Q1332" t="s">
        <v>49</v>
      </c>
      <c r="R1332">
        <v>21</v>
      </c>
      <c r="S1332" t="s">
        <v>28</v>
      </c>
    </row>
    <row r="1333" spans="1:19" x14ac:dyDescent="0.3">
      <c r="A1333" t="s">
        <v>3595</v>
      </c>
      <c r="B1333" s="2">
        <v>45469</v>
      </c>
      <c r="C1333" t="s">
        <v>30</v>
      </c>
      <c r="D1333" t="s">
        <v>72</v>
      </c>
      <c r="E1333" t="s">
        <v>3596</v>
      </c>
      <c r="F1333" t="s">
        <v>115</v>
      </c>
      <c r="G1333" t="s">
        <v>1246</v>
      </c>
      <c r="H1333" t="s">
        <v>80</v>
      </c>
      <c r="I1333" t="s">
        <v>26</v>
      </c>
      <c r="J1333">
        <v>4</v>
      </c>
      <c r="K1333">
        <v>303</v>
      </c>
      <c r="L1333">
        <v>1212</v>
      </c>
      <c r="M1333">
        <v>4.4000000000000004</v>
      </c>
      <c r="N1333">
        <v>42</v>
      </c>
      <c r="O1333">
        <v>120</v>
      </c>
      <c r="P1333">
        <v>20</v>
      </c>
      <c r="Q1333" t="s">
        <v>75</v>
      </c>
      <c r="R1333">
        <v>18</v>
      </c>
      <c r="S1333" t="s">
        <v>41</v>
      </c>
    </row>
    <row r="1334" spans="1:19" x14ac:dyDescent="0.3">
      <c r="A1334" t="s">
        <v>3597</v>
      </c>
      <c r="B1334" s="2">
        <v>45369</v>
      </c>
      <c r="C1334" t="s">
        <v>55</v>
      </c>
      <c r="D1334" t="s">
        <v>44</v>
      </c>
      <c r="E1334" t="s">
        <v>3598</v>
      </c>
      <c r="F1334" t="s">
        <v>115</v>
      </c>
      <c r="G1334" t="s">
        <v>3599</v>
      </c>
      <c r="H1334" t="s">
        <v>40</v>
      </c>
      <c r="I1334" t="s">
        <v>26</v>
      </c>
      <c r="J1334">
        <v>1</v>
      </c>
      <c r="K1334">
        <v>405</v>
      </c>
      <c r="L1334">
        <v>405</v>
      </c>
      <c r="P1334">
        <v>0</v>
      </c>
      <c r="Q1334" t="s">
        <v>34</v>
      </c>
      <c r="R1334">
        <v>24</v>
      </c>
      <c r="S1334" t="s">
        <v>28</v>
      </c>
    </row>
    <row r="1335" spans="1:19" x14ac:dyDescent="0.3">
      <c r="A1335" t="s">
        <v>3600</v>
      </c>
      <c r="B1335" s="2">
        <v>45408</v>
      </c>
      <c r="C1335" t="s">
        <v>20</v>
      </c>
      <c r="D1335" t="s">
        <v>21</v>
      </c>
      <c r="E1335" t="s">
        <v>3601</v>
      </c>
      <c r="F1335" t="s">
        <v>46</v>
      </c>
      <c r="G1335" t="s">
        <v>3602</v>
      </c>
      <c r="H1335" t="s">
        <v>40</v>
      </c>
      <c r="I1335" t="s">
        <v>26</v>
      </c>
      <c r="J1335">
        <v>1</v>
      </c>
      <c r="K1335">
        <v>176</v>
      </c>
      <c r="L1335">
        <v>176</v>
      </c>
      <c r="P1335">
        <v>0</v>
      </c>
      <c r="Q1335" t="s">
        <v>34</v>
      </c>
      <c r="R1335">
        <v>47</v>
      </c>
      <c r="S1335" t="s">
        <v>41</v>
      </c>
    </row>
    <row r="1336" spans="1:19" x14ac:dyDescent="0.3">
      <c r="A1336" t="s">
        <v>3603</v>
      </c>
      <c r="B1336" s="2">
        <v>45411</v>
      </c>
      <c r="C1336" t="s">
        <v>20</v>
      </c>
      <c r="D1336" t="s">
        <v>44</v>
      </c>
      <c r="E1336" t="s">
        <v>3604</v>
      </c>
      <c r="F1336" t="s">
        <v>46</v>
      </c>
      <c r="G1336" t="s">
        <v>3605</v>
      </c>
      <c r="H1336" t="s">
        <v>48</v>
      </c>
      <c r="I1336" t="s">
        <v>33</v>
      </c>
      <c r="J1336">
        <v>4</v>
      </c>
      <c r="K1336">
        <v>341</v>
      </c>
      <c r="L1336">
        <v>1364</v>
      </c>
      <c r="P1336">
        <v>0</v>
      </c>
      <c r="Q1336" t="s">
        <v>34</v>
      </c>
      <c r="R1336">
        <v>35</v>
      </c>
      <c r="S1336" t="s">
        <v>41</v>
      </c>
    </row>
    <row r="1337" spans="1:19" x14ac:dyDescent="0.3">
      <c r="A1337" t="s">
        <v>3606</v>
      </c>
      <c r="B1337" s="2">
        <v>45494</v>
      </c>
      <c r="C1337" t="s">
        <v>59</v>
      </c>
      <c r="D1337" t="s">
        <v>60</v>
      </c>
      <c r="E1337" t="s">
        <v>3607</v>
      </c>
      <c r="F1337" t="s">
        <v>46</v>
      </c>
      <c r="G1337" t="s">
        <v>3089</v>
      </c>
      <c r="H1337" t="s">
        <v>25</v>
      </c>
      <c r="I1337" t="s">
        <v>26</v>
      </c>
      <c r="J1337">
        <v>2</v>
      </c>
      <c r="K1337">
        <v>422</v>
      </c>
      <c r="L1337">
        <v>844</v>
      </c>
      <c r="O1337">
        <v>159</v>
      </c>
      <c r="P1337">
        <v>40</v>
      </c>
      <c r="Q1337" t="s">
        <v>49</v>
      </c>
      <c r="R1337">
        <v>26</v>
      </c>
      <c r="S1337" t="s">
        <v>28</v>
      </c>
    </row>
    <row r="1338" spans="1:19" x14ac:dyDescent="0.3">
      <c r="A1338" t="s">
        <v>3608</v>
      </c>
      <c r="B1338" s="2">
        <v>45428</v>
      </c>
      <c r="C1338" t="s">
        <v>71</v>
      </c>
      <c r="D1338" t="s">
        <v>92</v>
      </c>
      <c r="E1338" t="s">
        <v>3609</v>
      </c>
      <c r="F1338" t="s">
        <v>192</v>
      </c>
      <c r="G1338" t="s">
        <v>109</v>
      </c>
      <c r="H1338" t="s">
        <v>64</v>
      </c>
      <c r="I1338" t="s">
        <v>26</v>
      </c>
      <c r="J1338">
        <v>4</v>
      </c>
      <c r="K1338">
        <v>282</v>
      </c>
      <c r="L1338">
        <v>1128</v>
      </c>
      <c r="O1338">
        <v>120</v>
      </c>
      <c r="P1338">
        <v>20</v>
      </c>
      <c r="Q1338" t="s">
        <v>75</v>
      </c>
      <c r="R1338">
        <v>46</v>
      </c>
      <c r="S1338" t="s">
        <v>28</v>
      </c>
    </row>
    <row r="1339" spans="1:19" x14ac:dyDescent="0.3">
      <c r="A1339" t="s">
        <v>3610</v>
      </c>
      <c r="B1339" s="2">
        <v>45453</v>
      </c>
      <c r="C1339" t="s">
        <v>30</v>
      </c>
      <c r="D1339" t="s">
        <v>44</v>
      </c>
      <c r="E1339" t="s">
        <v>3611</v>
      </c>
      <c r="F1339" t="s">
        <v>46</v>
      </c>
      <c r="G1339" t="s">
        <v>109</v>
      </c>
      <c r="H1339" t="s">
        <v>64</v>
      </c>
      <c r="I1339" t="s">
        <v>26</v>
      </c>
      <c r="J1339">
        <v>1</v>
      </c>
      <c r="K1339">
        <v>138</v>
      </c>
      <c r="L1339">
        <v>138</v>
      </c>
      <c r="O1339">
        <v>999</v>
      </c>
      <c r="P1339">
        <v>0</v>
      </c>
      <c r="Q1339" t="s">
        <v>49</v>
      </c>
      <c r="R1339">
        <v>20</v>
      </c>
      <c r="S1339" t="s">
        <v>28</v>
      </c>
    </row>
    <row r="1340" spans="1:19" x14ac:dyDescent="0.3">
      <c r="A1340" t="s">
        <v>3612</v>
      </c>
      <c r="B1340" s="2">
        <v>45367</v>
      </c>
      <c r="C1340" t="s">
        <v>55</v>
      </c>
      <c r="D1340" t="s">
        <v>100</v>
      </c>
      <c r="E1340" t="s">
        <v>3613</v>
      </c>
      <c r="F1340" t="s">
        <v>192</v>
      </c>
      <c r="G1340" t="s">
        <v>53</v>
      </c>
      <c r="H1340" t="s">
        <v>53</v>
      </c>
      <c r="I1340" t="s">
        <v>26</v>
      </c>
      <c r="J1340">
        <v>4</v>
      </c>
      <c r="K1340">
        <v>489</v>
      </c>
      <c r="L1340">
        <v>1956</v>
      </c>
      <c r="P1340">
        <v>0</v>
      </c>
      <c r="Q1340" t="s">
        <v>49</v>
      </c>
      <c r="R1340">
        <v>25</v>
      </c>
      <c r="S1340" t="s">
        <v>28</v>
      </c>
    </row>
    <row r="1341" spans="1:19" x14ac:dyDescent="0.3">
      <c r="A1341" t="s">
        <v>3614</v>
      </c>
      <c r="B1341" s="2">
        <v>45518</v>
      </c>
      <c r="C1341" t="s">
        <v>82</v>
      </c>
      <c r="D1341" t="s">
        <v>72</v>
      </c>
      <c r="E1341" t="s">
        <v>3615</v>
      </c>
      <c r="F1341" t="s">
        <v>46</v>
      </c>
      <c r="G1341" t="s">
        <v>3616</v>
      </c>
      <c r="H1341" t="s">
        <v>80</v>
      </c>
      <c r="I1341" t="s">
        <v>26</v>
      </c>
      <c r="J1341">
        <v>3</v>
      </c>
      <c r="K1341">
        <v>383</v>
      </c>
      <c r="L1341">
        <v>1149</v>
      </c>
      <c r="P1341">
        <v>0</v>
      </c>
      <c r="Q1341" t="s">
        <v>34</v>
      </c>
      <c r="R1341">
        <v>46</v>
      </c>
      <c r="S1341" t="s">
        <v>28</v>
      </c>
    </row>
    <row r="1342" spans="1:19" x14ac:dyDescent="0.3">
      <c r="A1342" t="s">
        <v>3617</v>
      </c>
      <c r="B1342" s="2">
        <v>45326</v>
      </c>
      <c r="C1342" t="s">
        <v>113</v>
      </c>
      <c r="D1342" t="s">
        <v>60</v>
      </c>
      <c r="E1342" t="s">
        <v>3618</v>
      </c>
      <c r="F1342" t="s">
        <v>3619</v>
      </c>
      <c r="G1342" t="s">
        <v>3620</v>
      </c>
      <c r="H1342" t="s">
        <v>53</v>
      </c>
      <c r="I1342" t="s">
        <v>26</v>
      </c>
      <c r="J1342">
        <v>4</v>
      </c>
      <c r="K1342">
        <v>401</v>
      </c>
      <c r="L1342">
        <v>1604</v>
      </c>
      <c r="P1342">
        <v>0</v>
      </c>
      <c r="Q1342" t="s">
        <v>49</v>
      </c>
      <c r="R1342">
        <v>41</v>
      </c>
      <c r="S1342" t="s">
        <v>41</v>
      </c>
    </row>
    <row r="1343" spans="1:19" x14ac:dyDescent="0.3">
      <c r="A1343" t="s">
        <v>3621</v>
      </c>
      <c r="B1343" s="2">
        <v>45292</v>
      </c>
      <c r="C1343" t="s">
        <v>43</v>
      </c>
      <c r="D1343" t="s">
        <v>44</v>
      </c>
      <c r="E1343" t="s">
        <v>3622</v>
      </c>
      <c r="F1343" t="s">
        <v>46</v>
      </c>
      <c r="G1343" t="s">
        <v>3623</v>
      </c>
      <c r="H1343" t="s">
        <v>48</v>
      </c>
      <c r="I1343" t="s">
        <v>33</v>
      </c>
      <c r="J1343">
        <v>1</v>
      </c>
      <c r="K1343">
        <v>232</v>
      </c>
      <c r="L1343">
        <v>232</v>
      </c>
      <c r="M1343">
        <v>4.0999999999999996</v>
      </c>
      <c r="N1343">
        <v>30</v>
      </c>
      <c r="O1343">
        <v>100</v>
      </c>
      <c r="P1343">
        <v>50</v>
      </c>
      <c r="Q1343" t="s">
        <v>27</v>
      </c>
      <c r="R1343">
        <v>36</v>
      </c>
      <c r="S1343" t="s">
        <v>28</v>
      </c>
    </row>
    <row r="1344" spans="1:19" x14ac:dyDescent="0.3">
      <c r="A1344" t="s">
        <v>3624</v>
      </c>
      <c r="B1344" s="2">
        <v>45331</v>
      </c>
      <c r="C1344" t="s">
        <v>113</v>
      </c>
      <c r="D1344" t="s">
        <v>21</v>
      </c>
      <c r="E1344" t="s">
        <v>3625</v>
      </c>
      <c r="F1344" t="s">
        <v>46</v>
      </c>
      <c r="G1344" t="s">
        <v>2170</v>
      </c>
      <c r="H1344" t="s">
        <v>80</v>
      </c>
      <c r="I1344" t="s">
        <v>26</v>
      </c>
      <c r="J1344">
        <v>4</v>
      </c>
      <c r="K1344">
        <v>446</v>
      </c>
      <c r="L1344">
        <v>1784</v>
      </c>
      <c r="M1344">
        <v>4.2</v>
      </c>
      <c r="N1344">
        <v>24</v>
      </c>
      <c r="P1344">
        <v>0</v>
      </c>
      <c r="Q1344" t="s">
        <v>49</v>
      </c>
      <c r="R1344">
        <v>21</v>
      </c>
      <c r="S1344" t="s">
        <v>28</v>
      </c>
    </row>
    <row r="1345" spans="1:19" x14ac:dyDescent="0.3">
      <c r="A1345" t="s">
        <v>3626</v>
      </c>
      <c r="B1345" s="2">
        <v>45355</v>
      </c>
      <c r="C1345" t="s">
        <v>55</v>
      </c>
      <c r="D1345" t="s">
        <v>44</v>
      </c>
      <c r="E1345" t="s">
        <v>3627</v>
      </c>
      <c r="F1345" t="s">
        <v>46</v>
      </c>
      <c r="G1345" t="s">
        <v>3628</v>
      </c>
      <c r="H1345" t="s">
        <v>40</v>
      </c>
      <c r="I1345" t="s">
        <v>26</v>
      </c>
      <c r="J1345">
        <v>2</v>
      </c>
      <c r="K1345">
        <v>149</v>
      </c>
      <c r="L1345">
        <v>298</v>
      </c>
      <c r="M1345">
        <v>4.4000000000000004</v>
      </c>
      <c r="N1345">
        <v>26</v>
      </c>
      <c r="O1345">
        <v>100</v>
      </c>
      <c r="P1345">
        <v>50</v>
      </c>
      <c r="Q1345" t="s">
        <v>27</v>
      </c>
      <c r="R1345">
        <v>35</v>
      </c>
      <c r="S1345" t="s">
        <v>28</v>
      </c>
    </row>
    <row r="1346" spans="1:19" x14ac:dyDescent="0.3">
      <c r="A1346" t="s">
        <v>3629</v>
      </c>
      <c r="B1346" s="2">
        <v>45441</v>
      </c>
      <c r="C1346" t="s">
        <v>71</v>
      </c>
      <c r="D1346" t="s">
        <v>72</v>
      </c>
      <c r="E1346" t="s">
        <v>3630</v>
      </c>
      <c r="F1346" t="s">
        <v>46</v>
      </c>
      <c r="G1346" t="s">
        <v>2101</v>
      </c>
      <c r="H1346" t="s">
        <v>80</v>
      </c>
      <c r="I1346" t="s">
        <v>26</v>
      </c>
      <c r="J1346">
        <v>4</v>
      </c>
      <c r="K1346">
        <v>254</v>
      </c>
      <c r="L1346">
        <v>1016</v>
      </c>
      <c r="O1346">
        <v>150</v>
      </c>
      <c r="P1346">
        <v>30</v>
      </c>
      <c r="Q1346" t="s">
        <v>49</v>
      </c>
      <c r="R1346">
        <v>37</v>
      </c>
      <c r="S1346" t="s">
        <v>28</v>
      </c>
    </row>
    <row r="1347" spans="1:19" x14ac:dyDescent="0.3">
      <c r="A1347" t="s">
        <v>3631</v>
      </c>
      <c r="B1347" s="2">
        <v>45351</v>
      </c>
      <c r="C1347" t="s">
        <v>113</v>
      </c>
      <c r="D1347" t="s">
        <v>92</v>
      </c>
      <c r="E1347" t="s">
        <v>3632</v>
      </c>
      <c r="F1347" t="s">
        <v>46</v>
      </c>
      <c r="G1347" t="s">
        <v>109</v>
      </c>
      <c r="H1347" t="s">
        <v>64</v>
      </c>
      <c r="I1347" t="s">
        <v>26</v>
      </c>
      <c r="J1347">
        <v>2</v>
      </c>
      <c r="K1347">
        <v>186</v>
      </c>
      <c r="L1347">
        <v>372</v>
      </c>
      <c r="O1347">
        <v>40</v>
      </c>
      <c r="P1347">
        <v>10</v>
      </c>
      <c r="Q1347" t="s">
        <v>75</v>
      </c>
      <c r="R1347">
        <v>44</v>
      </c>
      <c r="S1347" t="s">
        <v>28</v>
      </c>
    </row>
    <row r="1348" spans="1:19" x14ac:dyDescent="0.3">
      <c r="A1348" t="s">
        <v>3633</v>
      </c>
      <c r="B1348" s="2">
        <v>45355</v>
      </c>
      <c r="C1348" t="s">
        <v>55</v>
      </c>
      <c r="D1348" t="s">
        <v>44</v>
      </c>
      <c r="E1348" t="s">
        <v>3634</v>
      </c>
      <c r="F1348" t="s">
        <v>46</v>
      </c>
      <c r="G1348" t="s">
        <v>3635</v>
      </c>
      <c r="H1348" t="s">
        <v>53</v>
      </c>
      <c r="I1348" t="s">
        <v>26</v>
      </c>
      <c r="J1348">
        <v>3</v>
      </c>
      <c r="K1348">
        <v>184</v>
      </c>
      <c r="L1348">
        <v>552</v>
      </c>
      <c r="M1348">
        <v>3.5</v>
      </c>
      <c r="N1348">
        <v>27</v>
      </c>
      <c r="O1348">
        <v>999</v>
      </c>
      <c r="P1348">
        <v>0</v>
      </c>
      <c r="Q1348" t="s">
        <v>75</v>
      </c>
      <c r="R1348">
        <v>28</v>
      </c>
      <c r="S1348" t="s">
        <v>41</v>
      </c>
    </row>
    <row r="1349" spans="1:19" x14ac:dyDescent="0.3">
      <c r="A1349" t="s">
        <v>3636</v>
      </c>
      <c r="B1349" s="2">
        <v>45384</v>
      </c>
      <c r="C1349" t="s">
        <v>20</v>
      </c>
      <c r="D1349" t="s">
        <v>36</v>
      </c>
      <c r="E1349" t="s">
        <v>3637</v>
      </c>
      <c r="F1349" t="s">
        <v>46</v>
      </c>
      <c r="G1349" t="s">
        <v>154</v>
      </c>
      <c r="H1349" t="s">
        <v>80</v>
      </c>
      <c r="I1349" t="s">
        <v>26</v>
      </c>
      <c r="J1349">
        <v>2</v>
      </c>
      <c r="K1349">
        <v>411</v>
      </c>
      <c r="L1349">
        <v>822</v>
      </c>
      <c r="O1349">
        <v>100</v>
      </c>
      <c r="P1349">
        <v>50</v>
      </c>
      <c r="Q1349" t="s">
        <v>34</v>
      </c>
      <c r="R1349">
        <v>44</v>
      </c>
      <c r="S1349" t="s">
        <v>28</v>
      </c>
    </row>
    <row r="1350" spans="1:19" x14ac:dyDescent="0.3">
      <c r="A1350" t="s">
        <v>3638</v>
      </c>
      <c r="B1350" s="2">
        <v>45363</v>
      </c>
      <c r="C1350" t="s">
        <v>55</v>
      </c>
      <c r="D1350" t="s">
        <v>36</v>
      </c>
      <c r="E1350" t="s">
        <v>3639</v>
      </c>
      <c r="F1350" t="s">
        <v>46</v>
      </c>
      <c r="G1350" t="s">
        <v>1719</v>
      </c>
      <c r="H1350" t="s">
        <v>80</v>
      </c>
      <c r="I1350" t="s">
        <v>26</v>
      </c>
      <c r="J1350">
        <v>4</v>
      </c>
      <c r="K1350">
        <v>144</v>
      </c>
      <c r="L1350">
        <v>576</v>
      </c>
      <c r="P1350">
        <v>0</v>
      </c>
      <c r="Q1350" t="s">
        <v>49</v>
      </c>
      <c r="R1350">
        <v>49</v>
      </c>
      <c r="S1350" t="s">
        <v>28</v>
      </c>
    </row>
    <row r="1351" spans="1:19" x14ac:dyDescent="0.3">
      <c r="A1351" t="s">
        <v>3640</v>
      </c>
      <c r="B1351" s="2">
        <v>45302</v>
      </c>
      <c r="C1351" t="s">
        <v>43</v>
      </c>
      <c r="D1351" t="s">
        <v>92</v>
      </c>
      <c r="E1351" t="s">
        <v>3641</v>
      </c>
      <c r="F1351" t="s">
        <v>46</v>
      </c>
      <c r="G1351" t="s">
        <v>3642</v>
      </c>
      <c r="H1351" t="s">
        <v>48</v>
      </c>
      <c r="I1351" t="s">
        <v>33</v>
      </c>
      <c r="J1351">
        <v>1</v>
      </c>
      <c r="K1351">
        <v>156</v>
      </c>
      <c r="L1351">
        <v>156</v>
      </c>
      <c r="P1351">
        <v>0</v>
      </c>
      <c r="Q1351" t="s">
        <v>27</v>
      </c>
      <c r="R1351">
        <v>31</v>
      </c>
      <c r="S1351" t="s">
        <v>28</v>
      </c>
    </row>
    <row r="1352" spans="1:19" x14ac:dyDescent="0.3">
      <c r="A1352" t="s">
        <v>3643</v>
      </c>
      <c r="B1352" s="2">
        <v>45396</v>
      </c>
      <c r="C1352" t="s">
        <v>20</v>
      </c>
      <c r="D1352" t="s">
        <v>60</v>
      </c>
      <c r="E1352" t="s">
        <v>3644</v>
      </c>
      <c r="F1352" t="s">
        <v>23</v>
      </c>
      <c r="G1352" t="s">
        <v>3645</v>
      </c>
      <c r="H1352" t="s">
        <v>40</v>
      </c>
      <c r="I1352" t="s">
        <v>26</v>
      </c>
      <c r="J1352">
        <v>2</v>
      </c>
      <c r="K1352">
        <v>120</v>
      </c>
      <c r="L1352">
        <v>240</v>
      </c>
      <c r="M1352">
        <v>4.4000000000000004</v>
      </c>
      <c r="N1352">
        <v>24</v>
      </c>
      <c r="O1352">
        <v>100</v>
      </c>
      <c r="P1352">
        <v>50</v>
      </c>
      <c r="Q1352" t="s">
        <v>27</v>
      </c>
      <c r="R1352">
        <v>42</v>
      </c>
      <c r="S1352" t="s">
        <v>41</v>
      </c>
    </row>
    <row r="1353" spans="1:19" x14ac:dyDescent="0.3">
      <c r="A1353" t="s">
        <v>3646</v>
      </c>
      <c r="B1353" s="2">
        <v>45520</v>
      </c>
      <c r="C1353" t="s">
        <v>82</v>
      </c>
      <c r="D1353" t="s">
        <v>21</v>
      </c>
      <c r="E1353" t="s">
        <v>3647</v>
      </c>
      <c r="F1353" t="s">
        <v>46</v>
      </c>
      <c r="G1353" t="s">
        <v>158</v>
      </c>
      <c r="H1353" t="s">
        <v>40</v>
      </c>
      <c r="I1353" t="s">
        <v>26</v>
      </c>
      <c r="J1353">
        <v>3</v>
      </c>
      <c r="K1353">
        <v>518</v>
      </c>
      <c r="L1353">
        <v>1554</v>
      </c>
      <c r="O1353">
        <v>100</v>
      </c>
      <c r="P1353">
        <v>50</v>
      </c>
      <c r="Q1353" t="s">
        <v>49</v>
      </c>
      <c r="R1353">
        <v>35</v>
      </c>
      <c r="S1353" t="s">
        <v>41</v>
      </c>
    </row>
    <row r="1354" spans="1:19" x14ac:dyDescent="0.3">
      <c r="A1354" t="s">
        <v>3648</v>
      </c>
      <c r="B1354" s="2">
        <v>45305</v>
      </c>
      <c r="C1354" t="s">
        <v>43</v>
      </c>
      <c r="D1354" t="s">
        <v>60</v>
      </c>
      <c r="E1354" t="s">
        <v>3649</v>
      </c>
      <c r="F1354" t="s">
        <v>137</v>
      </c>
      <c r="G1354" t="s">
        <v>3650</v>
      </c>
      <c r="H1354" t="s">
        <v>48</v>
      </c>
      <c r="I1354" t="s">
        <v>33</v>
      </c>
      <c r="J1354">
        <v>2</v>
      </c>
      <c r="K1354">
        <v>156</v>
      </c>
      <c r="L1354">
        <v>312</v>
      </c>
      <c r="M1354">
        <v>2.8</v>
      </c>
      <c r="N1354">
        <v>27</v>
      </c>
      <c r="P1354">
        <v>0</v>
      </c>
      <c r="Q1354" t="s">
        <v>27</v>
      </c>
      <c r="R1354">
        <v>45</v>
      </c>
      <c r="S1354" t="s">
        <v>28</v>
      </c>
    </row>
    <row r="1355" spans="1:19" x14ac:dyDescent="0.3">
      <c r="A1355" t="s">
        <v>3651</v>
      </c>
      <c r="B1355" s="2">
        <v>45351</v>
      </c>
      <c r="C1355" t="s">
        <v>113</v>
      </c>
      <c r="D1355" t="s">
        <v>92</v>
      </c>
      <c r="E1355" t="s">
        <v>3652</v>
      </c>
      <c r="F1355" t="s">
        <v>46</v>
      </c>
      <c r="G1355" t="s">
        <v>94</v>
      </c>
      <c r="H1355" t="s">
        <v>80</v>
      </c>
      <c r="I1355" t="s">
        <v>26</v>
      </c>
      <c r="J1355">
        <v>2</v>
      </c>
      <c r="K1355">
        <v>260</v>
      </c>
      <c r="L1355">
        <v>520</v>
      </c>
      <c r="P1355">
        <v>0</v>
      </c>
      <c r="Q1355" t="s">
        <v>75</v>
      </c>
      <c r="R1355">
        <v>45</v>
      </c>
      <c r="S1355" t="s">
        <v>28</v>
      </c>
    </row>
    <row r="1356" spans="1:19" x14ac:dyDescent="0.3">
      <c r="A1356" t="s">
        <v>3653</v>
      </c>
      <c r="B1356" s="2">
        <v>45321</v>
      </c>
      <c r="C1356" t="s">
        <v>43</v>
      </c>
      <c r="D1356" t="s">
        <v>36</v>
      </c>
      <c r="E1356" t="s">
        <v>3654</v>
      </c>
      <c r="F1356" t="s">
        <v>46</v>
      </c>
      <c r="G1356" t="s">
        <v>3655</v>
      </c>
      <c r="H1356" t="s">
        <v>40</v>
      </c>
      <c r="I1356" t="s">
        <v>26</v>
      </c>
      <c r="J1356">
        <v>2</v>
      </c>
      <c r="K1356">
        <v>351</v>
      </c>
      <c r="L1356">
        <v>702</v>
      </c>
      <c r="M1356">
        <v>4.5</v>
      </c>
      <c r="N1356">
        <v>26</v>
      </c>
      <c r="P1356">
        <v>0</v>
      </c>
      <c r="Q1356" t="s">
        <v>27</v>
      </c>
      <c r="R1356">
        <v>46</v>
      </c>
      <c r="S1356" t="s">
        <v>41</v>
      </c>
    </row>
    <row r="1357" spans="1:19" x14ac:dyDescent="0.3">
      <c r="A1357" t="s">
        <v>3656</v>
      </c>
      <c r="B1357" s="2">
        <v>45326</v>
      </c>
      <c r="C1357" t="s">
        <v>113</v>
      </c>
      <c r="D1357" t="s">
        <v>60</v>
      </c>
      <c r="E1357" t="s">
        <v>3657</v>
      </c>
      <c r="F1357" t="s">
        <v>46</v>
      </c>
      <c r="G1357" t="s">
        <v>3658</v>
      </c>
      <c r="H1357" t="s">
        <v>64</v>
      </c>
      <c r="I1357" t="s">
        <v>26</v>
      </c>
      <c r="J1357">
        <v>3</v>
      </c>
      <c r="K1357">
        <v>255</v>
      </c>
      <c r="L1357">
        <v>765</v>
      </c>
      <c r="P1357">
        <v>0</v>
      </c>
      <c r="Q1357" t="s">
        <v>34</v>
      </c>
      <c r="R1357">
        <v>33</v>
      </c>
      <c r="S1357" t="s">
        <v>41</v>
      </c>
    </row>
    <row r="1358" spans="1:19" x14ac:dyDescent="0.3">
      <c r="A1358" t="s">
        <v>3659</v>
      </c>
      <c r="B1358" s="2">
        <v>45504</v>
      </c>
      <c r="C1358" t="s">
        <v>59</v>
      </c>
      <c r="D1358" t="s">
        <v>72</v>
      </c>
      <c r="E1358" t="s">
        <v>3660</v>
      </c>
      <c r="F1358" t="s">
        <v>46</v>
      </c>
      <c r="G1358" t="s">
        <v>154</v>
      </c>
      <c r="H1358" t="s">
        <v>80</v>
      </c>
      <c r="I1358" t="s">
        <v>26</v>
      </c>
      <c r="J1358">
        <v>4</v>
      </c>
      <c r="K1358">
        <v>508</v>
      </c>
      <c r="L1358">
        <v>2032</v>
      </c>
      <c r="P1358">
        <v>0</v>
      </c>
      <c r="Q1358" t="s">
        <v>75</v>
      </c>
      <c r="R1358">
        <v>20</v>
      </c>
      <c r="S1358" t="s">
        <v>41</v>
      </c>
    </row>
    <row r="1359" spans="1:19" x14ac:dyDescent="0.3">
      <c r="A1359" t="s">
        <v>3661</v>
      </c>
      <c r="B1359" s="2">
        <v>45456</v>
      </c>
      <c r="C1359" t="s">
        <v>30</v>
      </c>
      <c r="D1359" t="s">
        <v>92</v>
      </c>
      <c r="E1359" t="s">
        <v>3662</v>
      </c>
      <c r="F1359" t="s">
        <v>115</v>
      </c>
      <c r="G1359" t="s">
        <v>3663</v>
      </c>
      <c r="H1359" t="s">
        <v>48</v>
      </c>
      <c r="I1359" t="s">
        <v>33</v>
      </c>
      <c r="J1359">
        <v>2</v>
      </c>
      <c r="K1359">
        <v>307</v>
      </c>
      <c r="L1359">
        <v>614</v>
      </c>
      <c r="M1359">
        <v>3.9</v>
      </c>
      <c r="N1359">
        <v>30</v>
      </c>
      <c r="P1359">
        <v>0</v>
      </c>
      <c r="Q1359" t="s">
        <v>75</v>
      </c>
      <c r="R1359">
        <v>32</v>
      </c>
      <c r="S1359" t="s">
        <v>28</v>
      </c>
    </row>
    <row r="1360" spans="1:19" x14ac:dyDescent="0.3">
      <c r="A1360" t="s">
        <v>3664</v>
      </c>
      <c r="B1360" s="2">
        <v>45296</v>
      </c>
      <c r="C1360" t="s">
        <v>43</v>
      </c>
      <c r="D1360" t="s">
        <v>21</v>
      </c>
      <c r="E1360" t="s">
        <v>3665</v>
      </c>
      <c r="F1360" t="s">
        <v>46</v>
      </c>
      <c r="G1360" t="s">
        <v>3666</v>
      </c>
      <c r="H1360" t="s">
        <v>64</v>
      </c>
      <c r="I1360" t="s">
        <v>26</v>
      </c>
      <c r="J1360">
        <v>2</v>
      </c>
      <c r="K1360">
        <v>247</v>
      </c>
      <c r="L1360">
        <v>494</v>
      </c>
      <c r="M1360">
        <v>5</v>
      </c>
      <c r="N1360">
        <v>25</v>
      </c>
      <c r="O1360">
        <v>150</v>
      </c>
      <c r="P1360">
        <v>30</v>
      </c>
      <c r="Q1360" t="s">
        <v>75</v>
      </c>
      <c r="R1360">
        <v>44</v>
      </c>
      <c r="S1360" t="s">
        <v>28</v>
      </c>
    </row>
    <row r="1361" spans="1:19" x14ac:dyDescent="0.3">
      <c r="A1361" t="s">
        <v>3667</v>
      </c>
      <c r="B1361" s="2">
        <v>45374</v>
      </c>
      <c r="C1361" t="s">
        <v>55</v>
      </c>
      <c r="D1361" t="s">
        <v>100</v>
      </c>
      <c r="E1361" t="s">
        <v>3668</v>
      </c>
      <c r="F1361" t="s">
        <v>46</v>
      </c>
      <c r="G1361" t="s">
        <v>373</v>
      </c>
      <c r="H1361" t="s">
        <v>80</v>
      </c>
      <c r="I1361" t="s">
        <v>26</v>
      </c>
      <c r="J1361">
        <v>1</v>
      </c>
      <c r="K1361">
        <v>320</v>
      </c>
      <c r="L1361">
        <v>320</v>
      </c>
      <c r="P1361">
        <v>0</v>
      </c>
      <c r="Q1361" t="s">
        <v>49</v>
      </c>
      <c r="R1361">
        <v>44</v>
      </c>
      <c r="S1361" t="s">
        <v>41</v>
      </c>
    </row>
    <row r="1362" spans="1:19" x14ac:dyDescent="0.3">
      <c r="A1362" t="s">
        <v>3669</v>
      </c>
      <c r="B1362" s="2">
        <v>45414</v>
      </c>
      <c r="C1362" t="s">
        <v>71</v>
      </c>
      <c r="D1362" t="s">
        <v>92</v>
      </c>
      <c r="E1362" t="s">
        <v>3670</v>
      </c>
      <c r="F1362" t="s">
        <v>115</v>
      </c>
      <c r="G1362" t="s">
        <v>3671</v>
      </c>
      <c r="H1362" t="s">
        <v>64</v>
      </c>
      <c r="I1362" t="s">
        <v>26</v>
      </c>
      <c r="J1362">
        <v>3</v>
      </c>
      <c r="K1362">
        <v>246</v>
      </c>
      <c r="L1362">
        <v>738</v>
      </c>
      <c r="O1362">
        <v>249</v>
      </c>
      <c r="P1362">
        <v>0</v>
      </c>
      <c r="Q1362" t="s">
        <v>49</v>
      </c>
      <c r="R1362">
        <v>48</v>
      </c>
      <c r="S1362" t="s">
        <v>28</v>
      </c>
    </row>
    <row r="1363" spans="1:19" x14ac:dyDescent="0.3">
      <c r="A1363" t="s">
        <v>3672</v>
      </c>
      <c r="B1363" s="2">
        <v>45369</v>
      </c>
      <c r="C1363" t="s">
        <v>55</v>
      </c>
      <c r="D1363" t="s">
        <v>44</v>
      </c>
      <c r="E1363" t="s">
        <v>3673</v>
      </c>
      <c r="F1363" t="s">
        <v>960</v>
      </c>
      <c r="G1363" t="s">
        <v>154</v>
      </c>
      <c r="H1363" t="s">
        <v>80</v>
      </c>
      <c r="I1363" t="s">
        <v>26</v>
      </c>
      <c r="J1363">
        <v>2</v>
      </c>
      <c r="K1363">
        <v>376</v>
      </c>
      <c r="L1363">
        <v>752</v>
      </c>
      <c r="M1363">
        <v>2.7</v>
      </c>
      <c r="N1363">
        <v>41</v>
      </c>
      <c r="P1363">
        <v>0</v>
      </c>
      <c r="Q1363" t="s">
        <v>75</v>
      </c>
      <c r="R1363">
        <v>21</v>
      </c>
      <c r="S1363" t="s">
        <v>41</v>
      </c>
    </row>
    <row r="1364" spans="1:19" x14ac:dyDescent="0.3">
      <c r="A1364" t="s">
        <v>3674</v>
      </c>
      <c r="B1364" s="2">
        <v>45445</v>
      </c>
      <c r="C1364" t="s">
        <v>30</v>
      </c>
      <c r="D1364" t="s">
        <v>60</v>
      </c>
      <c r="E1364" t="s">
        <v>3675</v>
      </c>
      <c r="F1364" t="s">
        <v>517</v>
      </c>
      <c r="G1364" t="s">
        <v>3676</v>
      </c>
      <c r="H1364" t="s">
        <v>48</v>
      </c>
      <c r="I1364" t="s">
        <v>33</v>
      </c>
      <c r="J1364">
        <v>3</v>
      </c>
      <c r="K1364">
        <v>283</v>
      </c>
      <c r="L1364">
        <v>849</v>
      </c>
      <c r="M1364">
        <v>4.2</v>
      </c>
      <c r="N1364">
        <v>49</v>
      </c>
      <c r="O1364">
        <v>599</v>
      </c>
      <c r="P1364">
        <v>0</v>
      </c>
      <c r="Q1364" t="s">
        <v>49</v>
      </c>
      <c r="R1364">
        <v>22</v>
      </c>
      <c r="S1364" t="s">
        <v>41</v>
      </c>
    </row>
    <row r="1365" spans="1:19" x14ac:dyDescent="0.3">
      <c r="A1365" t="s">
        <v>3677</v>
      </c>
      <c r="B1365" s="2">
        <v>45353</v>
      </c>
      <c r="C1365" t="s">
        <v>55</v>
      </c>
      <c r="D1365" t="s">
        <v>100</v>
      </c>
      <c r="E1365" t="s">
        <v>3678</v>
      </c>
      <c r="F1365" t="s">
        <v>46</v>
      </c>
      <c r="G1365" t="s">
        <v>673</v>
      </c>
      <c r="H1365" t="s">
        <v>80</v>
      </c>
      <c r="I1365" t="s">
        <v>26</v>
      </c>
      <c r="J1365">
        <v>2</v>
      </c>
      <c r="K1365">
        <v>154</v>
      </c>
      <c r="L1365">
        <v>308</v>
      </c>
      <c r="M1365">
        <v>3.5</v>
      </c>
      <c r="N1365">
        <v>44</v>
      </c>
      <c r="O1365">
        <v>150</v>
      </c>
      <c r="P1365">
        <v>30</v>
      </c>
      <c r="Q1365" t="s">
        <v>27</v>
      </c>
      <c r="R1365">
        <v>34</v>
      </c>
      <c r="S1365" t="s">
        <v>41</v>
      </c>
    </row>
    <row r="1366" spans="1:19" x14ac:dyDescent="0.3">
      <c r="A1366" t="s">
        <v>3679</v>
      </c>
      <c r="B1366" s="2">
        <v>45423</v>
      </c>
      <c r="C1366" t="s">
        <v>71</v>
      </c>
      <c r="D1366" t="s">
        <v>100</v>
      </c>
      <c r="E1366" t="s">
        <v>3680</v>
      </c>
      <c r="F1366" t="s">
        <v>192</v>
      </c>
      <c r="G1366" t="s">
        <v>3681</v>
      </c>
      <c r="H1366" t="s">
        <v>48</v>
      </c>
      <c r="I1366" t="s">
        <v>33</v>
      </c>
      <c r="J1366">
        <v>4</v>
      </c>
      <c r="K1366">
        <v>313</v>
      </c>
      <c r="L1366">
        <v>1252</v>
      </c>
      <c r="M1366">
        <v>3.4</v>
      </c>
      <c r="N1366">
        <v>49</v>
      </c>
      <c r="P1366">
        <v>0</v>
      </c>
      <c r="Q1366" t="s">
        <v>49</v>
      </c>
      <c r="R1366">
        <v>24</v>
      </c>
      <c r="S1366" t="s">
        <v>28</v>
      </c>
    </row>
    <row r="1367" spans="1:19" x14ac:dyDescent="0.3">
      <c r="A1367" t="s">
        <v>3682</v>
      </c>
      <c r="B1367" s="2">
        <v>45380</v>
      </c>
      <c r="C1367" t="s">
        <v>55</v>
      </c>
      <c r="D1367" t="s">
        <v>21</v>
      </c>
      <c r="E1367" t="s">
        <v>3683</v>
      </c>
      <c r="F1367" t="s">
        <v>746</v>
      </c>
      <c r="G1367" t="s">
        <v>109</v>
      </c>
      <c r="H1367" t="s">
        <v>64</v>
      </c>
      <c r="I1367" t="s">
        <v>26</v>
      </c>
      <c r="J1367">
        <v>4</v>
      </c>
      <c r="K1367">
        <v>310</v>
      </c>
      <c r="L1367">
        <v>1240</v>
      </c>
      <c r="P1367">
        <v>0</v>
      </c>
      <c r="Q1367" t="s">
        <v>49</v>
      </c>
      <c r="R1367">
        <v>33</v>
      </c>
      <c r="S1367" t="s">
        <v>41</v>
      </c>
    </row>
    <row r="1368" spans="1:19" x14ac:dyDescent="0.3">
      <c r="A1368" t="s">
        <v>3684</v>
      </c>
      <c r="B1368" s="2">
        <v>45528</v>
      </c>
      <c r="C1368" t="s">
        <v>82</v>
      </c>
      <c r="D1368" t="s">
        <v>100</v>
      </c>
      <c r="E1368" t="s">
        <v>3685</v>
      </c>
      <c r="F1368" t="s">
        <v>513</v>
      </c>
      <c r="G1368" t="s">
        <v>109</v>
      </c>
      <c r="H1368" t="s">
        <v>64</v>
      </c>
      <c r="I1368" t="s">
        <v>26</v>
      </c>
      <c r="J1368">
        <v>2</v>
      </c>
      <c r="K1368">
        <v>223</v>
      </c>
      <c r="L1368">
        <v>446</v>
      </c>
      <c r="M1368">
        <v>3.7</v>
      </c>
      <c r="N1368">
        <v>41</v>
      </c>
      <c r="O1368">
        <v>699</v>
      </c>
      <c r="P1368">
        <v>0</v>
      </c>
      <c r="Q1368" t="s">
        <v>75</v>
      </c>
      <c r="R1368">
        <v>31</v>
      </c>
      <c r="S1368" t="s">
        <v>41</v>
      </c>
    </row>
    <row r="1369" spans="1:19" x14ac:dyDescent="0.3">
      <c r="A1369" t="s">
        <v>3686</v>
      </c>
      <c r="B1369" s="2">
        <v>45333</v>
      </c>
      <c r="C1369" t="s">
        <v>113</v>
      </c>
      <c r="D1369" t="s">
        <v>60</v>
      </c>
      <c r="E1369" t="s">
        <v>3687</v>
      </c>
      <c r="F1369" t="s">
        <v>192</v>
      </c>
      <c r="G1369" t="s">
        <v>221</v>
      </c>
      <c r="H1369" t="s">
        <v>80</v>
      </c>
      <c r="I1369" t="s">
        <v>26</v>
      </c>
      <c r="J1369">
        <v>4</v>
      </c>
      <c r="K1369">
        <v>142</v>
      </c>
      <c r="L1369">
        <v>568</v>
      </c>
      <c r="P1369">
        <v>0</v>
      </c>
      <c r="Q1369" t="s">
        <v>34</v>
      </c>
      <c r="R1369">
        <v>43</v>
      </c>
      <c r="S1369" t="s">
        <v>28</v>
      </c>
    </row>
    <row r="1370" spans="1:19" x14ac:dyDescent="0.3">
      <c r="A1370" t="s">
        <v>3688</v>
      </c>
      <c r="B1370" s="2">
        <v>45380</v>
      </c>
      <c r="C1370" t="s">
        <v>55</v>
      </c>
      <c r="D1370" t="s">
        <v>21</v>
      </c>
      <c r="E1370" t="s">
        <v>3689</v>
      </c>
      <c r="F1370" t="s">
        <v>960</v>
      </c>
      <c r="G1370" t="s">
        <v>1883</v>
      </c>
      <c r="H1370" t="s">
        <v>40</v>
      </c>
      <c r="I1370" t="s">
        <v>26</v>
      </c>
      <c r="J1370">
        <v>2</v>
      </c>
      <c r="K1370">
        <v>384</v>
      </c>
      <c r="L1370">
        <v>768</v>
      </c>
      <c r="P1370">
        <v>0</v>
      </c>
      <c r="Q1370" t="s">
        <v>34</v>
      </c>
      <c r="R1370">
        <v>33</v>
      </c>
      <c r="S1370" t="s">
        <v>41</v>
      </c>
    </row>
    <row r="1371" spans="1:19" x14ac:dyDescent="0.3">
      <c r="A1371" t="s">
        <v>3690</v>
      </c>
      <c r="B1371" s="2">
        <v>45437</v>
      </c>
      <c r="C1371" t="s">
        <v>71</v>
      </c>
      <c r="D1371" t="s">
        <v>100</v>
      </c>
      <c r="E1371" t="s">
        <v>3691</v>
      </c>
      <c r="F1371" t="s">
        <v>192</v>
      </c>
      <c r="G1371" t="s">
        <v>3692</v>
      </c>
      <c r="H1371" t="s">
        <v>48</v>
      </c>
      <c r="I1371" t="s">
        <v>33</v>
      </c>
      <c r="J1371">
        <v>4</v>
      </c>
      <c r="K1371">
        <v>409</v>
      </c>
      <c r="L1371">
        <v>1636</v>
      </c>
      <c r="O1371">
        <v>150</v>
      </c>
      <c r="P1371">
        <v>30</v>
      </c>
      <c r="Q1371" t="s">
        <v>34</v>
      </c>
      <c r="R1371">
        <v>24</v>
      </c>
      <c r="S1371" t="s">
        <v>28</v>
      </c>
    </row>
    <row r="1372" spans="1:19" x14ac:dyDescent="0.3">
      <c r="A1372" t="s">
        <v>3693</v>
      </c>
      <c r="B1372" s="2">
        <v>45331</v>
      </c>
      <c r="C1372" t="s">
        <v>113</v>
      </c>
      <c r="D1372" t="s">
        <v>21</v>
      </c>
      <c r="E1372" t="s">
        <v>3694</v>
      </c>
      <c r="F1372" t="s">
        <v>960</v>
      </c>
      <c r="G1372" t="s">
        <v>227</v>
      </c>
      <c r="H1372" t="s">
        <v>80</v>
      </c>
      <c r="I1372" t="s">
        <v>26</v>
      </c>
      <c r="J1372">
        <v>1</v>
      </c>
      <c r="K1372">
        <v>549</v>
      </c>
      <c r="L1372">
        <v>549</v>
      </c>
      <c r="P1372">
        <v>0</v>
      </c>
      <c r="Q1372" t="s">
        <v>27</v>
      </c>
      <c r="R1372">
        <v>26</v>
      </c>
      <c r="S1372" t="s">
        <v>41</v>
      </c>
    </row>
    <row r="1373" spans="1:19" x14ac:dyDescent="0.3">
      <c r="A1373" t="s">
        <v>3695</v>
      </c>
      <c r="B1373" s="2">
        <v>45363</v>
      </c>
      <c r="C1373" t="s">
        <v>55</v>
      </c>
      <c r="D1373" t="s">
        <v>36</v>
      </c>
      <c r="E1373" t="s">
        <v>3696</v>
      </c>
      <c r="F1373" t="s">
        <v>578</v>
      </c>
      <c r="G1373" t="s">
        <v>1117</v>
      </c>
      <c r="H1373" t="s">
        <v>40</v>
      </c>
      <c r="I1373" t="s">
        <v>26</v>
      </c>
      <c r="J1373">
        <v>1</v>
      </c>
      <c r="K1373">
        <v>581</v>
      </c>
      <c r="L1373">
        <v>581</v>
      </c>
      <c r="M1373">
        <v>3.9</v>
      </c>
      <c r="N1373">
        <v>49</v>
      </c>
      <c r="O1373">
        <v>120</v>
      </c>
      <c r="P1373">
        <v>25</v>
      </c>
      <c r="Q1373" t="s">
        <v>49</v>
      </c>
      <c r="R1373">
        <v>21</v>
      </c>
      <c r="S1373" t="s">
        <v>28</v>
      </c>
    </row>
    <row r="1374" spans="1:19" x14ac:dyDescent="0.3">
      <c r="A1374" t="s">
        <v>3697</v>
      </c>
      <c r="B1374" s="2">
        <v>45330</v>
      </c>
      <c r="C1374" t="s">
        <v>113</v>
      </c>
      <c r="D1374" t="s">
        <v>92</v>
      </c>
      <c r="E1374" t="s">
        <v>3698</v>
      </c>
      <c r="F1374" t="s">
        <v>115</v>
      </c>
      <c r="G1374" t="s">
        <v>154</v>
      </c>
      <c r="H1374" t="s">
        <v>80</v>
      </c>
      <c r="I1374" t="s">
        <v>26</v>
      </c>
      <c r="J1374">
        <v>1</v>
      </c>
      <c r="K1374">
        <v>503</v>
      </c>
      <c r="L1374">
        <v>503</v>
      </c>
      <c r="M1374">
        <v>4.4000000000000004</v>
      </c>
      <c r="N1374">
        <v>37</v>
      </c>
      <c r="P1374">
        <v>0</v>
      </c>
      <c r="Q1374" t="s">
        <v>34</v>
      </c>
      <c r="R1374">
        <v>47</v>
      </c>
      <c r="S1374" t="s">
        <v>41</v>
      </c>
    </row>
    <row r="1375" spans="1:19" x14ac:dyDescent="0.3">
      <c r="A1375" t="s">
        <v>3699</v>
      </c>
      <c r="B1375" s="2">
        <v>45395</v>
      </c>
      <c r="C1375" t="s">
        <v>20</v>
      </c>
      <c r="D1375" t="s">
        <v>100</v>
      </c>
      <c r="E1375" t="s">
        <v>3700</v>
      </c>
      <c r="F1375" t="s">
        <v>713</v>
      </c>
      <c r="G1375" t="s">
        <v>227</v>
      </c>
      <c r="H1375" t="s">
        <v>80</v>
      </c>
      <c r="I1375" t="s">
        <v>26</v>
      </c>
      <c r="J1375">
        <v>3</v>
      </c>
      <c r="K1375">
        <v>379</v>
      </c>
      <c r="L1375">
        <v>1137</v>
      </c>
      <c r="P1375">
        <v>0</v>
      </c>
      <c r="Q1375" t="s">
        <v>75</v>
      </c>
      <c r="R1375">
        <v>47</v>
      </c>
      <c r="S1375" t="s">
        <v>41</v>
      </c>
    </row>
    <row r="1376" spans="1:19" x14ac:dyDescent="0.3">
      <c r="A1376" t="s">
        <v>3701</v>
      </c>
      <c r="B1376" s="2">
        <v>45305</v>
      </c>
      <c r="C1376" t="s">
        <v>43</v>
      </c>
      <c r="D1376" t="s">
        <v>60</v>
      </c>
      <c r="E1376" t="s">
        <v>3702</v>
      </c>
      <c r="F1376" t="s">
        <v>713</v>
      </c>
      <c r="G1376" t="s">
        <v>227</v>
      </c>
      <c r="H1376" t="s">
        <v>80</v>
      </c>
      <c r="I1376" t="s">
        <v>26</v>
      </c>
      <c r="J1376">
        <v>3</v>
      </c>
      <c r="K1376">
        <v>533</v>
      </c>
      <c r="L1376">
        <v>1599</v>
      </c>
      <c r="P1376">
        <v>0</v>
      </c>
      <c r="Q1376" t="s">
        <v>34</v>
      </c>
      <c r="R1376">
        <v>39</v>
      </c>
      <c r="S1376" t="s">
        <v>41</v>
      </c>
    </row>
    <row r="1377" spans="1:19" x14ac:dyDescent="0.3">
      <c r="A1377" t="s">
        <v>3703</v>
      </c>
      <c r="B1377" s="2">
        <v>45323</v>
      </c>
      <c r="C1377" t="s">
        <v>113</v>
      </c>
      <c r="D1377" t="s">
        <v>92</v>
      </c>
      <c r="E1377" t="s">
        <v>3704</v>
      </c>
      <c r="F1377" t="s">
        <v>115</v>
      </c>
      <c r="G1377" t="s">
        <v>2198</v>
      </c>
      <c r="H1377" t="s">
        <v>80</v>
      </c>
      <c r="I1377" t="s">
        <v>26</v>
      </c>
      <c r="J1377">
        <v>1</v>
      </c>
      <c r="K1377">
        <v>598</v>
      </c>
      <c r="L1377">
        <v>598</v>
      </c>
      <c r="M1377">
        <v>3.9</v>
      </c>
      <c r="N1377">
        <v>37</v>
      </c>
      <c r="P1377">
        <v>0</v>
      </c>
      <c r="Q1377" t="s">
        <v>34</v>
      </c>
      <c r="R1377">
        <v>28</v>
      </c>
      <c r="S1377" t="s">
        <v>41</v>
      </c>
    </row>
    <row r="1378" spans="1:19" x14ac:dyDescent="0.3">
      <c r="A1378" t="s">
        <v>3705</v>
      </c>
      <c r="B1378" s="2">
        <v>45470</v>
      </c>
      <c r="C1378" t="s">
        <v>30</v>
      </c>
      <c r="D1378" t="s">
        <v>92</v>
      </c>
      <c r="E1378" t="s">
        <v>3706</v>
      </c>
      <c r="F1378" t="s">
        <v>115</v>
      </c>
      <c r="G1378" t="s">
        <v>410</v>
      </c>
      <c r="H1378" t="s">
        <v>64</v>
      </c>
      <c r="I1378" t="s">
        <v>26</v>
      </c>
      <c r="J1378">
        <v>3</v>
      </c>
      <c r="K1378">
        <v>477</v>
      </c>
      <c r="L1378">
        <v>1431</v>
      </c>
      <c r="M1378">
        <v>2.4</v>
      </c>
      <c r="N1378">
        <v>37</v>
      </c>
      <c r="P1378">
        <v>0</v>
      </c>
      <c r="Q1378" t="s">
        <v>49</v>
      </c>
      <c r="R1378">
        <v>19</v>
      </c>
      <c r="S1378" t="s">
        <v>41</v>
      </c>
    </row>
    <row r="1379" spans="1:19" x14ac:dyDescent="0.3">
      <c r="A1379" t="s">
        <v>3707</v>
      </c>
      <c r="B1379" s="2">
        <v>45416</v>
      </c>
      <c r="C1379" t="s">
        <v>71</v>
      </c>
      <c r="D1379" t="s">
        <v>100</v>
      </c>
      <c r="E1379" t="s">
        <v>3708</v>
      </c>
      <c r="F1379" t="s">
        <v>115</v>
      </c>
      <c r="G1379" t="s">
        <v>3709</v>
      </c>
      <c r="H1379" t="s">
        <v>53</v>
      </c>
      <c r="I1379" t="s">
        <v>26</v>
      </c>
      <c r="J1379">
        <v>4</v>
      </c>
      <c r="K1379">
        <v>194</v>
      </c>
      <c r="L1379">
        <v>776</v>
      </c>
      <c r="P1379">
        <v>0</v>
      </c>
      <c r="Q1379" t="s">
        <v>49</v>
      </c>
      <c r="R1379">
        <v>29</v>
      </c>
      <c r="S1379" t="s">
        <v>28</v>
      </c>
    </row>
    <row r="1380" spans="1:19" x14ac:dyDescent="0.3">
      <c r="A1380" t="s">
        <v>3710</v>
      </c>
      <c r="B1380" s="2">
        <v>45457</v>
      </c>
      <c r="C1380" t="s">
        <v>30</v>
      </c>
      <c r="D1380" t="s">
        <v>21</v>
      </c>
      <c r="E1380" t="s">
        <v>3711</v>
      </c>
      <c r="F1380" t="s">
        <v>87</v>
      </c>
      <c r="G1380" t="s">
        <v>64</v>
      </c>
      <c r="H1380" t="s">
        <v>64</v>
      </c>
      <c r="I1380" t="s">
        <v>26</v>
      </c>
      <c r="J1380">
        <v>2</v>
      </c>
      <c r="K1380">
        <v>474</v>
      </c>
      <c r="L1380">
        <v>948</v>
      </c>
      <c r="M1380">
        <v>3.6</v>
      </c>
      <c r="N1380">
        <v>39</v>
      </c>
      <c r="P1380">
        <v>0</v>
      </c>
      <c r="Q1380" t="s">
        <v>49</v>
      </c>
      <c r="R1380">
        <v>29</v>
      </c>
      <c r="S1380" t="s">
        <v>28</v>
      </c>
    </row>
    <row r="1381" spans="1:19" x14ac:dyDescent="0.3">
      <c r="A1381" t="s">
        <v>3712</v>
      </c>
      <c r="B1381" s="2">
        <v>45388</v>
      </c>
      <c r="C1381" t="s">
        <v>20</v>
      </c>
      <c r="D1381" t="s">
        <v>100</v>
      </c>
      <c r="E1381" t="s">
        <v>3713</v>
      </c>
      <c r="F1381" t="s">
        <v>115</v>
      </c>
      <c r="G1381" t="s">
        <v>154</v>
      </c>
      <c r="H1381" t="s">
        <v>80</v>
      </c>
      <c r="I1381" t="s">
        <v>26</v>
      </c>
      <c r="J1381">
        <v>2</v>
      </c>
      <c r="K1381">
        <v>191</v>
      </c>
      <c r="L1381">
        <v>382</v>
      </c>
      <c r="M1381">
        <v>2.6</v>
      </c>
      <c r="N1381">
        <v>39</v>
      </c>
      <c r="P1381">
        <v>0</v>
      </c>
      <c r="Q1381" t="s">
        <v>27</v>
      </c>
      <c r="R1381">
        <v>47</v>
      </c>
      <c r="S1381" t="s">
        <v>41</v>
      </c>
    </row>
    <row r="1382" spans="1:19" x14ac:dyDescent="0.3">
      <c r="A1382" t="s">
        <v>3714</v>
      </c>
      <c r="B1382" s="2">
        <v>45314</v>
      </c>
      <c r="C1382" t="s">
        <v>43</v>
      </c>
      <c r="D1382" t="s">
        <v>36</v>
      </c>
      <c r="E1382" t="s">
        <v>3715</v>
      </c>
      <c r="F1382" t="s">
        <v>517</v>
      </c>
      <c r="G1382" t="s">
        <v>186</v>
      </c>
      <c r="H1382" t="s">
        <v>80</v>
      </c>
      <c r="I1382" t="s">
        <v>26</v>
      </c>
      <c r="J1382">
        <v>2</v>
      </c>
      <c r="K1382">
        <v>378</v>
      </c>
      <c r="L1382">
        <v>756</v>
      </c>
      <c r="M1382">
        <v>3.9</v>
      </c>
      <c r="N1382">
        <v>38</v>
      </c>
      <c r="O1382">
        <v>150</v>
      </c>
      <c r="P1382">
        <v>30</v>
      </c>
      <c r="Q1382" t="s">
        <v>27</v>
      </c>
      <c r="R1382">
        <v>21</v>
      </c>
      <c r="S1382" t="s">
        <v>41</v>
      </c>
    </row>
    <row r="1383" spans="1:19" x14ac:dyDescent="0.3">
      <c r="A1383" t="s">
        <v>3716</v>
      </c>
      <c r="B1383" s="2">
        <v>45354</v>
      </c>
      <c r="C1383" t="s">
        <v>55</v>
      </c>
      <c r="D1383" t="s">
        <v>60</v>
      </c>
      <c r="E1383" t="s">
        <v>3717</v>
      </c>
      <c r="F1383" t="s">
        <v>115</v>
      </c>
      <c r="G1383" t="s">
        <v>3718</v>
      </c>
      <c r="H1383" t="s">
        <v>80</v>
      </c>
      <c r="I1383" t="s">
        <v>26</v>
      </c>
      <c r="J1383">
        <v>1</v>
      </c>
      <c r="K1383">
        <v>517</v>
      </c>
      <c r="L1383">
        <v>517</v>
      </c>
      <c r="P1383">
        <v>0</v>
      </c>
      <c r="Q1383" t="s">
        <v>34</v>
      </c>
      <c r="R1383">
        <v>35</v>
      </c>
      <c r="S1383" t="s">
        <v>41</v>
      </c>
    </row>
    <row r="1384" spans="1:19" x14ac:dyDescent="0.3">
      <c r="A1384" t="s">
        <v>3719</v>
      </c>
      <c r="B1384" s="2">
        <v>45434</v>
      </c>
      <c r="C1384" t="s">
        <v>71</v>
      </c>
      <c r="D1384" t="s">
        <v>72</v>
      </c>
      <c r="E1384" t="s">
        <v>3720</v>
      </c>
      <c r="F1384" t="s">
        <v>115</v>
      </c>
      <c r="G1384" t="s">
        <v>392</v>
      </c>
      <c r="H1384" t="s">
        <v>53</v>
      </c>
      <c r="I1384" t="s">
        <v>26</v>
      </c>
      <c r="J1384">
        <v>3</v>
      </c>
      <c r="K1384">
        <v>307</v>
      </c>
      <c r="L1384">
        <v>921</v>
      </c>
      <c r="P1384">
        <v>0</v>
      </c>
      <c r="Q1384" t="s">
        <v>49</v>
      </c>
      <c r="R1384">
        <v>43</v>
      </c>
      <c r="S1384" t="s">
        <v>28</v>
      </c>
    </row>
    <row r="1385" spans="1:19" x14ac:dyDescent="0.3">
      <c r="A1385" t="s">
        <v>3721</v>
      </c>
      <c r="B1385" s="2">
        <v>45516</v>
      </c>
      <c r="C1385" t="s">
        <v>82</v>
      </c>
      <c r="D1385" t="s">
        <v>44</v>
      </c>
      <c r="E1385" t="s">
        <v>3722</v>
      </c>
      <c r="F1385" t="s">
        <v>115</v>
      </c>
      <c r="G1385" t="s">
        <v>3723</v>
      </c>
      <c r="H1385" t="s">
        <v>64</v>
      </c>
      <c r="I1385" t="s">
        <v>26</v>
      </c>
      <c r="J1385">
        <v>4</v>
      </c>
      <c r="K1385">
        <v>580</v>
      </c>
      <c r="L1385">
        <v>2320</v>
      </c>
      <c r="M1385">
        <v>2.8</v>
      </c>
      <c r="N1385">
        <v>37</v>
      </c>
      <c r="P1385">
        <v>0</v>
      </c>
      <c r="Q1385" t="s">
        <v>34</v>
      </c>
      <c r="R1385">
        <v>38</v>
      </c>
      <c r="S1385" t="s">
        <v>28</v>
      </c>
    </row>
    <row r="1386" spans="1:19" x14ac:dyDescent="0.3">
      <c r="A1386" t="s">
        <v>3724</v>
      </c>
      <c r="B1386" s="2">
        <v>45444</v>
      </c>
      <c r="C1386" t="s">
        <v>30</v>
      </c>
      <c r="D1386" t="s">
        <v>100</v>
      </c>
      <c r="E1386" t="s">
        <v>3725</v>
      </c>
      <c r="F1386" t="s">
        <v>46</v>
      </c>
      <c r="G1386" t="s">
        <v>3726</v>
      </c>
      <c r="H1386" t="s">
        <v>48</v>
      </c>
      <c r="I1386" t="s">
        <v>33</v>
      </c>
      <c r="J1386">
        <v>4</v>
      </c>
      <c r="K1386">
        <v>292</v>
      </c>
      <c r="L1386">
        <v>1168</v>
      </c>
      <c r="M1386">
        <v>3.8</v>
      </c>
      <c r="N1386">
        <v>38</v>
      </c>
      <c r="P1386">
        <v>0</v>
      </c>
      <c r="Q1386" t="s">
        <v>75</v>
      </c>
      <c r="R1386">
        <v>48</v>
      </c>
      <c r="S1386" t="s">
        <v>41</v>
      </c>
    </row>
    <row r="1387" spans="1:19" x14ac:dyDescent="0.3">
      <c r="A1387" t="s">
        <v>3727</v>
      </c>
      <c r="B1387" s="2">
        <v>45436</v>
      </c>
      <c r="C1387" t="s">
        <v>71</v>
      </c>
      <c r="D1387" t="s">
        <v>21</v>
      </c>
      <c r="E1387" t="s">
        <v>3728</v>
      </c>
      <c r="F1387" t="s">
        <v>3729</v>
      </c>
      <c r="G1387" t="s">
        <v>3730</v>
      </c>
      <c r="H1387" t="s">
        <v>48</v>
      </c>
      <c r="I1387" t="s">
        <v>33</v>
      </c>
      <c r="J1387">
        <v>1</v>
      </c>
      <c r="K1387">
        <v>599</v>
      </c>
      <c r="L1387">
        <v>599</v>
      </c>
      <c r="M1387">
        <v>4.0999999999999996</v>
      </c>
      <c r="N1387">
        <v>39</v>
      </c>
      <c r="P1387">
        <v>0</v>
      </c>
      <c r="Q1387" t="s">
        <v>75</v>
      </c>
      <c r="R1387">
        <v>24</v>
      </c>
      <c r="S1387" t="s">
        <v>28</v>
      </c>
    </row>
    <row r="1388" spans="1:19" x14ac:dyDescent="0.3">
      <c r="A1388" t="s">
        <v>3731</v>
      </c>
      <c r="B1388" s="2">
        <v>45516</v>
      </c>
      <c r="C1388" t="s">
        <v>82</v>
      </c>
      <c r="D1388" t="s">
        <v>44</v>
      </c>
      <c r="E1388" t="s">
        <v>3732</v>
      </c>
      <c r="F1388" t="s">
        <v>115</v>
      </c>
      <c r="G1388" t="s">
        <v>2685</v>
      </c>
      <c r="H1388" t="s">
        <v>80</v>
      </c>
      <c r="I1388" t="s">
        <v>26</v>
      </c>
      <c r="J1388">
        <v>4</v>
      </c>
      <c r="K1388">
        <v>409</v>
      </c>
      <c r="L1388">
        <v>1636</v>
      </c>
      <c r="P1388">
        <v>0</v>
      </c>
      <c r="Q1388" t="s">
        <v>49</v>
      </c>
      <c r="R1388">
        <v>46</v>
      </c>
      <c r="S1388" t="s">
        <v>41</v>
      </c>
    </row>
    <row r="1389" spans="1:19" x14ac:dyDescent="0.3">
      <c r="A1389" t="s">
        <v>3733</v>
      </c>
      <c r="B1389" s="2">
        <v>45530</v>
      </c>
      <c r="C1389" t="s">
        <v>82</v>
      </c>
      <c r="D1389" t="s">
        <v>44</v>
      </c>
      <c r="E1389" t="s">
        <v>3734</v>
      </c>
      <c r="F1389" t="s">
        <v>192</v>
      </c>
      <c r="G1389" t="s">
        <v>80</v>
      </c>
      <c r="H1389" t="s">
        <v>80</v>
      </c>
      <c r="I1389" t="s">
        <v>26</v>
      </c>
      <c r="J1389">
        <v>4</v>
      </c>
      <c r="K1389">
        <v>164</v>
      </c>
      <c r="L1389">
        <v>656</v>
      </c>
      <c r="M1389">
        <v>3.7</v>
      </c>
      <c r="N1389">
        <v>39</v>
      </c>
      <c r="P1389">
        <v>0</v>
      </c>
      <c r="Q1389" t="s">
        <v>49</v>
      </c>
      <c r="R1389">
        <v>18</v>
      </c>
      <c r="S1389" t="s">
        <v>41</v>
      </c>
    </row>
    <row r="1390" spans="1:19" x14ac:dyDescent="0.3">
      <c r="A1390" t="s">
        <v>3735</v>
      </c>
      <c r="B1390" s="2">
        <v>45485</v>
      </c>
      <c r="C1390" t="s">
        <v>59</v>
      </c>
      <c r="D1390" t="s">
        <v>21</v>
      </c>
      <c r="E1390" t="s">
        <v>3736</v>
      </c>
      <c r="F1390" t="s">
        <v>115</v>
      </c>
      <c r="G1390" t="s">
        <v>154</v>
      </c>
      <c r="H1390" t="s">
        <v>80</v>
      </c>
      <c r="I1390" t="s">
        <v>26</v>
      </c>
      <c r="J1390">
        <v>4</v>
      </c>
      <c r="K1390">
        <v>180</v>
      </c>
      <c r="L1390">
        <v>720</v>
      </c>
      <c r="M1390">
        <v>4.4000000000000004</v>
      </c>
      <c r="N1390">
        <v>34</v>
      </c>
      <c r="P1390">
        <v>0</v>
      </c>
      <c r="Q1390" t="s">
        <v>75</v>
      </c>
      <c r="R1390">
        <v>48</v>
      </c>
      <c r="S1390" t="s">
        <v>41</v>
      </c>
    </row>
    <row r="1391" spans="1:19" x14ac:dyDescent="0.3">
      <c r="A1391" t="s">
        <v>3737</v>
      </c>
      <c r="B1391" s="2">
        <v>45497</v>
      </c>
      <c r="C1391" t="s">
        <v>59</v>
      </c>
      <c r="D1391" t="s">
        <v>72</v>
      </c>
      <c r="E1391" t="s">
        <v>3738</v>
      </c>
      <c r="F1391" t="s">
        <v>115</v>
      </c>
      <c r="G1391" t="s">
        <v>3739</v>
      </c>
      <c r="H1391" t="s">
        <v>80</v>
      </c>
      <c r="I1391" t="s">
        <v>26</v>
      </c>
      <c r="J1391">
        <v>4</v>
      </c>
      <c r="K1391">
        <v>202</v>
      </c>
      <c r="L1391">
        <v>808</v>
      </c>
      <c r="P1391">
        <v>0</v>
      </c>
      <c r="Q1391" t="s">
        <v>49</v>
      </c>
      <c r="R1391">
        <v>43</v>
      </c>
      <c r="S1391" t="s">
        <v>28</v>
      </c>
    </row>
    <row r="1392" spans="1:19" x14ac:dyDescent="0.3">
      <c r="A1392" t="s">
        <v>3740</v>
      </c>
      <c r="B1392" s="2">
        <v>45344</v>
      </c>
      <c r="C1392" t="s">
        <v>113</v>
      </c>
      <c r="D1392" t="s">
        <v>92</v>
      </c>
      <c r="E1392" t="s">
        <v>3741</v>
      </c>
      <c r="F1392" t="s">
        <v>115</v>
      </c>
      <c r="G1392" t="s">
        <v>80</v>
      </c>
      <c r="H1392" t="s">
        <v>80</v>
      </c>
      <c r="I1392" t="s">
        <v>26</v>
      </c>
      <c r="J1392">
        <v>3</v>
      </c>
      <c r="K1392">
        <v>242</v>
      </c>
      <c r="L1392">
        <v>726</v>
      </c>
      <c r="P1392">
        <v>0</v>
      </c>
      <c r="Q1392" t="s">
        <v>27</v>
      </c>
      <c r="R1392">
        <v>43</v>
      </c>
      <c r="S1392" t="s">
        <v>41</v>
      </c>
    </row>
    <row r="1393" spans="1:19" x14ac:dyDescent="0.3">
      <c r="A1393" t="s">
        <v>3742</v>
      </c>
      <c r="B1393" s="2">
        <v>45395</v>
      </c>
      <c r="C1393" t="s">
        <v>20</v>
      </c>
      <c r="D1393" t="s">
        <v>100</v>
      </c>
      <c r="E1393" t="s">
        <v>3743</v>
      </c>
      <c r="F1393" t="s">
        <v>115</v>
      </c>
      <c r="G1393" t="s">
        <v>3744</v>
      </c>
      <c r="H1393" t="s">
        <v>48</v>
      </c>
      <c r="I1393" t="s">
        <v>33</v>
      </c>
      <c r="J1393">
        <v>4</v>
      </c>
      <c r="K1393">
        <v>477</v>
      </c>
      <c r="L1393">
        <v>1908</v>
      </c>
      <c r="M1393">
        <v>4.5</v>
      </c>
      <c r="N1393">
        <v>37</v>
      </c>
      <c r="P1393">
        <v>0</v>
      </c>
      <c r="Q1393" t="s">
        <v>27</v>
      </c>
      <c r="R1393">
        <v>40</v>
      </c>
      <c r="S1393" t="s">
        <v>41</v>
      </c>
    </row>
    <row r="1394" spans="1:19" x14ac:dyDescent="0.3">
      <c r="A1394" t="s">
        <v>3745</v>
      </c>
      <c r="B1394" s="2">
        <v>45395</v>
      </c>
      <c r="C1394" t="s">
        <v>20</v>
      </c>
      <c r="D1394" t="s">
        <v>100</v>
      </c>
      <c r="E1394" t="s">
        <v>3746</v>
      </c>
      <c r="F1394" t="s">
        <v>713</v>
      </c>
      <c r="G1394" t="s">
        <v>3747</v>
      </c>
      <c r="H1394" t="s">
        <v>64</v>
      </c>
      <c r="I1394" t="s">
        <v>26</v>
      </c>
      <c r="J1394">
        <v>2</v>
      </c>
      <c r="K1394">
        <v>135</v>
      </c>
      <c r="L1394">
        <v>270</v>
      </c>
      <c r="P1394">
        <v>0</v>
      </c>
      <c r="Q1394" t="s">
        <v>49</v>
      </c>
      <c r="R1394">
        <v>43</v>
      </c>
      <c r="S1394" t="s">
        <v>41</v>
      </c>
    </row>
    <row r="1395" spans="1:19" x14ac:dyDescent="0.3">
      <c r="A1395" t="s">
        <v>3748</v>
      </c>
      <c r="B1395" s="2">
        <v>45470</v>
      </c>
      <c r="C1395" t="s">
        <v>30</v>
      </c>
      <c r="D1395" t="s">
        <v>92</v>
      </c>
      <c r="E1395" t="s">
        <v>3749</v>
      </c>
      <c r="F1395" t="s">
        <v>62</v>
      </c>
      <c r="G1395" t="s">
        <v>2363</v>
      </c>
      <c r="H1395" t="s">
        <v>80</v>
      </c>
      <c r="I1395" t="s">
        <v>26</v>
      </c>
      <c r="J1395">
        <v>1</v>
      </c>
      <c r="K1395">
        <v>185</v>
      </c>
      <c r="L1395">
        <v>185</v>
      </c>
      <c r="M1395">
        <v>4.2</v>
      </c>
      <c r="N1395">
        <v>39</v>
      </c>
      <c r="P1395">
        <v>0</v>
      </c>
      <c r="Q1395" t="s">
        <v>75</v>
      </c>
      <c r="R1395">
        <v>30</v>
      </c>
      <c r="S1395" t="s">
        <v>28</v>
      </c>
    </row>
    <row r="1396" spans="1:19" x14ac:dyDescent="0.3">
      <c r="A1396" t="s">
        <v>3750</v>
      </c>
      <c r="B1396" s="2">
        <v>45330</v>
      </c>
      <c r="C1396" t="s">
        <v>113</v>
      </c>
      <c r="D1396" t="s">
        <v>92</v>
      </c>
      <c r="E1396" t="s">
        <v>3751</v>
      </c>
      <c r="F1396" t="s">
        <v>115</v>
      </c>
      <c r="G1396" t="s">
        <v>109</v>
      </c>
      <c r="H1396" t="s">
        <v>64</v>
      </c>
      <c r="I1396" t="s">
        <v>26</v>
      </c>
      <c r="J1396">
        <v>3</v>
      </c>
      <c r="K1396">
        <v>543</v>
      </c>
      <c r="L1396">
        <v>1629</v>
      </c>
      <c r="P1396">
        <v>0</v>
      </c>
      <c r="Q1396" t="s">
        <v>34</v>
      </c>
      <c r="R1396">
        <v>23</v>
      </c>
      <c r="S1396" t="s">
        <v>28</v>
      </c>
    </row>
    <row r="1397" spans="1:19" x14ac:dyDescent="0.3">
      <c r="A1397" t="s">
        <v>3752</v>
      </c>
      <c r="B1397" s="2">
        <v>45470</v>
      </c>
      <c r="C1397" t="s">
        <v>30</v>
      </c>
      <c r="D1397" t="s">
        <v>92</v>
      </c>
      <c r="E1397" t="s">
        <v>3753</v>
      </c>
      <c r="F1397" t="s">
        <v>192</v>
      </c>
      <c r="G1397" t="s">
        <v>2170</v>
      </c>
      <c r="H1397" t="s">
        <v>80</v>
      </c>
      <c r="I1397" t="s">
        <v>26</v>
      </c>
      <c r="J1397">
        <v>4</v>
      </c>
      <c r="K1397">
        <v>264</v>
      </c>
      <c r="L1397">
        <v>1056</v>
      </c>
      <c r="P1397">
        <v>0</v>
      </c>
      <c r="Q1397" t="s">
        <v>49</v>
      </c>
      <c r="R1397">
        <v>23</v>
      </c>
      <c r="S1397" t="s">
        <v>28</v>
      </c>
    </row>
    <row r="1398" spans="1:19" x14ac:dyDescent="0.3">
      <c r="A1398" t="s">
        <v>3754</v>
      </c>
      <c r="B1398" s="2">
        <v>45489</v>
      </c>
      <c r="C1398" t="s">
        <v>59</v>
      </c>
      <c r="D1398" t="s">
        <v>36</v>
      </c>
      <c r="E1398" t="s">
        <v>3755</v>
      </c>
      <c r="F1398" t="s">
        <v>115</v>
      </c>
      <c r="G1398" t="s">
        <v>158</v>
      </c>
      <c r="H1398" t="s">
        <v>40</v>
      </c>
      <c r="I1398" t="s">
        <v>26</v>
      </c>
      <c r="J1398">
        <v>3</v>
      </c>
      <c r="K1398">
        <v>494</v>
      </c>
      <c r="L1398">
        <v>1482</v>
      </c>
      <c r="P1398">
        <v>0</v>
      </c>
      <c r="Q1398" t="s">
        <v>49</v>
      </c>
      <c r="R1398">
        <v>29</v>
      </c>
      <c r="S1398" t="s">
        <v>41</v>
      </c>
    </row>
    <row r="1399" spans="1:19" x14ac:dyDescent="0.3">
      <c r="A1399" t="s">
        <v>3756</v>
      </c>
      <c r="B1399" s="2">
        <v>45425</v>
      </c>
      <c r="C1399" t="s">
        <v>71</v>
      </c>
      <c r="D1399" t="s">
        <v>44</v>
      </c>
      <c r="E1399" t="s">
        <v>3757</v>
      </c>
      <c r="F1399" t="s">
        <v>713</v>
      </c>
      <c r="G1399" t="s">
        <v>154</v>
      </c>
      <c r="H1399" t="s">
        <v>80</v>
      </c>
      <c r="I1399" t="s">
        <v>26</v>
      </c>
      <c r="J1399">
        <v>4</v>
      </c>
      <c r="K1399">
        <v>281</v>
      </c>
      <c r="L1399">
        <v>1124</v>
      </c>
      <c r="O1399">
        <v>150</v>
      </c>
      <c r="P1399">
        <v>30</v>
      </c>
      <c r="Q1399" t="s">
        <v>34</v>
      </c>
      <c r="R1399">
        <v>25</v>
      </c>
      <c r="S1399" t="s">
        <v>28</v>
      </c>
    </row>
    <row r="1400" spans="1:19" x14ac:dyDescent="0.3">
      <c r="A1400" t="s">
        <v>3758</v>
      </c>
      <c r="B1400" s="2">
        <v>45358</v>
      </c>
      <c r="C1400" t="s">
        <v>55</v>
      </c>
      <c r="D1400" t="s">
        <v>92</v>
      </c>
      <c r="E1400" t="s">
        <v>3759</v>
      </c>
      <c r="F1400" t="s">
        <v>87</v>
      </c>
      <c r="G1400" t="s">
        <v>3760</v>
      </c>
      <c r="H1400" t="s">
        <v>48</v>
      </c>
      <c r="I1400" t="s">
        <v>33</v>
      </c>
      <c r="J1400">
        <v>2</v>
      </c>
      <c r="K1400">
        <v>353</v>
      </c>
      <c r="L1400">
        <v>706</v>
      </c>
      <c r="M1400">
        <v>3.9</v>
      </c>
      <c r="N1400">
        <v>39</v>
      </c>
      <c r="O1400">
        <v>700</v>
      </c>
      <c r="P1400">
        <v>20</v>
      </c>
      <c r="Q1400" t="s">
        <v>49</v>
      </c>
      <c r="R1400">
        <v>41</v>
      </c>
      <c r="S1400" t="s">
        <v>41</v>
      </c>
    </row>
    <row r="1401" spans="1:19" x14ac:dyDescent="0.3">
      <c r="A1401" t="s">
        <v>3761</v>
      </c>
      <c r="B1401" s="2">
        <v>45426</v>
      </c>
      <c r="C1401" t="s">
        <v>71</v>
      </c>
      <c r="D1401" t="s">
        <v>36</v>
      </c>
      <c r="E1401" t="s">
        <v>3762</v>
      </c>
      <c r="F1401" t="s">
        <v>192</v>
      </c>
      <c r="G1401" t="s">
        <v>154</v>
      </c>
      <c r="H1401" t="s">
        <v>80</v>
      </c>
      <c r="I1401" t="s">
        <v>26</v>
      </c>
      <c r="J1401">
        <v>1</v>
      </c>
      <c r="K1401">
        <v>499</v>
      </c>
      <c r="L1401">
        <v>499</v>
      </c>
      <c r="M1401">
        <v>3.6</v>
      </c>
      <c r="N1401">
        <v>38</v>
      </c>
      <c r="P1401">
        <v>0</v>
      </c>
      <c r="Q1401" t="s">
        <v>34</v>
      </c>
      <c r="R1401">
        <v>39</v>
      </c>
      <c r="S1401" t="s">
        <v>28</v>
      </c>
    </row>
    <row r="1402" spans="1:19" x14ac:dyDescent="0.3">
      <c r="A1402" t="s">
        <v>3763</v>
      </c>
      <c r="B1402" s="2">
        <v>45470</v>
      </c>
      <c r="C1402" t="s">
        <v>30</v>
      </c>
      <c r="D1402" t="s">
        <v>92</v>
      </c>
      <c r="E1402" t="s">
        <v>3764</v>
      </c>
      <c r="F1402" t="s">
        <v>713</v>
      </c>
      <c r="G1402" t="s">
        <v>227</v>
      </c>
      <c r="H1402" t="s">
        <v>80</v>
      </c>
      <c r="I1402" t="s">
        <v>26</v>
      </c>
      <c r="J1402">
        <v>4</v>
      </c>
      <c r="K1402">
        <v>263</v>
      </c>
      <c r="L1402">
        <v>1052</v>
      </c>
      <c r="P1402">
        <v>0</v>
      </c>
      <c r="Q1402" t="s">
        <v>75</v>
      </c>
      <c r="R1402">
        <v>36</v>
      </c>
      <c r="S1402" t="s">
        <v>41</v>
      </c>
    </row>
    <row r="1403" spans="1:19" x14ac:dyDescent="0.3">
      <c r="A1403" t="s">
        <v>3765</v>
      </c>
      <c r="B1403" s="2">
        <v>45491</v>
      </c>
      <c r="C1403" t="s">
        <v>59</v>
      </c>
      <c r="D1403" t="s">
        <v>92</v>
      </c>
      <c r="E1403" t="s">
        <v>3766</v>
      </c>
      <c r="F1403" t="s">
        <v>192</v>
      </c>
      <c r="G1403" t="s">
        <v>2685</v>
      </c>
      <c r="H1403" t="s">
        <v>80</v>
      </c>
      <c r="I1403" t="s">
        <v>26</v>
      </c>
      <c r="J1403">
        <v>4</v>
      </c>
      <c r="K1403">
        <v>477</v>
      </c>
      <c r="L1403">
        <v>1908</v>
      </c>
      <c r="P1403">
        <v>0</v>
      </c>
      <c r="Q1403" t="s">
        <v>27</v>
      </c>
      <c r="R1403">
        <v>22</v>
      </c>
      <c r="S1403" t="s">
        <v>28</v>
      </c>
    </row>
    <row r="1404" spans="1:19" x14ac:dyDescent="0.3">
      <c r="A1404" t="s">
        <v>3767</v>
      </c>
      <c r="B1404" s="2">
        <v>45333</v>
      </c>
      <c r="C1404" t="s">
        <v>113</v>
      </c>
      <c r="D1404" t="s">
        <v>60</v>
      </c>
      <c r="E1404" t="s">
        <v>3768</v>
      </c>
      <c r="F1404" t="s">
        <v>115</v>
      </c>
      <c r="G1404" t="s">
        <v>227</v>
      </c>
      <c r="H1404" t="s">
        <v>80</v>
      </c>
      <c r="I1404" t="s">
        <v>26</v>
      </c>
      <c r="J1404">
        <v>4</v>
      </c>
      <c r="K1404">
        <v>307</v>
      </c>
      <c r="L1404">
        <v>1228</v>
      </c>
      <c r="P1404">
        <v>0</v>
      </c>
      <c r="Q1404" t="s">
        <v>75</v>
      </c>
      <c r="R1404">
        <v>35</v>
      </c>
      <c r="S1404" t="s">
        <v>41</v>
      </c>
    </row>
    <row r="1405" spans="1:19" x14ac:dyDescent="0.3">
      <c r="A1405" t="s">
        <v>3769</v>
      </c>
      <c r="B1405" s="2">
        <v>45483</v>
      </c>
      <c r="C1405" t="s">
        <v>59</v>
      </c>
      <c r="D1405" t="s">
        <v>72</v>
      </c>
      <c r="E1405" t="s">
        <v>3770</v>
      </c>
      <c r="F1405" t="s">
        <v>115</v>
      </c>
      <c r="G1405" t="s">
        <v>585</v>
      </c>
      <c r="H1405" t="s">
        <v>80</v>
      </c>
      <c r="I1405" t="s">
        <v>26</v>
      </c>
      <c r="J1405">
        <v>4</v>
      </c>
      <c r="K1405">
        <v>441</v>
      </c>
      <c r="L1405">
        <v>1764</v>
      </c>
      <c r="P1405">
        <v>0</v>
      </c>
      <c r="Q1405" t="s">
        <v>27</v>
      </c>
      <c r="R1405">
        <v>48</v>
      </c>
      <c r="S1405" t="s">
        <v>28</v>
      </c>
    </row>
    <row r="1406" spans="1:19" x14ac:dyDescent="0.3">
      <c r="A1406" t="s">
        <v>3771</v>
      </c>
      <c r="B1406" s="2">
        <v>45306</v>
      </c>
      <c r="C1406" t="s">
        <v>43</v>
      </c>
      <c r="D1406" t="s">
        <v>44</v>
      </c>
      <c r="E1406" t="s">
        <v>3772</v>
      </c>
      <c r="F1406" t="s">
        <v>713</v>
      </c>
      <c r="G1406" t="s">
        <v>3773</v>
      </c>
      <c r="H1406" t="s">
        <v>80</v>
      </c>
      <c r="I1406" t="s">
        <v>26</v>
      </c>
      <c r="J1406">
        <v>1</v>
      </c>
      <c r="K1406">
        <v>569</v>
      </c>
      <c r="L1406">
        <v>569</v>
      </c>
      <c r="M1406">
        <v>4.0999999999999996</v>
      </c>
      <c r="N1406">
        <v>38</v>
      </c>
      <c r="P1406">
        <v>0</v>
      </c>
      <c r="Q1406" t="s">
        <v>34</v>
      </c>
      <c r="R1406">
        <v>47</v>
      </c>
      <c r="S1406" t="s">
        <v>28</v>
      </c>
    </row>
    <row r="1407" spans="1:19" x14ac:dyDescent="0.3">
      <c r="A1407" t="s">
        <v>3774</v>
      </c>
      <c r="B1407" s="2">
        <v>45402</v>
      </c>
      <c r="C1407" t="s">
        <v>20</v>
      </c>
      <c r="D1407" t="s">
        <v>100</v>
      </c>
      <c r="E1407" t="s">
        <v>3775</v>
      </c>
      <c r="F1407" t="s">
        <v>713</v>
      </c>
      <c r="G1407" t="s">
        <v>3776</v>
      </c>
      <c r="H1407" t="s">
        <v>40</v>
      </c>
      <c r="I1407" t="s">
        <v>26</v>
      </c>
      <c r="J1407">
        <v>1</v>
      </c>
      <c r="K1407">
        <v>593</v>
      </c>
      <c r="L1407">
        <v>593</v>
      </c>
      <c r="P1407">
        <v>0</v>
      </c>
      <c r="Q1407" t="s">
        <v>27</v>
      </c>
      <c r="R1407">
        <v>22</v>
      </c>
      <c r="S1407" t="s">
        <v>28</v>
      </c>
    </row>
    <row r="1408" spans="1:19" x14ac:dyDescent="0.3">
      <c r="A1408" t="s">
        <v>3777</v>
      </c>
      <c r="B1408" s="2">
        <v>45448</v>
      </c>
      <c r="C1408" t="s">
        <v>30</v>
      </c>
      <c r="D1408" t="s">
        <v>72</v>
      </c>
      <c r="E1408" t="s">
        <v>3778</v>
      </c>
      <c r="F1408" t="s">
        <v>192</v>
      </c>
      <c r="G1408" t="s">
        <v>154</v>
      </c>
      <c r="H1408" t="s">
        <v>80</v>
      </c>
      <c r="I1408" t="s">
        <v>26</v>
      </c>
      <c r="J1408">
        <v>2</v>
      </c>
      <c r="K1408">
        <v>132</v>
      </c>
      <c r="L1408">
        <v>264</v>
      </c>
      <c r="P1408">
        <v>0</v>
      </c>
      <c r="Q1408" t="s">
        <v>75</v>
      </c>
      <c r="R1408">
        <v>47</v>
      </c>
      <c r="S1408" t="s">
        <v>41</v>
      </c>
    </row>
    <row r="1409" spans="1:19" x14ac:dyDescent="0.3">
      <c r="A1409" t="s">
        <v>3779</v>
      </c>
      <c r="B1409" s="2">
        <v>45324</v>
      </c>
      <c r="C1409" t="s">
        <v>113</v>
      </c>
      <c r="D1409" t="s">
        <v>21</v>
      </c>
      <c r="E1409" t="s">
        <v>3780</v>
      </c>
      <c r="F1409" t="s">
        <v>115</v>
      </c>
      <c r="G1409" t="s">
        <v>3781</v>
      </c>
      <c r="H1409" t="s">
        <v>40</v>
      </c>
      <c r="I1409" t="s">
        <v>26</v>
      </c>
      <c r="J1409">
        <v>1</v>
      </c>
      <c r="K1409">
        <v>303</v>
      </c>
      <c r="L1409">
        <v>303</v>
      </c>
      <c r="M1409">
        <v>4</v>
      </c>
      <c r="N1409">
        <v>39</v>
      </c>
      <c r="P1409">
        <v>0</v>
      </c>
      <c r="Q1409" t="s">
        <v>27</v>
      </c>
      <c r="R1409">
        <v>42</v>
      </c>
      <c r="S1409" t="s">
        <v>28</v>
      </c>
    </row>
    <row r="1410" spans="1:19" x14ac:dyDescent="0.3">
      <c r="A1410" t="s">
        <v>3782</v>
      </c>
      <c r="B1410" s="2">
        <v>45513</v>
      </c>
      <c r="C1410" t="s">
        <v>82</v>
      </c>
      <c r="D1410" t="s">
        <v>21</v>
      </c>
      <c r="E1410" t="s">
        <v>3783</v>
      </c>
      <c r="F1410" t="s">
        <v>115</v>
      </c>
      <c r="G1410" t="s">
        <v>186</v>
      </c>
      <c r="H1410" t="s">
        <v>80</v>
      </c>
      <c r="I1410" t="s">
        <v>26</v>
      </c>
      <c r="J1410">
        <v>4</v>
      </c>
      <c r="K1410">
        <v>230</v>
      </c>
      <c r="L1410">
        <v>920</v>
      </c>
      <c r="P1410">
        <v>0</v>
      </c>
      <c r="Q1410" t="s">
        <v>34</v>
      </c>
      <c r="R1410">
        <v>27</v>
      </c>
      <c r="S1410" t="s">
        <v>28</v>
      </c>
    </row>
    <row r="1411" spans="1:19" x14ac:dyDescent="0.3">
      <c r="A1411" t="s">
        <v>3784</v>
      </c>
      <c r="B1411" s="2">
        <v>45522</v>
      </c>
      <c r="C1411" t="s">
        <v>82</v>
      </c>
      <c r="D1411" t="s">
        <v>60</v>
      </c>
      <c r="E1411" t="s">
        <v>3785</v>
      </c>
      <c r="F1411" t="s">
        <v>3786</v>
      </c>
      <c r="G1411" t="s">
        <v>3787</v>
      </c>
      <c r="H1411" t="s">
        <v>80</v>
      </c>
      <c r="I1411" t="s">
        <v>26</v>
      </c>
      <c r="J1411">
        <v>2</v>
      </c>
      <c r="K1411">
        <v>534</v>
      </c>
      <c r="L1411">
        <v>1068</v>
      </c>
      <c r="O1411">
        <v>749</v>
      </c>
      <c r="P1411">
        <v>0</v>
      </c>
      <c r="Q1411" t="s">
        <v>27</v>
      </c>
      <c r="R1411">
        <v>18</v>
      </c>
      <c r="S1411" t="s">
        <v>28</v>
      </c>
    </row>
    <row r="1412" spans="1:19" x14ac:dyDescent="0.3">
      <c r="A1412" t="s">
        <v>3788</v>
      </c>
      <c r="B1412" s="2">
        <v>45446</v>
      </c>
      <c r="C1412" t="s">
        <v>30</v>
      </c>
      <c r="D1412" t="s">
        <v>44</v>
      </c>
      <c r="E1412" t="s">
        <v>3789</v>
      </c>
      <c r="F1412" t="s">
        <v>102</v>
      </c>
      <c r="G1412" t="s">
        <v>227</v>
      </c>
      <c r="H1412" t="s">
        <v>80</v>
      </c>
      <c r="I1412" t="s">
        <v>26</v>
      </c>
      <c r="J1412">
        <v>2</v>
      </c>
      <c r="K1412">
        <v>409</v>
      </c>
      <c r="L1412">
        <v>818</v>
      </c>
      <c r="M1412">
        <v>3.4</v>
      </c>
      <c r="N1412">
        <v>38</v>
      </c>
      <c r="P1412">
        <v>0</v>
      </c>
      <c r="Q1412" t="s">
        <v>49</v>
      </c>
      <c r="R1412">
        <v>27</v>
      </c>
      <c r="S1412" t="s">
        <v>28</v>
      </c>
    </row>
    <row r="1413" spans="1:19" x14ac:dyDescent="0.3">
      <c r="A1413" t="s">
        <v>3790</v>
      </c>
      <c r="B1413" s="2">
        <v>45455</v>
      </c>
      <c r="C1413" t="s">
        <v>30</v>
      </c>
      <c r="D1413" t="s">
        <v>72</v>
      </c>
      <c r="E1413" t="s">
        <v>3791</v>
      </c>
      <c r="F1413" t="s">
        <v>46</v>
      </c>
      <c r="G1413" t="s">
        <v>3792</v>
      </c>
      <c r="H1413" t="s">
        <v>80</v>
      </c>
      <c r="I1413" t="s">
        <v>26</v>
      </c>
      <c r="J1413">
        <v>2</v>
      </c>
      <c r="K1413">
        <v>414</v>
      </c>
      <c r="L1413">
        <v>828</v>
      </c>
      <c r="P1413">
        <v>0</v>
      </c>
      <c r="Q1413" t="s">
        <v>75</v>
      </c>
      <c r="R1413">
        <v>22</v>
      </c>
      <c r="S1413" t="s">
        <v>41</v>
      </c>
    </row>
    <row r="1414" spans="1:19" x14ac:dyDescent="0.3">
      <c r="A1414" t="s">
        <v>3793</v>
      </c>
      <c r="B1414" s="2">
        <v>45448</v>
      </c>
      <c r="C1414" t="s">
        <v>30</v>
      </c>
      <c r="D1414" t="s">
        <v>72</v>
      </c>
      <c r="E1414" t="s">
        <v>3794</v>
      </c>
      <c r="F1414" t="s">
        <v>115</v>
      </c>
      <c r="G1414" t="s">
        <v>154</v>
      </c>
      <c r="H1414" t="s">
        <v>80</v>
      </c>
      <c r="I1414" t="s">
        <v>26</v>
      </c>
      <c r="J1414">
        <v>4</v>
      </c>
      <c r="K1414">
        <v>570</v>
      </c>
      <c r="L1414">
        <v>2280</v>
      </c>
      <c r="P1414">
        <v>0</v>
      </c>
      <c r="Q1414" t="s">
        <v>49</v>
      </c>
      <c r="R1414">
        <v>29</v>
      </c>
      <c r="S1414" t="s">
        <v>28</v>
      </c>
    </row>
    <row r="1415" spans="1:19" x14ac:dyDescent="0.3">
      <c r="A1415" t="s">
        <v>3795</v>
      </c>
      <c r="B1415" s="2">
        <v>45329</v>
      </c>
      <c r="C1415" t="s">
        <v>113</v>
      </c>
      <c r="D1415" t="s">
        <v>72</v>
      </c>
      <c r="E1415" t="s">
        <v>3796</v>
      </c>
      <c r="F1415" t="s">
        <v>115</v>
      </c>
      <c r="G1415" t="s">
        <v>3797</v>
      </c>
      <c r="H1415" t="s">
        <v>80</v>
      </c>
      <c r="I1415" t="s">
        <v>26</v>
      </c>
      <c r="J1415">
        <v>3</v>
      </c>
      <c r="K1415">
        <v>511</v>
      </c>
      <c r="L1415">
        <v>1533</v>
      </c>
      <c r="P1415">
        <v>0</v>
      </c>
      <c r="Q1415" t="s">
        <v>34</v>
      </c>
      <c r="R1415">
        <v>39</v>
      </c>
      <c r="S1415" t="s">
        <v>41</v>
      </c>
    </row>
    <row r="1416" spans="1:19" x14ac:dyDescent="0.3">
      <c r="A1416" t="s">
        <v>3798</v>
      </c>
      <c r="B1416" s="2">
        <v>45476</v>
      </c>
      <c r="C1416" t="s">
        <v>59</v>
      </c>
      <c r="D1416" t="s">
        <v>72</v>
      </c>
      <c r="E1416" t="s">
        <v>3799</v>
      </c>
      <c r="F1416" t="s">
        <v>115</v>
      </c>
      <c r="G1416" t="s">
        <v>3800</v>
      </c>
      <c r="H1416" t="s">
        <v>80</v>
      </c>
      <c r="I1416" t="s">
        <v>26</v>
      </c>
      <c r="J1416">
        <v>4</v>
      </c>
      <c r="K1416">
        <v>334</v>
      </c>
      <c r="L1416">
        <v>1336</v>
      </c>
      <c r="P1416">
        <v>0</v>
      </c>
      <c r="Q1416" t="s">
        <v>27</v>
      </c>
      <c r="R1416">
        <v>47</v>
      </c>
      <c r="S1416" t="s">
        <v>41</v>
      </c>
    </row>
    <row r="1417" spans="1:19" x14ac:dyDescent="0.3">
      <c r="A1417" t="s">
        <v>3801</v>
      </c>
      <c r="B1417" s="2">
        <v>45388</v>
      </c>
      <c r="C1417" t="s">
        <v>20</v>
      </c>
      <c r="D1417" t="s">
        <v>100</v>
      </c>
      <c r="E1417" t="s">
        <v>3802</v>
      </c>
      <c r="F1417" t="s">
        <v>62</v>
      </c>
      <c r="G1417" t="s">
        <v>53</v>
      </c>
      <c r="H1417" t="s">
        <v>53</v>
      </c>
      <c r="I1417" t="s">
        <v>26</v>
      </c>
      <c r="J1417">
        <v>1</v>
      </c>
      <c r="K1417">
        <v>581</v>
      </c>
      <c r="L1417">
        <v>581</v>
      </c>
      <c r="M1417">
        <v>3.9</v>
      </c>
      <c r="N1417">
        <v>37</v>
      </c>
      <c r="O1417">
        <v>999</v>
      </c>
      <c r="P1417">
        <v>0</v>
      </c>
      <c r="Q1417" t="s">
        <v>49</v>
      </c>
      <c r="R1417">
        <v>44</v>
      </c>
      <c r="S1417" t="s">
        <v>41</v>
      </c>
    </row>
    <row r="1418" spans="1:19" x14ac:dyDescent="0.3">
      <c r="A1418" t="s">
        <v>3803</v>
      </c>
      <c r="B1418" s="2">
        <v>45520</v>
      </c>
      <c r="C1418" t="s">
        <v>82</v>
      </c>
      <c r="D1418" t="s">
        <v>21</v>
      </c>
      <c r="E1418" t="s">
        <v>3804</v>
      </c>
      <c r="F1418" t="s">
        <v>713</v>
      </c>
      <c r="G1418" t="s">
        <v>825</v>
      </c>
      <c r="H1418" t="s">
        <v>80</v>
      </c>
      <c r="I1418" t="s">
        <v>26</v>
      </c>
      <c r="J1418">
        <v>1</v>
      </c>
      <c r="K1418">
        <v>239</v>
      </c>
      <c r="L1418">
        <v>239</v>
      </c>
      <c r="P1418">
        <v>0</v>
      </c>
      <c r="Q1418" t="s">
        <v>49</v>
      </c>
      <c r="R1418">
        <v>24</v>
      </c>
      <c r="S1418" t="s">
        <v>41</v>
      </c>
    </row>
    <row r="1419" spans="1:19" x14ac:dyDescent="0.3">
      <c r="A1419" t="s">
        <v>3805</v>
      </c>
      <c r="B1419" s="2">
        <v>45446</v>
      </c>
      <c r="C1419" t="s">
        <v>30</v>
      </c>
      <c r="D1419" t="s">
        <v>44</v>
      </c>
      <c r="E1419" t="s">
        <v>3806</v>
      </c>
      <c r="F1419" t="s">
        <v>62</v>
      </c>
      <c r="G1419" t="s">
        <v>3807</v>
      </c>
      <c r="H1419" t="s">
        <v>48</v>
      </c>
      <c r="I1419" t="s">
        <v>33</v>
      </c>
      <c r="J1419">
        <v>4</v>
      </c>
      <c r="K1419">
        <v>501</v>
      </c>
      <c r="L1419">
        <v>2004</v>
      </c>
      <c r="P1419">
        <v>0</v>
      </c>
      <c r="Q1419" t="s">
        <v>27</v>
      </c>
      <c r="R1419">
        <v>26</v>
      </c>
      <c r="S1419" t="s">
        <v>28</v>
      </c>
    </row>
    <row r="1420" spans="1:19" x14ac:dyDescent="0.3">
      <c r="A1420" t="s">
        <v>3808</v>
      </c>
      <c r="B1420" s="2">
        <v>45474</v>
      </c>
      <c r="C1420" t="s">
        <v>59</v>
      </c>
      <c r="D1420" t="s">
        <v>44</v>
      </c>
      <c r="E1420" t="s">
        <v>3809</v>
      </c>
      <c r="F1420" t="s">
        <v>713</v>
      </c>
      <c r="G1420" t="s">
        <v>1556</v>
      </c>
      <c r="H1420" t="s">
        <v>80</v>
      </c>
      <c r="I1420" t="s">
        <v>26</v>
      </c>
      <c r="J1420">
        <v>4</v>
      </c>
      <c r="K1420">
        <v>174</v>
      </c>
      <c r="L1420">
        <v>696</v>
      </c>
      <c r="M1420">
        <v>2.8</v>
      </c>
      <c r="N1420">
        <v>39</v>
      </c>
      <c r="P1420">
        <v>0</v>
      </c>
      <c r="Q1420" t="s">
        <v>27</v>
      </c>
      <c r="R1420">
        <v>39</v>
      </c>
      <c r="S1420" t="s">
        <v>41</v>
      </c>
    </row>
    <row r="1421" spans="1:19" x14ac:dyDescent="0.3">
      <c r="A1421" t="s">
        <v>3810</v>
      </c>
      <c r="B1421" s="2">
        <v>45324</v>
      </c>
      <c r="C1421" t="s">
        <v>113</v>
      </c>
      <c r="D1421" t="s">
        <v>21</v>
      </c>
      <c r="E1421" t="s">
        <v>3811</v>
      </c>
      <c r="F1421" t="s">
        <v>46</v>
      </c>
      <c r="G1421" t="s">
        <v>3812</v>
      </c>
      <c r="H1421" t="s">
        <v>80</v>
      </c>
      <c r="I1421" t="s">
        <v>26</v>
      </c>
      <c r="J1421">
        <v>2</v>
      </c>
      <c r="K1421">
        <v>146</v>
      </c>
      <c r="L1421">
        <v>292</v>
      </c>
      <c r="M1421">
        <v>4.7</v>
      </c>
      <c r="N1421">
        <v>39</v>
      </c>
      <c r="O1421">
        <v>100</v>
      </c>
      <c r="P1421">
        <v>50</v>
      </c>
      <c r="Q1421" t="s">
        <v>75</v>
      </c>
      <c r="R1421">
        <v>38</v>
      </c>
      <c r="S1421" t="s">
        <v>41</v>
      </c>
    </row>
    <row r="1422" spans="1:19" x14ac:dyDescent="0.3">
      <c r="A1422" t="s">
        <v>3813</v>
      </c>
      <c r="B1422" s="2">
        <v>45487</v>
      </c>
      <c r="C1422" t="s">
        <v>59</v>
      </c>
      <c r="D1422" t="s">
        <v>60</v>
      </c>
      <c r="E1422" t="s">
        <v>3814</v>
      </c>
      <c r="F1422" t="s">
        <v>62</v>
      </c>
      <c r="G1422" t="s">
        <v>3815</v>
      </c>
      <c r="H1422" t="s">
        <v>80</v>
      </c>
      <c r="I1422" t="s">
        <v>26</v>
      </c>
      <c r="J1422">
        <v>4</v>
      </c>
      <c r="K1422">
        <v>237</v>
      </c>
      <c r="L1422">
        <v>948</v>
      </c>
      <c r="M1422">
        <v>4.5</v>
      </c>
      <c r="N1422">
        <v>55</v>
      </c>
      <c r="P1422">
        <v>0</v>
      </c>
      <c r="Q1422" t="s">
        <v>49</v>
      </c>
      <c r="R1422">
        <v>29</v>
      </c>
      <c r="S1422" t="s">
        <v>41</v>
      </c>
    </row>
    <row r="1423" spans="1:19" x14ac:dyDescent="0.3">
      <c r="A1423" t="s">
        <v>3816</v>
      </c>
      <c r="B1423" s="2">
        <v>45377</v>
      </c>
      <c r="C1423" t="s">
        <v>55</v>
      </c>
      <c r="D1423" t="s">
        <v>36</v>
      </c>
      <c r="E1423" t="s">
        <v>3817</v>
      </c>
      <c r="F1423" t="s">
        <v>3818</v>
      </c>
      <c r="G1423" t="s">
        <v>3819</v>
      </c>
      <c r="H1423" t="s">
        <v>80</v>
      </c>
      <c r="I1423" t="s">
        <v>26</v>
      </c>
      <c r="J1423">
        <v>2</v>
      </c>
      <c r="K1423">
        <v>340</v>
      </c>
      <c r="L1423">
        <v>680</v>
      </c>
      <c r="M1423">
        <v>4.3</v>
      </c>
      <c r="N1423">
        <v>44</v>
      </c>
      <c r="O1423">
        <v>999</v>
      </c>
      <c r="P1423">
        <v>0</v>
      </c>
      <c r="Q1423" t="s">
        <v>49</v>
      </c>
      <c r="R1423">
        <v>40</v>
      </c>
      <c r="S1423" t="s">
        <v>41</v>
      </c>
    </row>
    <row r="1424" spans="1:19" x14ac:dyDescent="0.3">
      <c r="A1424" t="s">
        <v>3820</v>
      </c>
      <c r="B1424" s="2">
        <v>45357</v>
      </c>
      <c r="C1424" t="s">
        <v>55</v>
      </c>
      <c r="D1424" t="s">
        <v>72</v>
      </c>
      <c r="E1424" t="s">
        <v>3821</v>
      </c>
      <c r="F1424" t="s">
        <v>713</v>
      </c>
      <c r="G1424" t="s">
        <v>227</v>
      </c>
      <c r="H1424" t="s">
        <v>80</v>
      </c>
      <c r="I1424" t="s">
        <v>26</v>
      </c>
      <c r="J1424">
        <v>1</v>
      </c>
      <c r="K1424">
        <v>350</v>
      </c>
      <c r="L1424">
        <v>350</v>
      </c>
      <c r="M1424">
        <v>3.3</v>
      </c>
      <c r="N1424">
        <v>45</v>
      </c>
      <c r="P1424">
        <v>0</v>
      </c>
      <c r="Q1424" t="s">
        <v>34</v>
      </c>
      <c r="R1424">
        <v>46</v>
      </c>
      <c r="S1424" t="s">
        <v>28</v>
      </c>
    </row>
    <row r="1425" spans="1:19" x14ac:dyDescent="0.3">
      <c r="A1425" t="s">
        <v>3822</v>
      </c>
      <c r="B1425" s="2">
        <v>45301</v>
      </c>
      <c r="C1425" t="s">
        <v>43</v>
      </c>
      <c r="D1425" t="s">
        <v>72</v>
      </c>
      <c r="E1425" t="s">
        <v>3823</v>
      </c>
      <c r="F1425" t="s">
        <v>713</v>
      </c>
      <c r="G1425" t="s">
        <v>227</v>
      </c>
      <c r="H1425" t="s">
        <v>80</v>
      </c>
      <c r="I1425" t="s">
        <v>26</v>
      </c>
      <c r="J1425">
        <v>2</v>
      </c>
      <c r="K1425">
        <v>172</v>
      </c>
      <c r="L1425">
        <v>344</v>
      </c>
      <c r="M1425">
        <v>2.1</v>
      </c>
      <c r="N1425">
        <v>40</v>
      </c>
      <c r="P1425">
        <v>0</v>
      </c>
      <c r="Q1425" t="s">
        <v>75</v>
      </c>
      <c r="R1425">
        <v>18</v>
      </c>
      <c r="S1425" t="s">
        <v>28</v>
      </c>
    </row>
    <row r="1426" spans="1:19" x14ac:dyDescent="0.3">
      <c r="A1426" t="s">
        <v>3824</v>
      </c>
      <c r="B1426" s="2">
        <v>45296</v>
      </c>
      <c r="C1426" t="s">
        <v>43</v>
      </c>
      <c r="D1426" t="s">
        <v>21</v>
      </c>
      <c r="E1426" t="s">
        <v>3825</v>
      </c>
      <c r="F1426" t="s">
        <v>115</v>
      </c>
      <c r="G1426" t="s">
        <v>3826</v>
      </c>
      <c r="H1426" t="s">
        <v>53</v>
      </c>
      <c r="I1426" t="s">
        <v>26</v>
      </c>
      <c r="J1426">
        <v>4</v>
      </c>
      <c r="K1426">
        <v>414</v>
      </c>
      <c r="L1426">
        <v>1656</v>
      </c>
      <c r="P1426">
        <v>0</v>
      </c>
      <c r="Q1426" t="s">
        <v>34</v>
      </c>
      <c r="R1426">
        <v>28</v>
      </c>
      <c r="S1426" t="s">
        <v>41</v>
      </c>
    </row>
    <row r="1427" spans="1:19" x14ac:dyDescent="0.3">
      <c r="A1427" t="s">
        <v>3827</v>
      </c>
      <c r="B1427" s="2">
        <v>45414</v>
      </c>
      <c r="C1427" t="s">
        <v>71</v>
      </c>
      <c r="D1427" t="s">
        <v>92</v>
      </c>
      <c r="E1427" t="s">
        <v>3828</v>
      </c>
      <c r="F1427" t="s">
        <v>78</v>
      </c>
      <c r="G1427" t="s">
        <v>3829</v>
      </c>
      <c r="H1427" t="s">
        <v>80</v>
      </c>
      <c r="I1427" t="s">
        <v>26</v>
      </c>
      <c r="J1427">
        <v>1</v>
      </c>
      <c r="K1427">
        <v>440</v>
      </c>
      <c r="L1427">
        <v>440</v>
      </c>
      <c r="M1427">
        <v>3.7</v>
      </c>
      <c r="N1427">
        <v>47</v>
      </c>
      <c r="O1427">
        <v>999</v>
      </c>
      <c r="P1427">
        <v>0</v>
      </c>
      <c r="Q1427" t="s">
        <v>49</v>
      </c>
      <c r="R1427">
        <v>47</v>
      </c>
      <c r="S1427" t="s">
        <v>41</v>
      </c>
    </row>
    <row r="1428" spans="1:19" x14ac:dyDescent="0.3">
      <c r="A1428" t="s">
        <v>3830</v>
      </c>
      <c r="B1428" s="2">
        <v>45365</v>
      </c>
      <c r="C1428" t="s">
        <v>55</v>
      </c>
      <c r="D1428" t="s">
        <v>92</v>
      </c>
      <c r="E1428" t="s">
        <v>3831</v>
      </c>
      <c r="F1428" t="s">
        <v>450</v>
      </c>
      <c r="G1428" t="s">
        <v>3832</v>
      </c>
      <c r="H1428" t="s">
        <v>40</v>
      </c>
      <c r="I1428" t="s">
        <v>26</v>
      </c>
      <c r="J1428">
        <v>3</v>
      </c>
      <c r="K1428">
        <v>520</v>
      </c>
      <c r="L1428">
        <v>1560</v>
      </c>
      <c r="P1428">
        <v>0</v>
      </c>
      <c r="Q1428" t="s">
        <v>34</v>
      </c>
      <c r="R1428">
        <v>38</v>
      </c>
      <c r="S1428" t="s">
        <v>41</v>
      </c>
    </row>
    <row r="1429" spans="1:19" x14ac:dyDescent="0.3">
      <c r="A1429" t="s">
        <v>3833</v>
      </c>
      <c r="B1429" s="2">
        <v>45388</v>
      </c>
      <c r="C1429" t="s">
        <v>20</v>
      </c>
      <c r="D1429" t="s">
        <v>100</v>
      </c>
      <c r="E1429" t="s">
        <v>3834</v>
      </c>
      <c r="F1429" t="s">
        <v>3835</v>
      </c>
      <c r="G1429" t="s">
        <v>189</v>
      </c>
      <c r="H1429" t="s">
        <v>64</v>
      </c>
      <c r="I1429" t="s">
        <v>26</v>
      </c>
      <c r="J1429">
        <v>2</v>
      </c>
      <c r="K1429">
        <v>352</v>
      </c>
      <c r="L1429">
        <v>704</v>
      </c>
      <c r="M1429">
        <v>3.2</v>
      </c>
      <c r="N1429">
        <v>51</v>
      </c>
      <c r="P1429">
        <v>0</v>
      </c>
      <c r="Q1429" t="s">
        <v>49</v>
      </c>
      <c r="R1429">
        <v>32</v>
      </c>
      <c r="S1429" t="s">
        <v>28</v>
      </c>
    </row>
    <row r="1430" spans="1:19" x14ac:dyDescent="0.3">
      <c r="A1430" t="s">
        <v>3836</v>
      </c>
      <c r="B1430" s="2">
        <v>45409</v>
      </c>
      <c r="C1430" t="s">
        <v>20</v>
      </c>
      <c r="D1430" t="s">
        <v>100</v>
      </c>
      <c r="E1430" t="s">
        <v>3837</v>
      </c>
      <c r="F1430" t="s">
        <v>192</v>
      </c>
      <c r="G1430" t="s">
        <v>64</v>
      </c>
      <c r="H1430" t="s">
        <v>64</v>
      </c>
      <c r="I1430" t="s">
        <v>26</v>
      </c>
      <c r="J1430">
        <v>1</v>
      </c>
      <c r="K1430">
        <v>277</v>
      </c>
      <c r="L1430">
        <v>277</v>
      </c>
      <c r="P1430">
        <v>0</v>
      </c>
      <c r="Q1430" t="s">
        <v>49</v>
      </c>
      <c r="R1430">
        <v>19</v>
      </c>
      <c r="S1430" t="s">
        <v>28</v>
      </c>
    </row>
    <row r="1431" spans="1:19" x14ac:dyDescent="0.3">
      <c r="A1431" t="s">
        <v>3838</v>
      </c>
      <c r="B1431" s="2">
        <v>45329</v>
      </c>
      <c r="C1431" t="s">
        <v>113</v>
      </c>
      <c r="D1431" t="s">
        <v>72</v>
      </c>
      <c r="E1431" t="s">
        <v>3839</v>
      </c>
      <c r="F1431" t="s">
        <v>192</v>
      </c>
      <c r="G1431" t="s">
        <v>186</v>
      </c>
      <c r="H1431" t="s">
        <v>80</v>
      </c>
      <c r="I1431" t="s">
        <v>26</v>
      </c>
      <c r="J1431">
        <v>2</v>
      </c>
      <c r="K1431">
        <v>556</v>
      </c>
      <c r="L1431">
        <v>1112</v>
      </c>
      <c r="P1431">
        <v>0</v>
      </c>
      <c r="Q1431" t="s">
        <v>34</v>
      </c>
      <c r="R1431">
        <v>37</v>
      </c>
      <c r="S1431" t="s">
        <v>28</v>
      </c>
    </row>
    <row r="1432" spans="1:19" x14ac:dyDescent="0.3">
      <c r="A1432" t="s">
        <v>3840</v>
      </c>
      <c r="B1432" s="2">
        <v>45432</v>
      </c>
      <c r="C1432" t="s">
        <v>71</v>
      </c>
      <c r="D1432" t="s">
        <v>44</v>
      </c>
      <c r="E1432" t="s">
        <v>3841</v>
      </c>
      <c r="F1432" t="s">
        <v>115</v>
      </c>
      <c r="G1432" t="s">
        <v>227</v>
      </c>
      <c r="H1432" t="s">
        <v>80</v>
      </c>
      <c r="I1432" t="s">
        <v>26</v>
      </c>
      <c r="J1432">
        <v>1</v>
      </c>
      <c r="K1432">
        <v>388</v>
      </c>
      <c r="L1432">
        <v>388</v>
      </c>
      <c r="P1432">
        <v>0</v>
      </c>
      <c r="Q1432" t="s">
        <v>34</v>
      </c>
      <c r="R1432">
        <v>24</v>
      </c>
      <c r="S1432" t="s">
        <v>28</v>
      </c>
    </row>
    <row r="1433" spans="1:19" x14ac:dyDescent="0.3">
      <c r="A1433" t="s">
        <v>3842</v>
      </c>
      <c r="B1433" s="2">
        <v>45450</v>
      </c>
      <c r="C1433" t="s">
        <v>30</v>
      </c>
      <c r="D1433" t="s">
        <v>21</v>
      </c>
      <c r="E1433" t="s">
        <v>3843</v>
      </c>
      <c r="F1433" t="s">
        <v>115</v>
      </c>
      <c r="G1433" t="s">
        <v>2590</v>
      </c>
      <c r="H1433" t="s">
        <v>53</v>
      </c>
      <c r="I1433" t="s">
        <v>26</v>
      </c>
      <c r="J1433">
        <v>1</v>
      </c>
      <c r="K1433">
        <v>140</v>
      </c>
      <c r="L1433">
        <v>140</v>
      </c>
      <c r="P1433">
        <v>0</v>
      </c>
      <c r="Q1433" t="s">
        <v>27</v>
      </c>
      <c r="R1433">
        <v>38</v>
      </c>
      <c r="S1433" t="s">
        <v>28</v>
      </c>
    </row>
    <row r="1434" spans="1:19" x14ac:dyDescent="0.3">
      <c r="A1434" t="s">
        <v>3844</v>
      </c>
      <c r="B1434" s="2">
        <v>45338</v>
      </c>
      <c r="C1434" t="s">
        <v>113</v>
      </c>
      <c r="D1434" t="s">
        <v>21</v>
      </c>
      <c r="E1434" t="s">
        <v>3845</v>
      </c>
      <c r="F1434" t="s">
        <v>102</v>
      </c>
      <c r="G1434" t="s">
        <v>3343</v>
      </c>
      <c r="H1434" t="s">
        <v>48</v>
      </c>
      <c r="I1434" t="s">
        <v>33</v>
      </c>
      <c r="J1434">
        <v>2</v>
      </c>
      <c r="K1434">
        <v>522</v>
      </c>
      <c r="L1434">
        <v>1044</v>
      </c>
      <c r="P1434">
        <v>0</v>
      </c>
      <c r="Q1434" t="s">
        <v>27</v>
      </c>
      <c r="R1434">
        <v>29</v>
      </c>
      <c r="S1434" t="s">
        <v>41</v>
      </c>
    </row>
    <row r="1435" spans="1:19" x14ac:dyDescent="0.3">
      <c r="A1435" t="s">
        <v>3846</v>
      </c>
      <c r="B1435" s="2">
        <v>45519</v>
      </c>
      <c r="C1435" t="s">
        <v>82</v>
      </c>
      <c r="D1435" t="s">
        <v>92</v>
      </c>
      <c r="E1435" t="s">
        <v>3847</v>
      </c>
      <c r="F1435" t="s">
        <v>115</v>
      </c>
      <c r="G1435" t="s">
        <v>227</v>
      </c>
      <c r="H1435" t="s">
        <v>80</v>
      </c>
      <c r="I1435" t="s">
        <v>26</v>
      </c>
      <c r="J1435">
        <v>3</v>
      </c>
      <c r="K1435">
        <v>172</v>
      </c>
      <c r="L1435">
        <v>516</v>
      </c>
      <c r="M1435">
        <v>2.8</v>
      </c>
      <c r="N1435">
        <v>40</v>
      </c>
      <c r="P1435">
        <v>0</v>
      </c>
      <c r="Q1435" t="s">
        <v>27</v>
      </c>
      <c r="R1435">
        <v>39</v>
      </c>
      <c r="S1435" t="s">
        <v>28</v>
      </c>
    </row>
    <row r="1436" spans="1:19" x14ac:dyDescent="0.3">
      <c r="A1436" t="s">
        <v>3848</v>
      </c>
      <c r="B1436" s="2">
        <v>45400</v>
      </c>
      <c r="C1436" t="s">
        <v>20</v>
      </c>
      <c r="D1436" t="s">
        <v>92</v>
      </c>
      <c r="E1436" t="s">
        <v>3849</v>
      </c>
      <c r="F1436" t="s">
        <v>78</v>
      </c>
      <c r="G1436" t="s">
        <v>3850</v>
      </c>
      <c r="H1436" t="s">
        <v>64</v>
      </c>
      <c r="I1436" t="s">
        <v>26</v>
      </c>
      <c r="J1436">
        <v>1</v>
      </c>
      <c r="K1436">
        <v>394</v>
      </c>
      <c r="L1436">
        <v>394</v>
      </c>
      <c r="M1436">
        <v>4.4000000000000004</v>
      </c>
      <c r="N1436">
        <v>51</v>
      </c>
      <c r="P1436">
        <v>0</v>
      </c>
      <c r="Q1436" t="s">
        <v>49</v>
      </c>
      <c r="R1436">
        <v>35</v>
      </c>
      <c r="S1436" t="s">
        <v>28</v>
      </c>
    </row>
    <row r="1437" spans="1:19" x14ac:dyDescent="0.3">
      <c r="A1437" t="s">
        <v>3851</v>
      </c>
      <c r="B1437" s="2">
        <v>45507</v>
      </c>
      <c r="C1437" t="s">
        <v>82</v>
      </c>
      <c r="D1437" t="s">
        <v>100</v>
      </c>
      <c r="E1437" t="s">
        <v>3852</v>
      </c>
      <c r="F1437" t="s">
        <v>87</v>
      </c>
      <c r="G1437" t="s">
        <v>3853</v>
      </c>
      <c r="H1437" t="s">
        <v>64</v>
      </c>
      <c r="I1437" t="s">
        <v>26</v>
      </c>
      <c r="J1437">
        <v>1</v>
      </c>
      <c r="K1437">
        <v>432</v>
      </c>
      <c r="L1437">
        <v>432</v>
      </c>
      <c r="M1437">
        <v>3.9</v>
      </c>
      <c r="N1437">
        <v>43</v>
      </c>
      <c r="O1437">
        <v>800</v>
      </c>
      <c r="P1437">
        <v>20</v>
      </c>
      <c r="Q1437" t="s">
        <v>34</v>
      </c>
      <c r="R1437">
        <v>20</v>
      </c>
      <c r="S1437" t="s">
        <v>41</v>
      </c>
    </row>
    <row r="1438" spans="1:19" x14ac:dyDescent="0.3">
      <c r="A1438" t="s">
        <v>3854</v>
      </c>
      <c r="B1438" s="2">
        <v>45471</v>
      </c>
      <c r="C1438" t="s">
        <v>30</v>
      </c>
      <c r="D1438" t="s">
        <v>21</v>
      </c>
      <c r="E1438" t="s">
        <v>3855</v>
      </c>
      <c r="F1438" t="s">
        <v>3856</v>
      </c>
      <c r="G1438" t="s">
        <v>3072</v>
      </c>
      <c r="H1438" t="s">
        <v>48</v>
      </c>
      <c r="I1438" t="s">
        <v>33</v>
      </c>
      <c r="J1438">
        <v>1</v>
      </c>
      <c r="K1438">
        <v>400</v>
      </c>
      <c r="L1438">
        <v>400</v>
      </c>
      <c r="P1438">
        <v>0</v>
      </c>
      <c r="Q1438" t="s">
        <v>75</v>
      </c>
      <c r="R1438">
        <v>24</v>
      </c>
      <c r="S1438" t="s">
        <v>28</v>
      </c>
    </row>
    <row r="1439" spans="1:19" x14ac:dyDescent="0.3">
      <c r="A1439" t="s">
        <v>3857</v>
      </c>
      <c r="B1439" s="2">
        <v>45475</v>
      </c>
      <c r="C1439" t="s">
        <v>59</v>
      </c>
      <c r="D1439" t="s">
        <v>36</v>
      </c>
      <c r="E1439" t="s">
        <v>3858</v>
      </c>
      <c r="F1439" t="s">
        <v>517</v>
      </c>
      <c r="G1439" t="s">
        <v>3859</v>
      </c>
      <c r="H1439" t="s">
        <v>40</v>
      </c>
      <c r="I1439" t="s">
        <v>26</v>
      </c>
      <c r="J1439">
        <v>3</v>
      </c>
      <c r="K1439">
        <v>333</v>
      </c>
      <c r="L1439">
        <v>999</v>
      </c>
      <c r="M1439">
        <v>3.9</v>
      </c>
      <c r="N1439">
        <v>42</v>
      </c>
      <c r="P1439">
        <v>0</v>
      </c>
      <c r="Q1439" t="s">
        <v>49</v>
      </c>
      <c r="R1439">
        <v>28</v>
      </c>
      <c r="S1439" t="s">
        <v>28</v>
      </c>
    </row>
    <row r="1440" spans="1:19" x14ac:dyDescent="0.3">
      <c r="A1440" t="s">
        <v>3860</v>
      </c>
      <c r="B1440" s="2">
        <v>45306</v>
      </c>
      <c r="C1440" t="s">
        <v>43</v>
      </c>
      <c r="D1440" t="s">
        <v>44</v>
      </c>
      <c r="E1440" t="s">
        <v>3861</v>
      </c>
      <c r="F1440" t="s">
        <v>115</v>
      </c>
      <c r="G1440" t="s">
        <v>227</v>
      </c>
      <c r="H1440" t="s">
        <v>80</v>
      </c>
      <c r="I1440" t="s">
        <v>26</v>
      </c>
      <c r="J1440">
        <v>3</v>
      </c>
      <c r="K1440">
        <v>150</v>
      </c>
      <c r="L1440">
        <v>450</v>
      </c>
      <c r="P1440">
        <v>0</v>
      </c>
      <c r="Q1440" t="s">
        <v>75</v>
      </c>
      <c r="R1440">
        <v>35</v>
      </c>
      <c r="S1440" t="s">
        <v>28</v>
      </c>
    </row>
    <row r="1441" spans="1:19" x14ac:dyDescent="0.3">
      <c r="A1441" t="s">
        <v>3862</v>
      </c>
      <c r="B1441" s="2">
        <v>45448</v>
      </c>
      <c r="C1441" t="s">
        <v>30</v>
      </c>
      <c r="D1441" t="s">
        <v>72</v>
      </c>
      <c r="E1441" t="s">
        <v>3863</v>
      </c>
      <c r="F1441" t="s">
        <v>115</v>
      </c>
      <c r="G1441" t="s">
        <v>3864</v>
      </c>
      <c r="H1441" t="s">
        <v>64</v>
      </c>
      <c r="I1441" t="s">
        <v>26</v>
      </c>
      <c r="J1441">
        <v>4</v>
      </c>
      <c r="K1441">
        <v>456</v>
      </c>
      <c r="L1441">
        <v>1824</v>
      </c>
      <c r="M1441">
        <v>4.4000000000000004</v>
      </c>
      <c r="N1441">
        <v>41</v>
      </c>
      <c r="P1441">
        <v>0</v>
      </c>
      <c r="Q1441" t="s">
        <v>34</v>
      </c>
      <c r="R1441">
        <v>29</v>
      </c>
      <c r="S1441" t="s">
        <v>41</v>
      </c>
    </row>
    <row r="1442" spans="1:19" x14ac:dyDescent="0.3">
      <c r="A1442" t="s">
        <v>3865</v>
      </c>
      <c r="B1442" s="2">
        <v>45427</v>
      </c>
      <c r="C1442" t="s">
        <v>71</v>
      </c>
      <c r="D1442" t="s">
        <v>72</v>
      </c>
      <c r="E1442" t="s">
        <v>3866</v>
      </c>
      <c r="F1442" t="s">
        <v>192</v>
      </c>
      <c r="G1442" t="s">
        <v>2727</v>
      </c>
      <c r="H1442" t="s">
        <v>80</v>
      </c>
      <c r="I1442" t="s">
        <v>26</v>
      </c>
      <c r="J1442">
        <v>2</v>
      </c>
      <c r="K1442">
        <v>302</v>
      </c>
      <c r="L1442">
        <v>604</v>
      </c>
      <c r="M1442">
        <v>3.6</v>
      </c>
      <c r="N1442">
        <v>47</v>
      </c>
      <c r="O1442">
        <v>125</v>
      </c>
      <c r="P1442">
        <v>25</v>
      </c>
      <c r="Q1442" t="s">
        <v>49</v>
      </c>
      <c r="R1442">
        <v>23</v>
      </c>
      <c r="S1442" t="s">
        <v>28</v>
      </c>
    </row>
    <row r="1443" spans="1:19" x14ac:dyDescent="0.3">
      <c r="A1443" t="s">
        <v>3867</v>
      </c>
      <c r="B1443" s="2">
        <v>45296</v>
      </c>
      <c r="C1443" t="s">
        <v>43</v>
      </c>
      <c r="D1443" t="s">
        <v>21</v>
      </c>
      <c r="E1443" t="s">
        <v>3868</v>
      </c>
      <c r="F1443" t="s">
        <v>192</v>
      </c>
      <c r="G1443" t="s">
        <v>3869</v>
      </c>
      <c r="H1443" t="s">
        <v>48</v>
      </c>
      <c r="I1443" t="s">
        <v>33</v>
      </c>
      <c r="J1443">
        <v>3</v>
      </c>
      <c r="K1443">
        <v>142</v>
      </c>
      <c r="L1443">
        <v>426</v>
      </c>
      <c r="P1443">
        <v>0</v>
      </c>
      <c r="Q1443" t="s">
        <v>75</v>
      </c>
      <c r="R1443">
        <v>22</v>
      </c>
      <c r="S1443" t="s">
        <v>41</v>
      </c>
    </row>
    <row r="1444" spans="1:19" x14ac:dyDescent="0.3">
      <c r="A1444" t="s">
        <v>3870</v>
      </c>
      <c r="B1444" s="2">
        <v>45448</v>
      </c>
      <c r="C1444" t="s">
        <v>30</v>
      </c>
      <c r="D1444" t="s">
        <v>72</v>
      </c>
      <c r="E1444" t="s">
        <v>3871</v>
      </c>
      <c r="F1444" t="s">
        <v>46</v>
      </c>
      <c r="G1444" t="s">
        <v>3872</v>
      </c>
      <c r="H1444" t="s">
        <v>80</v>
      </c>
      <c r="I1444" t="s">
        <v>26</v>
      </c>
      <c r="J1444">
        <v>2</v>
      </c>
      <c r="K1444">
        <v>151</v>
      </c>
      <c r="L1444">
        <v>302</v>
      </c>
      <c r="M1444">
        <v>4.5</v>
      </c>
      <c r="N1444">
        <v>49</v>
      </c>
      <c r="O1444">
        <v>200</v>
      </c>
      <c r="P1444">
        <v>40</v>
      </c>
      <c r="Q1444" t="s">
        <v>75</v>
      </c>
      <c r="R1444">
        <v>43</v>
      </c>
      <c r="S1444" t="s">
        <v>41</v>
      </c>
    </row>
    <row r="1445" spans="1:19" x14ac:dyDescent="0.3">
      <c r="A1445" t="s">
        <v>3873</v>
      </c>
      <c r="B1445" s="2">
        <v>45338</v>
      </c>
      <c r="C1445" t="s">
        <v>113</v>
      </c>
      <c r="D1445" t="s">
        <v>21</v>
      </c>
      <c r="E1445" t="s">
        <v>3874</v>
      </c>
      <c r="F1445" t="s">
        <v>115</v>
      </c>
      <c r="G1445" t="s">
        <v>3875</v>
      </c>
      <c r="H1445" t="s">
        <v>53</v>
      </c>
      <c r="I1445" t="s">
        <v>26</v>
      </c>
      <c r="J1445">
        <v>4</v>
      </c>
      <c r="K1445">
        <v>565</v>
      </c>
      <c r="L1445">
        <v>2260</v>
      </c>
      <c r="P1445">
        <v>0</v>
      </c>
      <c r="Q1445" t="s">
        <v>27</v>
      </c>
      <c r="R1445">
        <v>18</v>
      </c>
      <c r="S1445" t="s">
        <v>28</v>
      </c>
    </row>
    <row r="1446" spans="1:19" x14ac:dyDescent="0.3">
      <c r="A1446" t="s">
        <v>3876</v>
      </c>
      <c r="B1446" s="2">
        <v>45359</v>
      </c>
      <c r="C1446" t="s">
        <v>55</v>
      </c>
      <c r="D1446" t="s">
        <v>21</v>
      </c>
      <c r="E1446" t="s">
        <v>3877</v>
      </c>
      <c r="F1446" t="s">
        <v>517</v>
      </c>
      <c r="G1446" t="s">
        <v>3878</v>
      </c>
      <c r="H1446" t="s">
        <v>80</v>
      </c>
      <c r="I1446" t="s">
        <v>26</v>
      </c>
      <c r="J1446">
        <v>2</v>
      </c>
      <c r="K1446">
        <v>193</v>
      </c>
      <c r="L1446">
        <v>386</v>
      </c>
      <c r="O1446">
        <v>200</v>
      </c>
      <c r="P1446">
        <v>40</v>
      </c>
      <c r="Q1446" t="s">
        <v>27</v>
      </c>
      <c r="R1446">
        <v>29</v>
      </c>
      <c r="S1446" t="s">
        <v>28</v>
      </c>
    </row>
    <row r="1447" spans="1:19" x14ac:dyDescent="0.3">
      <c r="A1447" t="s">
        <v>3879</v>
      </c>
      <c r="B1447" s="2">
        <v>45367</v>
      </c>
      <c r="C1447" t="s">
        <v>55</v>
      </c>
      <c r="D1447" t="s">
        <v>100</v>
      </c>
      <c r="E1447" t="s">
        <v>3880</v>
      </c>
      <c r="F1447" t="s">
        <v>192</v>
      </c>
      <c r="G1447" t="s">
        <v>79</v>
      </c>
      <c r="H1447" t="s">
        <v>80</v>
      </c>
      <c r="I1447" t="s">
        <v>26</v>
      </c>
      <c r="J1447">
        <v>3</v>
      </c>
      <c r="K1447">
        <v>129</v>
      </c>
      <c r="L1447">
        <v>387</v>
      </c>
      <c r="P1447">
        <v>0</v>
      </c>
      <c r="Q1447" t="s">
        <v>27</v>
      </c>
      <c r="R1447">
        <v>44</v>
      </c>
      <c r="S1447" t="s">
        <v>28</v>
      </c>
    </row>
    <row r="1448" spans="1:19" x14ac:dyDescent="0.3">
      <c r="A1448" t="s">
        <v>3881</v>
      </c>
      <c r="B1448" s="2">
        <v>45464</v>
      </c>
      <c r="C1448" t="s">
        <v>30</v>
      </c>
      <c r="D1448" t="s">
        <v>21</v>
      </c>
      <c r="E1448" t="s">
        <v>3882</v>
      </c>
      <c r="F1448" t="s">
        <v>115</v>
      </c>
      <c r="G1448" t="s">
        <v>80</v>
      </c>
      <c r="H1448" t="s">
        <v>80</v>
      </c>
      <c r="I1448" t="s">
        <v>26</v>
      </c>
      <c r="J1448">
        <v>2</v>
      </c>
      <c r="K1448">
        <v>575</v>
      </c>
      <c r="L1448">
        <v>1150</v>
      </c>
      <c r="P1448">
        <v>0</v>
      </c>
      <c r="Q1448" t="s">
        <v>49</v>
      </c>
      <c r="R1448">
        <v>48</v>
      </c>
      <c r="S1448" t="s">
        <v>28</v>
      </c>
    </row>
    <row r="1449" spans="1:19" x14ac:dyDescent="0.3">
      <c r="A1449" t="s">
        <v>3883</v>
      </c>
      <c r="B1449" s="2">
        <v>45421</v>
      </c>
      <c r="C1449" t="s">
        <v>71</v>
      </c>
      <c r="D1449" t="s">
        <v>92</v>
      </c>
      <c r="E1449" t="s">
        <v>3884</v>
      </c>
      <c r="F1449" t="s">
        <v>115</v>
      </c>
      <c r="G1449" t="s">
        <v>3885</v>
      </c>
      <c r="H1449" t="s">
        <v>80</v>
      </c>
      <c r="I1449" t="s">
        <v>26</v>
      </c>
      <c r="J1449">
        <v>3</v>
      </c>
      <c r="K1449">
        <v>173</v>
      </c>
      <c r="L1449">
        <v>519</v>
      </c>
      <c r="P1449">
        <v>0</v>
      </c>
      <c r="Q1449" t="s">
        <v>34</v>
      </c>
      <c r="R1449">
        <v>43</v>
      </c>
      <c r="S1449" t="s">
        <v>41</v>
      </c>
    </row>
    <row r="1450" spans="1:19" x14ac:dyDescent="0.3">
      <c r="A1450" t="s">
        <v>3886</v>
      </c>
      <c r="B1450" s="2">
        <v>45446</v>
      </c>
      <c r="C1450" t="s">
        <v>30</v>
      </c>
      <c r="D1450" t="s">
        <v>44</v>
      </c>
      <c r="E1450" t="s">
        <v>3887</v>
      </c>
      <c r="F1450" t="s">
        <v>115</v>
      </c>
      <c r="G1450" t="s">
        <v>154</v>
      </c>
      <c r="H1450" t="s">
        <v>80</v>
      </c>
      <c r="I1450" t="s">
        <v>26</v>
      </c>
      <c r="J1450">
        <v>2</v>
      </c>
      <c r="K1450">
        <v>171</v>
      </c>
      <c r="L1450">
        <v>342</v>
      </c>
      <c r="P1450">
        <v>0</v>
      </c>
      <c r="Q1450" t="s">
        <v>34</v>
      </c>
      <c r="R1450">
        <v>28</v>
      </c>
      <c r="S1450" t="s">
        <v>28</v>
      </c>
    </row>
    <row r="1451" spans="1:19" x14ac:dyDescent="0.3">
      <c r="A1451" t="s">
        <v>3888</v>
      </c>
      <c r="B1451" s="2">
        <v>45386</v>
      </c>
      <c r="C1451" t="s">
        <v>20</v>
      </c>
      <c r="D1451" t="s">
        <v>92</v>
      </c>
      <c r="E1451" t="s">
        <v>3889</v>
      </c>
      <c r="F1451" t="s">
        <v>517</v>
      </c>
      <c r="G1451" t="s">
        <v>3890</v>
      </c>
      <c r="H1451" t="s">
        <v>40</v>
      </c>
      <c r="I1451" t="s">
        <v>26</v>
      </c>
      <c r="J1451">
        <v>3</v>
      </c>
      <c r="K1451">
        <v>267</v>
      </c>
      <c r="L1451">
        <v>801</v>
      </c>
      <c r="M1451">
        <v>4</v>
      </c>
      <c r="N1451">
        <v>44</v>
      </c>
      <c r="P1451">
        <v>0</v>
      </c>
      <c r="Q1451" t="s">
        <v>27</v>
      </c>
      <c r="R1451">
        <v>21</v>
      </c>
      <c r="S1451" t="s">
        <v>41</v>
      </c>
    </row>
    <row r="1452" spans="1:19" x14ac:dyDescent="0.3">
      <c r="A1452" t="s">
        <v>3891</v>
      </c>
      <c r="B1452" s="2">
        <v>45406</v>
      </c>
      <c r="C1452" t="s">
        <v>20</v>
      </c>
      <c r="D1452" t="s">
        <v>72</v>
      </c>
      <c r="E1452" t="s">
        <v>3892</v>
      </c>
      <c r="F1452" t="s">
        <v>192</v>
      </c>
      <c r="G1452" t="s">
        <v>227</v>
      </c>
      <c r="H1452" t="s">
        <v>80</v>
      </c>
      <c r="I1452" t="s">
        <v>26</v>
      </c>
      <c r="J1452">
        <v>3</v>
      </c>
      <c r="K1452">
        <v>279</v>
      </c>
      <c r="L1452">
        <v>837</v>
      </c>
      <c r="O1452">
        <v>120</v>
      </c>
      <c r="P1452">
        <v>20</v>
      </c>
      <c r="Q1452" t="s">
        <v>27</v>
      </c>
      <c r="R1452">
        <v>44</v>
      </c>
      <c r="S1452" t="s">
        <v>41</v>
      </c>
    </row>
    <row r="1453" spans="1:19" x14ac:dyDescent="0.3">
      <c r="A1453" t="s">
        <v>3893</v>
      </c>
      <c r="B1453" s="2">
        <v>45455</v>
      </c>
      <c r="C1453" t="s">
        <v>30</v>
      </c>
      <c r="D1453" t="s">
        <v>72</v>
      </c>
      <c r="E1453" t="s">
        <v>3894</v>
      </c>
      <c r="F1453" t="s">
        <v>517</v>
      </c>
      <c r="G1453" t="s">
        <v>64</v>
      </c>
      <c r="H1453" t="s">
        <v>64</v>
      </c>
      <c r="I1453" t="s">
        <v>26</v>
      </c>
      <c r="J1453">
        <v>2</v>
      </c>
      <c r="K1453">
        <v>489</v>
      </c>
      <c r="L1453">
        <v>978</v>
      </c>
      <c r="M1453">
        <v>4.0999999999999996</v>
      </c>
      <c r="N1453">
        <v>43</v>
      </c>
      <c r="P1453">
        <v>0</v>
      </c>
      <c r="Q1453" t="s">
        <v>27</v>
      </c>
      <c r="R1453">
        <v>35</v>
      </c>
      <c r="S1453" t="s">
        <v>41</v>
      </c>
    </row>
    <row r="1454" spans="1:19" x14ac:dyDescent="0.3">
      <c r="A1454" t="s">
        <v>3895</v>
      </c>
      <c r="B1454" s="2">
        <v>45327</v>
      </c>
      <c r="C1454" t="s">
        <v>113</v>
      </c>
      <c r="D1454" t="s">
        <v>44</v>
      </c>
      <c r="E1454" t="s">
        <v>3896</v>
      </c>
      <c r="F1454" t="s">
        <v>713</v>
      </c>
      <c r="G1454" t="s">
        <v>2410</v>
      </c>
      <c r="H1454" t="s">
        <v>48</v>
      </c>
      <c r="I1454" t="s">
        <v>33</v>
      </c>
      <c r="J1454">
        <v>4</v>
      </c>
      <c r="K1454">
        <v>133</v>
      </c>
      <c r="L1454">
        <v>532</v>
      </c>
      <c r="P1454">
        <v>0</v>
      </c>
      <c r="Q1454" t="s">
        <v>75</v>
      </c>
      <c r="R1454">
        <v>21</v>
      </c>
      <c r="S1454" t="s">
        <v>41</v>
      </c>
    </row>
    <row r="1455" spans="1:19" x14ac:dyDescent="0.3">
      <c r="A1455" t="s">
        <v>3897</v>
      </c>
      <c r="B1455" s="2">
        <v>45317</v>
      </c>
      <c r="C1455" t="s">
        <v>43</v>
      </c>
      <c r="D1455" t="s">
        <v>21</v>
      </c>
      <c r="E1455" t="s">
        <v>3898</v>
      </c>
      <c r="F1455" t="s">
        <v>46</v>
      </c>
      <c r="G1455" t="s">
        <v>3899</v>
      </c>
      <c r="H1455" t="s">
        <v>40</v>
      </c>
      <c r="I1455" t="s">
        <v>26</v>
      </c>
      <c r="J1455">
        <v>1</v>
      </c>
      <c r="K1455">
        <v>297</v>
      </c>
      <c r="L1455">
        <v>297</v>
      </c>
      <c r="P1455">
        <v>0</v>
      </c>
      <c r="Q1455" t="s">
        <v>27</v>
      </c>
      <c r="R1455">
        <v>34</v>
      </c>
      <c r="S1455" t="s">
        <v>41</v>
      </c>
    </row>
    <row r="1456" spans="1:19" x14ac:dyDescent="0.3">
      <c r="A1456" t="s">
        <v>3900</v>
      </c>
      <c r="B1456" s="2">
        <v>45334</v>
      </c>
      <c r="C1456" t="s">
        <v>113</v>
      </c>
      <c r="D1456" t="s">
        <v>44</v>
      </c>
      <c r="E1456" t="s">
        <v>3901</v>
      </c>
      <c r="F1456" t="s">
        <v>192</v>
      </c>
      <c r="G1456" t="s">
        <v>3902</v>
      </c>
      <c r="H1456" t="s">
        <v>80</v>
      </c>
      <c r="I1456" t="s">
        <v>26</v>
      </c>
      <c r="J1456">
        <v>4</v>
      </c>
      <c r="K1456">
        <v>531</v>
      </c>
      <c r="L1456">
        <v>2124</v>
      </c>
      <c r="M1456">
        <v>4</v>
      </c>
      <c r="N1456">
        <v>70</v>
      </c>
      <c r="O1456">
        <v>999</v>
      </c>
      <c r="P1456">
        <v>0</v>
      </c>
      <c r="Q1456" t="s">
        <v>75</v>
      </c>
      <c r="R1456">
        <v>19</v>
      </c>
      <c r="S1456" t="s">
        <v>28</v>
      </c>
    </row>
    <row r="1457" spans="1:19" x14ac:dyDescent="0.3">
      <c r="A1457" t="s">
        <v>3903</v>
      </c>
      <c r="B1457" s="2">
        <v>45318</v>
      </c>
      <c r="C1457" t="s">
        <v>43</v>
      </c>
      <c r="D1457" t="s">
        <v>100</v>
      </c>
      <c r="E1457" t="s">
        <v>3904</v>
      </c>
      <c r="F1457" t="s">
        <v>3905</v>
      </c>
      <c r="G1457" t="s">
        <v>3906</v>
      </c>
      <c r="H1457" t="s">
        <v>25</v>
      </c>
      <c r="I1457" t="s">
        <v>26</v>
      </c>
      <c r="J1457">
        <v>2</v>
      </c>
      <c r="K1457">
        <v>485</v>
      </c>
      <c r="L1457">
        <v>970</v>
      </c>
      <c r="P1457">
        <v>0</v>
      </c>
      <c r="Q1457" t="s">
        <v>34</v>
      </c>
      <c r="R1457">
        <v>46</v>
      </c>
      <c r="S1457" t="s">
        <v>41</v>
      </c>
    </row>
    <row r="1458" spans="1:19" x14ac:dyDescent="0.3">
      <c r="A1458" t="s">
        <v>3907</v>
      </c>
      <c r="B1458" s="2">
        <v>45360</v>
      </c>
      <c r="C1458" t="s">
        <v>55</v>
      </c>
      <c r="D1458" t="s">
        <v>100</v>
      </c>
      <c r="E1458" t="s">
        <v>3908</v>
      </c>
      <c r="F1458" t="s">
        <v>115</v>
      </c>
      <c r="G1458" t="s">
        <v>3909</v>
      </c>
      <c r="H1458" t="s">
        <v>53</v>
      </c>
      <c r="I1458" t="s">
        <v>26</v>
      </c>
      <c r="J1458">
        <v>4</v>
      </c>
      <c r="K1458">
        <v>172</v>
      </c>
      <c r="L1458">
        <v>688</v>
      </c>
      <c r="O1458">
        <v>700</v>
      </c>
      <c r="P1458">
        <v>20</v>
      </c>
      <c r="Q1458" t="s">
        <v>49</v>
      </c>
      <c r="R1458">
        <v>41</v>
      </c>
      <c r="S1458" t="s">
        <v>41</v>
      </c>
    </row>
    <row r="1459" spans="1:19" x14ac:dyDescent="0.3">
      <c r="A1459" t="s">
        <v>3910</v>
      </c>
      <c r="B1459" s="2">
        <v>45439</v>
      </c>
      <c r="C1459" t="s">
        <v>71</v>
      </c>
      <c r="D1459" t="s">
        <v>44</v>
      </c>
      <c r="E1459" t="s">
        <v>3911</v>
      </c>
      <c r="F1459" t="s">
        <v>62</v>
      </c>
      <c r="G1459" t="s">
        <v>186</v>
      </c>
      <c r="H1459" t="s">
        <v>80</v>
      </c>
      <c r="I1459" t="s">
        <v>26</v>
      </c>
      <c r="J1459">
        <v>3</v>
      </c>
      <c r="K1459">
        <v>527</v>
      </c>
      <c r="L1459">
        <v>1581</v>
      </c>
      <c r="P1459">
        <v>0</v>
      </c>
      <c r="Q1459" t="s">
        <v>49</v>
      </c>
      <c r="R1459">
        <v>39</v>
      </c>
      <c r="S1459" t="s">
        <v>28</v>
      </c>
    </row>
    <row r="1460" spans="1:19" x14ac:dyDescent="0.3">
      <c r="A1460" t="s">
        <v>3912</v>
      </c>
      <c r="B1460" s="2">
        <v>45302</v>
      </c>
      <c r="C1460" t="s">
        <v>43</v>
      </c>
      <c r="D1460" t="s">
        <v>92</v>
      </c>
      <c r="E1460" t="s">
        <v>3913</v>
      </c>
      <c r="F1460" t="s">
        <v>746</v>
      </c>
      <c r="G1460" t="s">
        <v>3914</v>
      </c>
      <c r="H1460" t="s">
        <v>48</v>
      </c>
      <c r="I1460" t="s">
        <v>33</v>
      </c>
      <c r="J1460">
        <v>1</v>
      </c>
      <c r="K1460">
        <v>454</v>
      </c>
      <c r="L1460">
        <v>454</v>
      </c>
      <c r="M1460">
        <v>3.6</v>
      </c>
      <c r="N1460">
        <v>47</v>
      </c>
      <c r="P1460">
        <v>0</v>
      </c>
      <c r="Q1460" t="s">
        <v>49</v>
      </c>
      <c r="R1460">
        <v>19</v>
      </c>
      <c r="S1460" t="s">
        <v>28</v>
      </c>
    </row>
    <row r="1461" spans="1:19" x14ac:dyDescent="0.3">
      <c r="A1461" t="s">
        <v>3915</v>
      </c>
      <c r="B1461" s="2">
        <v>45365</v>
      </c>
      <c r="C1461" t="s">
        <v>55</v>
      </c>
      <c r="D1461" t="s">
        <v>92</v>
      </c>
      <c r="E1461" t="s">
        <v>3916</v>
      </c>
      <c r="F1461" t="s">
        <v>192</v>
      </c>
      <c r="G1461" t="s">
        <v>3917</v>
      </c>
      <c r="H1461" t="s">
        <v>40</v>
      </c>
      <c r="I1461" t="s">
        <v>26</v>
      </c>
      <c r="J1461">
        <v>2</v>
      </c>
      <c r="K1461">
        <v>141</v>
      </c>
      <c r="L1461">
        <v>282</v>
      </c>
      <c r="P1461">
        <v>0</v>
      </c>
      <c r="Q1461" t="s">
        <v>49</v>
      </c>
      <c r="R1461">
        <v>29</v>
      </c>
      <c r="S1461" t="s">
        <v>41</v>
      </c>
    </row>
    <row r="1462" spans="1:19" x14ac:dyDescent="0.3">
      <c r="A1462" t="s">
        <v>3918</v>
      </c>
      <c r="B1462" s="2">
        <v>45395</v>
      </c>
      <c r="C1462" t="s">
        <v>20</v>
      </c>
      <c r="D1462" t="s">
        <v>100</v>
      </c>
      <c r="E1462" t="s">
        <v>3919</v>
      </c>
      <c r="F1462" t="s">
        <v>115</v>
      </c>
      <c r="G1462" t="s">
        <v>3920</v>
      </c>
      <c r="H1462" t="s">
        <v>40</v>
      </c>
      <c r="I1462" t="s">
        <v>26</v>
      </c>
      <c r="J1462">
        <v>2</v>
      </c>
      <c r="K1462">
        <v>149</v>
      </c>
      <c r="L1462">
        <v>298</v>
      </c>
      <c r="P1462">
        <v>0</v>
      </c>
      <c r="Q1462" t="s">
        <v>75</v>
      </c>
      <c r="R1462">
        <v>48</v>
      </c>
      <c r="S1462" t="s">
        <v>41</v>
      </c>
    </row>
    <row r="1463" spans="1:19" x14ac:dyDescent="0.3">
      <c r="A1463" t="s">
        <v>3921</v>
      </c>
      <c r="B1463" s="2">
        <v>45329</v>
      </c>
      <c r="C1463" t="s">
        <v>113</v>
      </c>
      <c r="D1463" t="s">
        <v>72</v>
      </c>
      <c r="E1463" t="s">
        <v>3922</v>
      </c>
      <c r="F1463" t="s">
        <v>46</v>
      </c>
      <c r="G1463" t="s">
        <v>1096</v>
      </c>
      <c r="H1463" t="s">
        <v>48</v>
      </c>
      <c r="I1463" t="s">
        <v>33</v>
      </c>
      <c r="J1463">
        <v>2</v>
      </c>
      <c r="K1463">
        <v>310</v>
      </c>
      <c r="L1463">
        <v>620</v>
      </c>
      <c r="M1463">
        <v>4.9000000000000004</v>
      </c>
      <c r="N1463">
        <v>48</v>
      </c>
      <c r="P1463">
        <v>0</v>
      </c>
      <c r="Q1463" t="s">
        <v>75</v>
      </c>
      <c r="R1463">
        <v>23</v>
      </c>
      <c r="S1463" t="s">
        <v>28</v>
      </c>
    </row>
    <row r="1464" spans="1:19" x14ac:dyDescent="0.3">
      <c r="A1464" t="s">
        <v>3923</v>
      </c>
      <c r="B1464" s="2">
        <v>45425</v>
      </c>
      <c r="C1464" t="s">
        <v>71</v>
      </c>
      <c r="D1464" t="s">
        <v>44</v>
      </c>
      <c r="E1464" t="s">
        <v>3924</v>
      </c>
      <c r="F1464" t="s">
        <v>450</v>
      </c>
      <c r="G1464" t="s">
        <v>1403</v>
      </c>
      <c r="H1464" t="s">
        <v>48</v>
      </c>
      <c r="I1464" t="s">
        <v>33</v>
      </c>
      <c r="J1464">
        <v>1</v>
      </c>
      <c r="K1464">
        <v>379</v>
      </c>
      <c r="L1464">
        <v>379</v>
      </c>
      <c r="P1464">
        <v>0</v>
      </c>
      <c r="Q1464" t="s">
        <v>27</v>
      </c>
      <c r="R1464">
        <v>27</v>
      </c>
      <c r="S1464" t="s">
        <v>41</v>
      </c>
    </row>
    <row r="1465" spans="1:19" x14ac:dyDescent="0.3">
      <c r="A1465" t="s">
        <v>3925</v>
      </c>
      <c r="B1465" s="2">
        <v>45491</v>
      </c>
      <c r="C1465" t="s">
        <v>59</v>
      </c>
      <c r="D1465" t="s">
        <v>92</v>
      </c>
      <c r="E1465" t="s">
        <v>3926</v>
      </c>
      <c r="F1465" t="s">
        <v>115</v>
      </c>
      <c r="G1465" t="s">
        <v>1365</v>
      </c>
      <c r="H1465" t="s">
        <v>80</v>
      </c>
      <c r="I1465" t="s">
        <v>26</v>
      </c>
      <c r="J1465">
        <v>3</v>
      </c>
      <c r="K1465">
        <v>324</v>
      </c>
      <c r="L1465">
        <v>972</v>
      </c>
      <c r="M1465">
        <v>3.5</v>
      </c>
      <c r="N1465">
        <v>45</v>
      </c>
      <c r="P1465">
        <v>0</v>
      </c>
      <c r="Q1465" t="s">
        <v>75</v>
      </c>
      <c r="R1465">
        <v>42</v>
      </c>
      <c r="S1465" t="s">
        <v>28</v>
      </c>
    </row>
    <row r="1466" spans="1:19" x14ac:dyDescent="0.3">
      <c r="A1466" t="s">
        <v>3927</v>
      </c>
      <c r="B1466" s="2">
        <v>45314</v>
      </c>
      <c r="C1466" t="s">
        <v>43</v>
      </c>
      <c r="D1466" t="s">
        <v>36</v>
      </c>
      <c r="E1466" t="s">
        <v>3928</v>
      </c>
      <c r="F1466" t="s">
        <v>115</v>
      </c>
      <c r="G1466" t="s">
        <v>2161</v>
      </c>
      <c r="H1466" t="s">
        <v>53</v>
      </c>
      <c r="I1466" t="s">
        <v>26</v>
      </c>
      <c r="J1466">
        <v>2</v>
      </c>
      <c r="K1466">
        <v>178</v>
      </c>
      <c r="L1466">
        <v>356</v>
      </c>
      <c r="M1466">
        <v>4.2</v>
      </c>
      <c r="N1466">
        <v>43</v>
      </c>
      <c r="P1466">
        <v>0</v>
      </c>
      <c r="Q1466" t="s">
        <v>27</v>
      </c>
      <c r="R1466">
        <v>40</v>
      </c>
      <c r="S1466" t="s">
        <v>28</v>
      </c>
    </row>
    <row r="1467" spans="1:19" x14ac:dyDescent="0.3">
      <c r="A1467" t="s">
        <v>3929</v>
      </c>
      <c r="B1467" s="2">
        <v>45338</v>
      </c>
      <c r="C1467" t="s">
        <v>113</v>
      </c>
      <c r="D1467" t="s">
        <v>21</v>
      </c>
      <c r="E1467" t="s">
        <v>3930</v>
      </c>
      <c r="F1467" t="s">
        <v>192</v>
      </c>
      <c r="G1467" t="s">
        <v>3931</v>
      </c>
      <c r="H1467" t="s">
        <v>40</v>
      </c>
      <c r="I1467" t="s">
        <v>26</v>
      </c>
      <c r="J1467">
        <v>4</v>
      </c>
      <c r="K1467">
        <v>590</v>
      </c>
      <c r="L1467">
        <v>2360</v>
      </c>
      <c r="P1467">
        <v>0</v>
      </c>
      <c r="Q1467" t="s">
        <v>27</v>
      </c>
      <c r="R1467">
        <v>42</v>
      </c>
      <c r="S1467" t="s">
        <v>41</v>
      </c>
    </row>
    <row r="1468" spans="1:19" x14ac:dyDescent="0.3">
      <c r="A1468" t="s">
        <v>3932</v>
      </c>
      <c r="B1468" s="2">
        <v>45381</v>
      </c>
      <c r="C1468" t="s">
        <v>55</v>
      </c>
      <c r="D1468" t="s">
        <v>100</v>
      </c>
      <c r="E1468" t="s">
        <v>3933</v>
      </c>
      <c r="F1468" t="s">
        <v>450</v>
      </c>
      <c r="G1468" t="s">
        <v>344</v>
      </c>
      <c r="H1468" t="s">
        <v>40</v>
      </c>
      <c r="I1468" t="s">
        <v>26</v>
      </c>
      <c r="J1468">
        <v>2</v>
      </c>
      <c r="K1468">
        <v>383</v>
      </c>
      <c r="L1468">
        <v>766</v>
      </c>
      <c r="M1468">
        <v>3.8</v>
      </c>
      <c r="N1468">
        <v>54</v>
      </c>
      <c r="P1468">
        <v>0</v>
      </c>
      <c r="Q1468" t="s">
        <v>49</v>
      </c>
      <c r="R1468">
        <v>38</v>
      </c>
      <c r="S1468" t="s">
        <v>28</v>
      </c>
    </row>
    <row r="1469" spans="1:19" x14ac:dyDescent="0.3">
      <c r="A1469" t="s">
        <v>3934</v>
      </c>
      <c r="B1469" s="2">
        <v>45337</v>
      </c>
      <c r="C1469" t="s">
        <v>113</v>
      </c>
      <c r="D1469" t="s">
        <v>92</v>
      </c>
      <c r="E1469" t="s">
        <v>3935</v>
      </c>
      <c r="F1469" t="s">
        <v>78</v>
      </c>
      <c r="G1469" t="s">
        <v>2104</v>
      </c>
      <c r="H1469" t="s">
        <v>64</v>
      </c>
      <c r="I1469" t="s">
        <v>26</v>
      </c>
      <c r="J1469">
        <v>2</v>
      </c>
      <c r="K1469">
        <v>585</v>
      </c>
      <c r="L1469">
        <v>1170</v>
      </c>
      <c r="M1469">
        <v>4</v>
      </c>
      <c r="N1469">
        <v>48</v>
      </c>
      <c r="O1469">
        <v>449</v>
      </c>
      <c r="P1469">
        <v>0</v>
      </c>
      <c r="Q1469" t="s">
        <v>75</v>
      </c>
      <c r="R1469">
        <v>40</v>
      </c>
      <c r="S1469" t="s">
        <v>41</v>
      </c>
    </row>
    <row r="1470" spans="1:19" x14ac:dyDescent="0.3">
      <c r="A1470" t="s">
        <v>3936</v>
      </c>
      <c r="B1470" s="2">
        <v>45398</v>
      </c>
      <c r="C1470" t="s">
        <v>20</v>
      </c>
      <c r="D1470" t="s">
        <v>36</v>
      </c>
      <c r="E1470" t="s">
        <v>3937</v>
      </c>
      <c r="F1470" t="s">
        <v>46</v>
      </c>
      <c r="G1470" t="s">
        <v>3938</v>
      </c>
      <c r="H1470" t="s">
        <v>53</v>
      </c>
      <c r="I1470" t="s">
        <v>26</v>
      </c>
      <c r="J1470">
        <v>2</v>
      </c>
      <c r="K1470">
        <v>131</v>
      </c>
      <c r="L1470">
        <v>262</v>
      </c>
      <c r="M1470">
        <v>5</v>
      </c>
      <c r="N1470">
        <v>43</v>
      </c>
      <c r="P1470">
        <v>0</v>
      </c>
      <c r="Q1470" t="s">
        <v>75</v>
      </c>
      <c r="R1470">
        <v>44</v>
      </c>
      <c r="S1470" t="s">
        <v>41</v>
      </c>
    </row>
    <row r="1471" spans="1:19" x14ac:dyDescent="0.3">
      <c r="A1471" t="s">
        <v>3939</v>
      </c>
      <c r="B1471" s="2">
        <v>45431</v>
      </c>
      <c r="C1471" t="s">
        <v>71</v>
      </c>
      <c r="D1471" t="s">
        <v>60</v>
      </c>
      <c r="E1471" t="s">
        <v>3940</v>
      </c>
      <c r="F1471" t="s">
        <v>192</v>
      </c>
      <c r="G1471" t="s">
        <v>3941</v>
      </c>
      <c r="H1471" t="s">
        <v>40</v>
      </c>
      <c r="I1471" t="s">
        <v>26</v>
      </c>
      <c r="J1471">
        <v>2</v>
      </c>
      <c r="K1471">
        <v>238</v>
      </c>
      <c r="L1471">
        <v>476</v>
      </c>
      <c r="P1471">
        <v>0</v>
      </c>
      <c r="Q1471" t="s">
        <v>27</v>
      </c>
      <c r="R1471">
        <v>33</v>
      </c>
      <c r="S1471" t="s">
        <v>41</v>
      </c>
    </row>
    <row r="1472" spans="1:19" x14ac:dyDescent="0.3">
      <c r="A1472" t="s">
        <v>3942</v>
      </c>
      <c r="B1472" s="2">
        <v>45509</v>
      </c>
      <c r="C1472" t="s">
        <v>82</v>
      </c>
      <c r="D1472" t="s">
        <v>44</v>
      </c>
      <c r="E1472" t="s">
        <v>3943</v>
      </c>
      <c r="F1472" t="s">
        <v>192</v>
      </c>
      <c r="G1472" t="s">
        <v>3944</v>
      </c>
      <c r="H1472" t="s">
        <v>25</v>
      </c>
      <c r="I1472" t="s">
        <v>26</v>
      </c>
      <c r="J1472">
        <v>3</v>
      </c>
      <c r="K1472">
        <v>534</v>
      </c>
      <c r="L1472">
        <v>1602</v>
      </c>
      <c r="P1472">
        <v>0</v>
      </c>
      <c r="Q1472" t="s">
        <v>27</v>
      </c>
      <c r="R1472">
        <v>48</v>
      </c>
      <c r="S1472" t="s">
        <v>28</v>
      </c>
    </row>
    <row r="1473" spans="1:19" x14ac:dyDescent="0.3">
      <c r="A1473" t="s">
        <v>3945</v>
      </c>
      <c r="B1473" s="2">
        <v>45432</v>
      </c>
      <c r="C1473" t="s">
        <v>71</v>
      </c>
      <c r="D1473" t="s">
        <v>44</v>
      </c>
      <c r="E1473" t="s">
        <v>3946</v>
      </c>
      <c r="F1473" t="s">
        <v>578</v>
      </c>
      <c r="G1473" t="s">
        <v>1403</v>
      </c>
      <c r="H1473" t="s">
        <v>48</v>
      </c>
      <c r="I1473" t="s">
        <v>33</v>
      </c>
      <c r="J1473">
        <v>4</v>
      </c>
      <c r="K1473">
        <v>581</v>
      </c>
      <c r="L1473">
        <v>2324</v>
      </c>
      <c r="O1473">
        <v>449</v>
      </c>
      <c r="P1473">
        <v>0</v>
      </c>
      <c r="Q1473" t="s">
        <v>34</v>
      </c>
      <c r="R1473">
        <v>31</v>
      </c>
      <c r="S1473" t="s">
        <v>41</v>
      </c>
    </row>
    <row r="1474" spans="1:19" x14ac:dyDescent="0.3">
      <c r="A1474" t="s">
        <v>3947</v>
      </c>
      <c r="B1474" s="2">
        <v>45395</v>
      </c>
      <c r="C1474" t="s">
        <v>20</v>
      </c>
      <c r="D1474" t="s">
        <v>100</v>
      </c>
      <c r="E1474" t="s">
        <v>3948</v>
      </c>
      <c r="F1474" t="s">
        <v>115</v>
      </c>
      <c r="G1474" t="s">
        <v>3949</v>
      </c>
      <c r="H1474" t="s">
        <v>80</v>
      </c>
      <c r="I1474" t="s">
        <v>33</v>
      </c>
      <c r="J1474">
        <v>3</v>
      </c>
      <c r="K1474">
        <v>409</v>
      </c>
      <c r="L1474">
        <v>1227</v>
      </c>
      <c r="M1474">
        <v>4.7</v>
      </c>
      <c r="N1474">
        <v>40</v>
      </c>
      <c r="O1474">
        <v>100</v>
      </c>
      <c r="P1474">
        <v>20</v>
      </c>
      <c r="Q1474" t="s">
        <v>34</v>
      </c>
      <c r="R1474">
        <v>24</v>
      </c>
      <c r="S1474" t="s">
        <v>28</v>
      </c>
    </row>
    <row r="1475" spans="1:19" x14ac:dyDescent="0.3">
      <c r="A1475" t="s">
        <v>3950</v>
      </c>
      <c r="B1475" s="2">
        <v>45481</v>
      </c>
      <c r="C1475" t="s">
        <v>59</v>
      </c>
      <c r="D1475" t="s">
        <v>44</v>
      </c>
      <c r="E1475" t="s">
        <v>3951</v>
      </c>
      <c r="F1475" t="s">
        <v>517</v>
      </c>
      <c r="G1475" t="s">
        <v>3952</v>
      </c>
      <c r="H1475" t="s">
        <v>80</v>
      </c>
      <c r="I1475" t="s">
        <v>26</v>
      </c>
      <c r="J1475">
        <v>4</v>
      </c>
      <c r="K1475">
        <v>457</v>
      </c>
      <c r="L1475">
        <v>1828</v>
      </c>
      <c r="M1475">
        <v>5</v>
      </c>
      <c r="N1475">
        <v>45</v>
      </c>
      <c r="P1475">
        <v>0</v>
      </c>
      <c r="Q1475" t="s">
        <v>27</v>
      </c>
      <c r="R1475">
        <v>45</v>
      </c>
      <c r="S1475" t="s">
        <v>41</v>
      </c>
    </row>
    <row r="1476" spans="1:19" x14ac:dyDescent="0.3">
      <c r="A1476" t="s">
        <v>3953</v>
      </c>
      <c r="B1476" s="2">
        <v>45501</v>
      </c>
      <c r="C1476" t="s">
        <v>59</v>
      </c>
      <c r="D1476" t="s">
        <v>60</v>
      </c>
      <c r="E1476" t="s">
        <v>3954</v>
      </c>
      <c r="F1476" t="s">
        <v>46</v>
      </c>
      <c r="G1476" t="s">
        <v>109</v>
      </c>
      <c r="H1476" t="s">
        <v>64</v>
      </c>
      <c r="I1476" t="s">
        <v>26</v>
      </c>
      <c r="J1476">
        <v>2</v>
      </c>
      <c r="K1476">
        <v>367</v>
      </c>
      <c r="L1476">
        <v>734</v>
      </c>
      <c r="P1476">
        <v>0</v>
      </c>
      <c r="Q1476" t="s">
        <v>34</v>
      </c>
      <c r="R1476">
        <v>49</v>
      </c>
      <c r="S1476" t="s">
        <v>41</v>
      </c>
    </row>
    <row r="1477" spans="1:19" x14ac:dyDescent="0.3">
      <c r="A1477" t="s">
        <v>3955</v>
      </c>
      <c r="B1477" s="2">
        <v>45508</v>
      </c>
      <c r="C1477" t="s">
        <v>82</v>
      </c>
      <c r="D1477" t="s">
        <v>60</v>
      </c>
      <c r="E1477" t="s">
        <v>3956</v>
      </c>
      <c r="F1477" t="s">
        <v>450</v>
      </c>
      <c r="G1477" t="s">
        <v>1403</v>
      </c>
      <c r="H1477" t="s">
        <v>48</v>
      </c>
      <c r="I1477" t="s">
        <v>33</v>
      </c>
      <c r="J1477">
        <v>1</v>
      </c>
      <c r="K1477">
        <v>473</v>
      </c>
      <c r="L1477">
        <v>473</v>
      </c>
      <c r="M1477">
        <v>2.9</v>
      </c>
      <c r="N1477">
        <v>55</v>
      </c>
      <c r="P1477">
        <v>0</v>
      </c>
      <c r="Q1477" t="s">
        <v>34</v>
      </c>
      <c r="R1477">
        <v>45</v>
      </c>
      <c r="S1477" t="s">
        <v>28</v>
      </c>
    </row>
    <row r="1478" spans="1:19" x14ac:dyDescent="0.3">
      <c r="A1478" t="s">
        <v>3957</v>
      </c>
      <c r="B1478" s="2">
        <v>45516</v>
      </c>
      <c r="C1478" t="s">
        <v>82</v>
      </c>
      <c r="D1478" t="s">
        <v>44</v>
      </c>
      <c r="E1478" t="s">
        <v>3958</v>
      </c>
      <c r="F1478" t="s">
        <v>192</v>
      </c>
      <c r="G1478" t="s">
        <v>154</v>
      </c>
      <c r="H1478" t="s">
        <v>80</v>
      </c>
      <c r="I1478" t="s">
        <v>26</v>
      </c>
      <c r="J1478">
        <v>3</v>
      </c>
      <c r="K1478">
        <v>246</v>
      </c>
      <c r="L1478">
        <v>738</v>
      </c>
      <c r="P1478">
        <v>0</v>
      </c>
      <c r="Q1478" t="s">
        <v>27</v>
      </c>
      <c r="R1478">
        <v>36</v>
      </c>
      <c r="S1478" t="s">
        <v>41</v>
      </c>
    </row>
    <row r="1479" spans="1:19" x14ac:dyDescent="0.3">
      <c r="A1479" t="s">
        <v>3959</v>
      </c>
      <c r="B1479" s="2">
        <v>45402</v>
      </c>
      <c r="C1479" t="s">
        <v>20</v>
      </c>
      <c r="D1479" t="s">
        <v>100</v>
      </c>
      <c r="E1479" t="s">
        <v>3960</v>
      </c>
      <c r="F1479" t="s">
        <v>192</v>
      </c>
      <c r="G1479" t="s">
        <v>3961</v>
      </c>
      <c r="H1479" t="s">
        <v>48</v>
      </c>
      <c r="I1479" t="s">
        <v>33</v>
      </c>
      <c r="J1479">
        <v>1</v>
      </c>
      <c r="K1479">
        <v>194</v>
      </c>
      <c r="L1479">
        <v>194</v>
      </c>
      <c r="P1479">
        <v>0</v>
      </c>
      <c r="Q1479" t="s">
        <v>27</v>
      </c>
      <c r="R1479">
        <v>40</v>
      </c>
      <c r="S1479" t="s">
        <v>41</v>
      </c>
    </row>
    <row r="1480" spans="1:19" x14ac:dyDescent="0.3">
      <c r="A1480" t="s">
        <v>3962</v>
      </c>
      <c r="B1480" s="2">
        <v>45395</v>
      </c>
      <c r="C1480" t="s">
        <v>20</v>
      </c>
      <c r="D1480" t="s">
        <v>100</v>
      </c>
      <c r="E1480" t="s">
        <v>3963</v>
      </c>
      <c r="F1480" t="s">
        <v>192</v>
      </c>
      <c r="G1480" t="s">
        <v>3964</v>
      </c>
      <c r="H1480" t="s">
        <v>80</v>
      </c>
      <c r="I1480" t="s">
        <v>26</v>
      </c>
      <c r="J1480">
        <v>3</v>
      </c>
      <c r="K1480">
        <v>480</v>
      </c>
      <c r="L1480">
        <v>1440</v>
      </c>
      <c r="P1480">
        <v>0</v>
      </c>
      <c r="Q1480" t="s">
        <v>75</v>
      </c>
      <c r="R1480">
        <v>34</v>
      </c>
      <c r="S1480" t="s">
        <v>28</v>
      </c>
    </row>
    <row r="1481" spans="1:19" x14ac:dyDescent="0.3">
      <c r="A1481" t="s">
        <v>3965</v>
      </c>
      <c r="B1481" s="2">
        <v>45351</v>
      </c>
      <c r="C1481" t="s">
        <v>113</v>
      </c>
      <c r="D1481" t="s">
        <v>92</v>
      </c>
      <c r="E1481" t="s">
        <v>3966</v>
      </c>
      <c r="F1481" t="s">
        <v>450</v>
      </c>
      <c r="G1481" t="s">
        <v>2499</v>
      </c>
      <c r="H1481" t="s">
        <v>53</v>
      </c>
      <c r="I1481" t="s">
        <v>26</v>
      </c>
      <c r="J1481">
        <v>2</v>
      </c>
      <c r="K1481">
        <v>323</v>
      </c>
      <c r="L1481">
        <v>646</v>
      </c>
      <c r="P1481">
        <v>0</v>
      </c>
      <c r="Q1481" t="s">
        <v>27</v>
      </c>
      <c r="R1481">
        <v>26</v>
      </c>
      <c r="S1481" t="s">
        <v>28</v>
      </c>
    </row>
    <row r="1482" spans="1:19" x14ac:dyDescent="0.3">
      <c r="A1482" t="s">
        <v>3967</v>
      </c>
      <c r="B1482" s="2">
        <v>45462</v>
      </c>
      <c r="C1482" t="s">
        <v>30</v>
      </c>
      <c r="D1482" t="s">
        <v>72</v>
      </c>
      <c r="E1482" t="s">
        <v>3968</v>
      </c>
      <c r="F1482" t="s">
        <v>450</v>
      </c>
      <c r="G1482" t="s">
        <v>186</v>
      </c>
      <c r="H1482" t="s">
        <v>80</v>
      </c>
      <c r="I1482" t="s">
        <v>26</v>
      </c>
      <c r="J1482">
        <v>3</v>
      </c>
      <c r="K1482">
        <v>168</v>
      </c>
      <c r="L1482">
        <v>504</v>
      </c>
      <c r="P1482">
        <v>0</v>
      </c>
      <c r="Q1482" t="s">
        <v>27</v>
      </c>
      <c r="R1482">
        <v>43</v>
      </c>
      <c r="S1482" t="s">
        <v>28</v>
      </c>
    </row>
    <row r="1483" spans="1:19" x14ac:dyDescent="0.3">
      <c r="A1483" t="s">
        <v>3969</v>
      </c>
      <c r="B1483" s="2">
        <v>45495</v>
      </c>
      <c r="C1483" t="s">
        <v>59</v>
      </c>
      <c r="D1483" t="s">
        <v>44</v>
      </c>
      <c r="E1483" t="s">
        <v>3970</v>
      </c>
      <c r="F1483" t="s">
        <v>46</v>
      </c>
      <c r="G1483" t="s">
        <v>186</v>
      </c>
      <c r="H1483" t="s">
        <v>80</v>
      </c>
      <c r="I1483" t="s">
        <v>26</v>
      </c>
      <c r="J1483">
        <v>2</v>
      </c>
      <c r="K1483">
        <v>198</v>
      </c>
      <c r="L1483">
        <v>396</v>
      </c>
      <c r="P1483">
        <v>0</v>
      </c>
      <c r="Q1483" t="s">
        <v>49</v>
      </c>
      <c r="R1483">
        <v>30</v>
      </c>
      <c r="S1483" t="s">
        <v>41</v>
      </c>
    </row>
    <row r="1484" spans="1:19" x14ac:dyDescent="0.3">
      <c r="A1484" t="s">
        <v>3971</v>
      </c>
      <c r="B1484" s="2">
        <v>45527</v>
      </c>
      <c r="C1484" t="s">
        <v>82</v>
      </c>
      <c r="D1484" t="s">
        <v>21</v>
      </c>
      <c r="E1484" t="s">
        <v>3972</v>
      </c>
      <c r="F1484" t="s">
        <v>713</v>
      </c>
      <c r="G1484" t="s">
        <v>585</v>
      </c>
      <c r="H1484" t="s">
        <v>80</v>
      </c>
      <c r="I1484" t="s">
        <v>26</v>
      </c>
      <c r="J1484">
        <v>3</v>
      </c>
      <c r="K1484">
        <v>560</v>
      </c>
      <c r="L1484">
        <v>1680</v>
      </c>
      <c r="O1484">
        <v>100</v>
      </c>
      <c r="P1484">
        <v>15</v>
      </c>
      <c r="Q1484" t="s">
        <v>75</v>
      </c>
      <c r="R1484">
        <v>39</v>
      </c>
      <c r="S1484" t="s">
        <v>28</v>
      </c>
    </row>
    <row r="1485" spans="1:19" x14ac:dyDescent="0.3">
      <c r="A1485" t="s">
        <v>3973</v>
      </c>
      <c r="B1485" s="2">
        <v>45391</v>
      </c>
      <c r="C1485" t="s">
        <v>20</v>
      </c>
      <c r="D1485" t="s">
        <v>36</v>
      </c>
      <c r="E1485" t="s">
        <v>3974</v>
      </c>
      <c r="F1485" t="s">
        <v>115</v>
      </c>
      <c r="G1485" t="s">
        <v>3975</v>
      </c>
      <c r="H1485" t="s">
        <v>80</v>
      </c>
      <c r="I1485" t="s">
        <v>26</v>
      </c>
      <c r="J1485">
        <v>2</v>
      </c>
      <c r="K1485">
        <v>598</v>
      </c>
      <c r="L1485">
        <v>1196</v>
      </c>
      <c r="M1485">
        <v>3.7</v>
      </c>
      <c r="N1485">
        <v>54</v>
      </c>
      <c r="P1485">
        <v>0</v>
      </c>
      <c r="Q1485" t="s">
        <v>75</v>
      </c>
      <c r="R1485">
        <v>49</v>
      </c>
      <c r="S1485" t="s">
        <v>28</v>
      </c>
    </row>
    <row r="1486" spans="1:19" x14ac:dyDescent="0.3">
      <c r="A1486" t="s">
        <v>3976</v>
      </c>
      <c r="B1486" s="2">
        <v>45531</v>
      </c>
      <c r="C1486" t="s">
        <v>82</v>
      </c>
      <c r="D1486" t="s">
        <v>36</v>
      </c>
      <c r="E1486" t="s">
        <v>3977</v>
      </c>
      <c r="F1486" t="s">
        <v>192</v>
      </c>
      <c r="G1486" t="s">
        <v>186</v>
      </c>
      <c r="H1486" t="s">
        <v>80</v>
      </c>
      <c r="I1486" t="s">
        <v>26</v>
      </c>
      <c r="J1486">
        <v>2</v>
      </c>
      <c r="K1486">
        <v>360</v>
      </c>
      <c r="L1486">
        <v>720</v>
      </c>
      <c r="P1486">
        <v>0</v>
      </c>
      <c r="Q1486" t="s">
        <v>75</v>
      </c>
      <c r="R1486">
        <v>22</v>
      </c>
      <c r="S1486" t="s">
        <v>41</v>
      </c>
    </row>
    <row r="1487" spans="1:19" x14ac:dyDescent="0.3">
      <c r="A1487" t="s">
        <v>3978</v>
      </c>
      <c r="B1487" s="2">
        <v>45359</v>
      </c>
      <c r="C1487" t="s">
        <v>55</v>
      </c>
      <c r="D1487" t="s">
        <v>21</v>
      </c>
      <c r="E1487" t="s">
        <v>3979</v>
      </c>
      <c r="F1487" t="s">
        <v>192</v>
      </c>
      <c r="G1487" t="s">
        <v>53</v>
      </c>
      <c r="H1487" t="s">
        <v>53</v>
      </c>
      <c r="I1487" t="s">
        <v>26</v>
      </c>
      <c r="J1487">
        <v>4</v>
      </c>
      <c r="K1487">
        <v>468</v>
      </c>
      <c r="L1487">
        <v>1872</v>
      </c>
      <c r="P1487">
        <v>0</v>
      </c>
      <c r="Q1487" t="s">
        <v>49</v>
      </c>
      <c r="R1487">
        <v>40</v>
      </c>
      <c r="S1487" t="s">
        <v>28</v>
      </c>
    </row>
    <row r="1488" spans="1:19" x14ac:dyDescent="0.3">
      <c r="A1488" t="s">
        <v>3980</v>
      </c>
      <c r="B1488" s="2">
        <v>45424</v>
      </c>
      <c r="C1488" t="s">
        <v>71</v>
      </c>
      <c r="D1488" t="s">
        <v>60</v>
      </c>
      <c r="E1488" t="s">
        <v>3981</v>
      </c>
      <c r="F1488" t="s">
        <v>46</v>
      </c>
      <c r="G1488" t="s">
        <v>3982</v>
      </c>
      <c r="H1488" t="s">
        <v>80</v>
      </c>
      <c r="I1488" t="s">
        <v>26</v>
      </c>
      <c r="J1488">
        <v>2</v>
      </c>
      <c r="K1488">
        <v>273</v>
      </c>
      <c r="L1488">
        <v>546</v>
      </c>
      <c r="P1488">
        <v>0</v>
      </c>
      <c r="Q1488" t="s">
        <v>27</v>
      </c>
      <c r="R1488">
        <v>22</v>
      </c>
      <c r="S1488" t="s">
        <v>41</v>
      </c>
    </row>
    <row r="1489" spans="1:19" x14ac:dyDescent="0.3">
      <c r="A1489" t="s">
        <v>3983</v>
      </c>
      <c r="B1489" s="2">
        <v>45411</v>
      </c>
      <c r="C1489" t="s">
        <v>20</v>
      </c>
      <c r="D1489" t="s">
        <v>44</v>
      </c>
      <c r="E1489" t="s">
        <v>3984</v>
      </c>
      <c r="F1489" t="s">
        <v>192</v>
      </c>
      <c r="G1489" t="s">
        <v>3985</v>
      </c>
      <c r="H1489" t="s">
        <v>80</v>
      </c>
      <c r="I1489" t="s">
        <v>26</v>
      </c>
      <c r="J1489">
        <v>4</v>
      </c>
      <c r="K1489">
        <v>393</v>
      </c>
      <c r="L1489">
        <v>1572</v>
      </c>
      <c r="P1489">
        <v>0</v>
      </c>
      <c r="Q1489" t="s">
        <v>75</v>
      </c>
      <c r="R1489">
        <v>27</v>
      </c>
      <c r="S1489" t="s">
        <v>41</v>
      </c>
    </row>
    <row r="1490" spans="1:19" x14ac:dyDescent="0.3">
      <c r="A1490" t="s">
        <v>3986</v>
      </c>
      <c r="B1490" s="2">
        <v>45328</v>
      </c>
      <c r="C1490" t="s">
        <v>113</v>
      </c>
      <c r="D1490" t="s">
        <v>36</v>
      </c>
      <c r="E1490" t="s">
        <v>3987</v>
      </c>
      <c r="F1490" t="s">
        <v>78</v>
      </c>
      <c r="G1490" t="s">
        <v>53</v>
      </c>
      <c r="H1490" t="s">
        <v>53</v>
      </c>
      <c r="I1490" t="s">
        <v>26</v>
      </c>
      <c r="J1490">
        <v>2</v>
      </c>
      <c r="K1490">
        <v>215</v>
      </c>
      <c r="L1490">
        <v>430</v>
      </c>
      <c r="O1490">
        <v>499</v>
      </c>
      <c r="P1490">
        <v>0</v>
      </c>
      <c r="Q1490" t="s">
        <v>75</v>
      </c>
      <c r="R1490">
        <v>38</v>
      </c>
      <c r="S1490" t="s">
        <v>28</v>
      </c>
    </row>
    <row r="1491" spans="1:19" x14ac:dyDescent="0.3">
      <c r="A1491" t="s">
        <v>3988</v>
      </c>
      <c r="B1491" s="2">
        <v>45363</v>
      </c>
      <c r="C1491" t="s">
        <v>55</v>
      </c>
      <c r="D1491" t="s">
        <v>36</v>
      </c>
      <c r="E1491" t="s">
        <v>3989</v>
      </c>
      <c r="F1491" t="s">
        <v>46</v>
      </c>
      <c r="G1491" t="s">
        <v>3990</v>
      </c>
      <c r="H1491" t="s">
        <v>40</v>
      </c>
      <c r="I1491" t="s">
        <v>26</v>
      </c>
      <c r="J1491">
        <v>1</v>
      </c>
      <c r="K1491">
        <v>333</v>
      </c>
      <c r="L1491">
        <v>333</v>
      </c>
      <c r="P1491">
        <v>0</v>
      </c>
      <c r="Q1491" t="s">
        <v>34</v>
      </c>
      <c r="R1491">
        <v>49</v>
      </c>
      <c r="S1491" t="s">
        <v>41</v>
      </c>
    </row>
    <row r="1492" spans="1:19" x14ac:dyDescent="0.3">
      <c r="A1492" t="s">
        <v>3991</v>
      </c>
      <c r="B1492" s="2">
        <v>45418</v>
      </c>
      <c r="C1492" t="s">
        <v>71</v>
      </c>
      <c r="D1492" t="s">
        <v>44</v>
      </c>
      <c r="E1492" t="s">
        <v>3992</v>
      </c>
      <c r="F1492" t="s">
        <v>46</v>
      </c>
      <c r="G1492" t="s">
        <v>227</v>
      </c>
      <c r="H1492" t="s">
        <v>80</v>
      </c>
      <c r="I1492" t="s">
        <v>26</v>
      </c>
      <c r="J1492">
        <v>2</v>
      </c>
      <c r="K1492">
        <v>413</v>
      </c>
      <c r="L1492">
        <v>826</v>
      </c>
      <c r="P1492">
        <v>0</v>
      </c>
      <c r="Q1492" t="s">
        <v>75</v>
      </c>
      <c r="R1492">
        <v>44</v>
      </c>
      <c r="S1492" t="s">
        <v>28</v>
      </c>
    </row>
    <row r="1493" spans="1:19" x14ac:dyDescent="0.3">
      <c r="A1493" t="s">
        <v>3993</v>
      </c>
      <c r="B1493" s="2">
        <v>45397</v>
      </c>
      <c r="C1493" t="s">
        <v>20</v>
      </c>
      <c r="D1493" t="s">
        <v>44</v>
      </c>
      <c r="E1493" t="s">
        <v>3994</v>
      </c>
      <c r="F1493" t="s">
        <v>115</v>
      </c>
      <c r="G1493" t="s">
        <v>2104</v>
      </c>
      <c r="H1493" t="s">
        <v>64</v>
      </c>
      <c r="I1493" t="s">
        <v>26</v>
      </c>
      <c r="J1493">
        <v>1</v>
      </c>
      <c r="K1493">
        <v>328</v>
      </c>
      <c r="L1493">
        <v>328</v>
      </c>
      <c r="P1493">
        <v>0</v>
      </c>
      <c r="Q1493" t="s">
        <v>27</v>
      </c>
      <c r="R1493">
        <v>27</v>
      </c>
      <c r="S1493" t="s">
        <v>28</v>
      </c>
    </row>
    <row r="1494" spans="1:19" x14ac:dyDescent="0.3">
      <c r="A1494" t="s">
        <v>3995</v>
      </c>
      <c r="B1494" s="2">
        <v>45383</v>
      </c>
      <c r="C1494" t="s">
        <v>20</v>
      </c>
      <c r="D1494" t="s">
        <v>44</v>
      </c>
      <c r="E1494" t="s">
        <v>3996</v>
      </c>
      <c r="F1494" t="s">
        <v>713</v>
      </c>
      <c r="G1494" t="s">
        <v>154</v>
      </c>
      <c r="H1494" t="s">
        <v>80</v>
      </c>
      <c r="I1494" t="s">
        <v>26</v>
      </c>
      <c r="J1494">
        <v>1</v>
      </c>
      <c r="K1494">
        <v>462</v>
      </c>
      <c r="L1494">
        <v>462</v>
      </c>
      <c r="P1494">
        <v>0</v>
      </c>
      <c r="Q1494" t="s">
        <v>27</v>
      </c>
      <c r="R1494">
        <v>44</v>
      </c>
      <c r="S1494" t="s">
        <v>28</v>
      </c>
    </row>
    <row r="1495" spans="1:19" x14ac:dyDescent="0.3">
      <c r="A1495" t="s">
        <v>3997</v>
      </c>
      <c r="B1495" s="2">
        <v>45322</v>
      </c>
      <c r="C1495" t="s">
        <v>43</v>
      </c>
      <c r="D1495" t="s">
        <v>72</v>
      </c>
      <c r="E1495" t="s">
        <v>3998</v>
      </c>
      <c r="F1495" t="s">
        <v>115</v>
      </c>
      <c r="G1495" t="s">
        <v>94</v>
      </c>
      <c r="H1495" t="s">
        <v>80</v>
      </c>
      <c r="I1495" t="s">
        <v>26</v>
      </c>
      <c r="J1495">
        <v>2</v>
      </c>
      <c r="K1495">
        <v>207</v>
      </c>
      <c r="L1495">
        <v>414</v>
      </c>
      <c r="P1495">
        <v>0</v>
      </c>
      <c r="Q1495" t="s">
        <v>34</v>
      </c>
      <c r="R1495">
        <v>24</v>
      </c>
      <c r="S1495" t="s">
        <v>28</v>
      </c>
    </row>
    <row r="1496" spans="1:19" x14ac:dyDescent="0.3">
      <c r="A1496" t="s">
        <v>3999</v>
      </c>
      <c r="B1496" s="2">
        <v>45413</v>
      </c>
      <c r="C1496" t="s">
        <v>71</v>
      </c>
      <c r="D1496" t="s">
        <v>72</v>
      </c>
      <c r="E1496" t="s">
        <v>4000</v>
      </c>
      <c r="F1496" t="s">
        <v>78</v>
      </c>
      <c r="G1496" t="s">
        <v>825</v>
      </c>
      <c r="H1496" t="s">
        <v>80</v>
      </c>
      <c r="I1496" t="s">
        <v>26</v>
      </c>
      <c r="J1496">
        <v>1</v>
      </c>
      <c r="K1496">
        <v>425</v>
      </c>
      <c r="L1496">
        <v>425</v>
      </c>
      <c r="M1496">
        <v>3.3</v>
      </c>
      <c r="N1496">
        <v>63</v>
      </c>
      <c r="P1496">
        <v>0</v>
      </c>
      <c r="Q1496" t="s">
        <v>75</v>
      </c>
      <c r="R1496">
        <v>43</v>
      </c>
      <c r="S1496" t="s">
        <v>41</v>
      </c>
    </row>
    <row r="1497" spans="1:19" x14ac:dyDescent="0.3">
      <c r="A1497" t="s">
        <v>4001</v>
      </c>
      <c r="B1497" s="2">
        <v>45428</v>
      </c>
      <c r="C1497" t="s">
        <v>71</v>
      </c>
      <c r="D1497" t="s">
        <v>92</v>
      </c>
      <c r="E1497" t="s">
        <v>4002</v>
      </c>
      <c r="F1497" t="s">
        <v>746</v>
      </c>
      <c r="G1497" t="s">
        <v>4003</v>
      </c>
      <c r="H1497" t="s">
        <v>64</v>
      </c>
      <c r="I1497" t="s">
        <v>26</v>
      </c>
      <c r="J1497">
        <v>4</v>
      </c>
      <c r="K1497">
        <v>383</v>
      </c>
      <c r="L1497">
        <v>1532</v>
      </c>
      <c r="M1497">
        <v>2.8</v>
      </c>
      <c r="N1497">
        <v>55</v>
      </c>
      <c r="O1497">
        <v>749</v>
      </c>
      <c r="P1497">
        <v>0</v>
      </c>
      <c r="Q1497" t="s">
        <v>75</v>
      </c>
      <c r="R1497">
        <v>32</v>
      </c>
      <c r="S1497" t="s">
        <v>41</v>
      </c>
    </row>
    <row r="1498" spans="1:19" x14ac:dyDescent="0.3">
      <c r="A1498" t="s">
        <v>4004</v>
      </c>
      <c r="B1498" s="2">
        <v>45342</v>
      </c>
      <c r="C1498" t="s">
        <v>113</v>
      </c>
      <c r="D1498" t="s">
        <v>36</v>
      </c>
      <c r="E1498" t="s">
        <v>4005</v>
      </c>
      <c r="F1498" t="s">
        <v>115</v>
      </c>
      <c r="G1498" t="s">
        <v>186</v>
      </c>
      <c r="H1498" t="s">
        <v>80</v>
      </c>
      <c r="I1498" t="s">
        <v>26</v>
      </c>
      <c r="J1498">
        <v>3</v>
      </c>
      <c r="K1498">
        <v>544</v>
      </c>
      <c r="L1498">
        <v>1632</v>
      </c>
      <c r="O1498">
        <v>499</v>
      </c>
      <c r="P1498">
        <v>0</v>
      </c>
      <c r="Q1498" t="s">
        <v>75</v>
      </c>
      <c r="R1498">
        <v>24</v>
      </c>
      <c r="S1498" t="s">
        <v>28</v>
      </c>
    </row>
    <row r="1499" spans="1:19" x14ac:dyDescent="0.3">
      <c r="A1499" t="s">
        <v>4006</v>
      </c>
      <c r="B1499" s="2">
        <v>45320</v>
      </c>
      <c r="C1499" t="s">
        <v>43</v>
      </c>
      <c r="D1499" t="s">
        <v>44</v>
      </c>
      <c r="E1499" t="s">
        <v>4007</v>
      </c>
      <c r="F1499" t="s">
        <v>2197</v>
      </c>
      <c r="G1499" t="s">
        <v>4008</v>
      </c>
      <c r="H1499" t="s">
        <v>80</v>
      </c>
      <c r="I1499" t="s">
        <v>26</v>
      </c>
      <c r="J1499">
        <v>2</v>
      </c>
      <c r="K1499">
        <v>509</v>
      </c>
      <c r="L1499">
        <v>1018</v>
      </c>
      <c r="M1499">
        <v>3.9</v>
      </c>
      <c r="N1499">
        <v>51</v>
      </c>
      <c r="P1499">
        <v>0</v>
      </c>
      <c r="Q1499" t="s">
        <v>49</v>
      </c>
      <c r="R1499">
        <v>46</v>
      </c>
      <c r="S1499" t="s">
        <v>28</v>
      </c>
    </row>
    <row r="1500" spans="1:19" x14ac:dyDescent="0.3">
      <c r="A1500" t="s">
        <v>4009</v>
      </c>
      <c r="B1500" s="2">
        <v>45497</v>
      </c>
      <c r="C1500" t="s">
        <v>59</v>
      </c>
      <c r="D1500" t="s">
        <v>72</v>
      </c>
      <c r="E1500" t="s">
        <v>4010</v>
      </c>
      <c r="F1500" t="s">
        <v>713</v>
      </c>
      <c r="G1500" t="s">
        <v>80</v>
      </c>
      <c r="H1500" t="s">
        <v>80</v>
      </c>
      <c r="I1500" t="s">
        <v>26</v>
      </c>
      <c r="J1500">
        <v>1</v>
      </c>
      <c r="K1500">
        <v>444</v>
      </c>
      <c r="L1500">
        <v>444</v>
      </c>
      <c r="P1500">
        <v>0</v>
      </c>
      <c r="Q1500" t="s">
        <v>75</v>
      </c>
      <c r="R1500">
        <v>44</v>
      </c>
      <c r="S1500" t="s">
        <v>41</v>
      </c>
    </row>
    <row r="1501" spans="1:19" x14ac:dyDescent="0.3">
      <c r="A1501" t="s">
        <v>4011</v>
      </c>
      <c r="B1501" s="2">
        <v>45331</v>
      </c>
      <c r="C1501" t="s">
        <v>113</v>
      </c>
      <c r="D1501" t="s">
        <v>21</v>
      </c>
      <c r="E1501" t="s">
        <v>4012</v>
      </c>
      <c r="F1501" t="s">
        <v>115</v>
      </c>
      <c r="G1501" t="s">
        <v>1999</v>
      </c>
      <c r="H1501" t="s">
        <v>48</v>
      </c>
      <c r="I1501" t="s">
        <v>33</v>
      </c>
      <c r="J1501">
        <v>2</v>
      </c>
      <c r="K1501">
        <v>547</v>
      </c>
      <c r="L1501">
        <v>1094</v>
      </c>
      <c r="M1501">
        <v>4.3</v>
      </c>
      <c r="N1501">
        <v>42</v>
      </c>
      <c r="P1501">
        <v>0</v>
      </c>
      <c r="Q1501" t="s">
        <v>27</v>
      </c>
      <c r="R1501">
        <v>32</v>
      </c>
      <c r="S1501" t="s">
        <v>28</v>
      </c>
    </row>
    <row r="1502" spans="1:19" x14ac:dyDescent="0.3">
      <c r="A1502" t="s">
        <v>4013</v>
      </c>
      <c r="B1502" s="2">
        <v>45332</v>
      </c>
      <c r="C1502" t="s">
        <v>113</v>
      </c>
      <c r="D1502" t="s">
        <v>100</v>
      </c>
      <c r="E1502" t="s">
        <v>4014</v>
      </c>
      <c r="F1502" t="s">
        <v>517</v>
      </c>
      <c r="G1502" t="s">
        <v>4015</v>
      </c>
      <c r="H1502" t="s">
        <v>40</v>
      </c>
      <c r="I1502" t="s">
        <v>26</v>
      </c>
      <c r="J1502">
        <v>4</v>
      </c>
      <c r="K1502">
        <v>496</v>
      </c>
      <c r="L1502">
        <v>1984</v>
      </c>
      <c r="M1502">
        <v>4.0999999999999996</v>
      </c>
      <c r="N1502">
        <v>44</v>
      </c>
      <c r="P1502">
        <v>0</v>
      </c>
      <c r="Q1502" t="s">
        <v>27</v>
      </c>
      <c r="R1502">
        <v>20</v>
      </c>
      <c r="S1502" t="s">
        <v>41</v>
      </c>
    </row>
    <row r="1503" spans="1:19" x14ac:dyDescent="0.3">
      <c r="A1503" t="s">
        <v>4016</v>
      </c>
      <c r="B1503" s="2">
        <v>45505</v>
      </c>
      <c r="C1503" t="s">
        <v>82</v>
      </c>
      <c r="D1503" t="s">
        <v>92</v>
      </c>
      <c r="E1503" t="s">
        <v>4017</v>
      </c>
      <c r="F1503" t="s">
        <v>115</v>
      </c>
      <c r="G1503" t="s">
        <v>4018</v>
      </c>
      <c r="H1503" t="s">
        <v>53</v>
      </c>
      <c r="I1503" t="s">
        <v>26</v>
      </c>
      <c r="J1503">
        <v>2</v>
      </c>
      <c r="K1503">
        <v>439</v>
      </c>
      <c r="L1503">
        <v>878</v>
      </c>
      <c r="M1503">
        <v>4.5</v>
      </c>
      <c r="N1503">
        <v>43</v>
      </c>
      <c r="P1503">
        <v>0</v>
      </c>
      <c r="Q1503" t="s">
        <v>49</v>
      </c>
      <c r="R1503">
        <v>36</v>
      </c>
      <c r="S1503" t="s">
        <v>28</v>
      </c>
    </row>
    <row r="1504" spans="1:19" x14ac:dyDescent="0.3">
      <c r="A1504" t="s">
        <v>4019</v>
      </c>
      <c r="B1504" s="2">
        <v>45302</v>
      </c>
      <c r="C1504" t="s">
        <v>43</v>
      </c>
      <c r="D1504" t="s">
        <v>92</v>
      </c>
      <c r="E1504" t="s">
        <v>4020</v>
      </c>
      <c r="F1504" t="s">
        <v>192</v>
      </c>
      <c r="G1504" t="s">
        <v>4021</v>
      </c>
      <c r="H1504" t="s">
        <v>48</v>
      </c>
      <c r="I1504" t="s">
        <v>33</v>
      </c>
      <c r="J1504">
        <v>2</v>
      </c>
      <c r="K1504">
        <v>276</v>
      </c>
      <c r="L1504">
        <v>552</v>
      </c>
      <c r="M1504">
        <v>4.9000000000000004</v>
      </c>
      <c r="N1504">
        <v>47</v>
      </c>
      <c r="O1504">
        <v>749</v>
      </c>
      <c r="P1504">
        <v>0</v>
      </c>
      <c r="Q1504" t="s">
        <v>49</v>
      </c>
      <c r="R1504">
        <v>27</v>
      </c>
      <c r="S1504" t="s">
        <v>41</v>
      </c>
    </row>
    <row r="1505" spans="1:19" x14ac:dyDescent="0.3">
      <c r="A1505" t="s">
        <v>4022</v>
      </c>
      <c r="B1505" s="2">
        <v>45442</v>
      </c>
      <c r="C1505" t="s">
        <v>71</v>
      </c>
      <c r="D1505" t="s">
        <v>92</v>
      </c>
      <c r="E1505" t="s">
        <v>4023</v>
      </c>
      <c r="F1505" t="s">
        <v>78</v>
      </c>
      <c r="G1505" t="s">
        <v>4024</v>
      </c>
      <c r="H1505" t="s">
        <v>53</v>
      </c>
      <c r="I1505" t="s">
        <v>26</v>
      </c>
      <c r="J1505">
        <v>1</v>
      </c>
      <c r="K1505">
        <v>275</v>
      </c>
      <c r="L1505">
        <v>275</v>
      </c>
      <c r="M1505">
        <v>3.8</v>
      </c>
      <c r="N1505">
        <v>51</v>
      </c>
      <c r="P1505">
        <v>0</v>
      </c>
      <c r="Q1505" t="s">
        <v>75</v>
      </c>
      <c r="R1505">
        <v>45</v>
      </c>
      <c r="S1505" t="s">
        <v>41</v>
      </c>
    </row>
    <row r="1506" spans="1:19" x14ac:dyDescent="0.3">
      <c r="A1506" t="s">
        <v>4025</v>
      </c>
      <c r="B1506" s="2">
        <v>45292</v>
      </c>
      <c r="C1506" t="s">
        <v>43</v>
      </c>
      <c r="D1506" t="s">
        <v>44</v>
      </c>
      <c r="E1506" t="s">
        <v>4026</v>
      </c>
      <c r="F1506" t="s">
        <v>115</v>
      </c>
      <c r="G1506" t="s">
        <v>4027</v>
      </c>
      <c r="H1506" t="s">
        <v>80</v>
      </c>
      <c r="I1506" t="s">
        <v>26</v>
      </c>
      <c r="J1506">
        <v>4</v>
      </c>
      <c r="K1506">
        <v>258</v>
      </c>
      <c r="L1506">
        <v>1032</v>
      </c>
      <c r="M1506">
        <v>3.1</v>
      </c>
      <c r="N1506">
        <v>40</v>
      </c>
      <c r="P1506">
        <v>0</v>
      </c>
      <c r="Q1506" t="s">
        <v>34</v>
      </c>
      <c r="R1506">
        <v>46</v>
      </c>
      <c r="S1506" t="s">
        <v>41</v>
      </c>
    </row>
    <row r="1507" spans="1:19" x14ac:dyDescent="0.3">
      <c r="A1507" t="s">
        <v>4028</v>
      </c>
      <c r="B1507" s="2">
        <v>45337</v>
      </c>
      <c r="C1507" t="s">
        <v>113</v>
      </c>
      <c r="D1507" t="s">
        <v>92</v>
      </c>
      <c r="E1507" t="s">
        <v>4029</v>
      </c>
      <c r="F1507" t="s">
        <v>2490</v>
      </c>
      <c r="G1507" t="s">
        <v>4030</v>
      </c>
      <c r="H1507" t="s">
        <v>40</v>
      </c>
      <c r="I1507" t="s">
        <v>26</v>
      </c>
      <c r="J1507">
        <v>3</v>
      </c>
      <c r="K1507">
        <v>240</v>
      </c>
      <c r="L1507">
        <v>720</v>
      </c>
      <c r="P1507">
        <v>0</v>
      </c>
      <c r="Q1507" t="s">
        <v>49</v>
      </c>
      <c r="R1507">
        <v>32</v>
      </c>
      <c r="S1507" t="s">
        <v>28</v>
      </c>
    </row>
    <row r="1508" spans="1:19" x14ac:dyDescent="0.3">
      <c r="A1508" t="s">
        <v>4031</v>
      </c>
      <c r="B1508" s="2">
        <v>45392</v>
      </c>
      <c r="C1508" t="s">
        <v>20</v>
      </c>
      <c r="D1508" t="s">
        <v>72</v>
      </c>
      <c r="E1508" t="s">
        <v>4032</v>
      </c>
      <c r="F1508" t="s">
        <v>46</v>
      </c>
      <c r="G1508" t="s">
        <v>4033</v>
      </c>
      <c r="H1508" t="s">
        <v>48</v>
      </c>
      <c r="I1508" t="s">
        <v>33</v>
      </c>
      <c r="J1508">
        <v>3</v>
      </c>
      <c r="K1508">
        <v>184</v>
      </c>
      <c r="L1508">
        <v>552</v>
      </c>
      <c r="M1508">
        <v>3.7</v>
      </c>
      <c r="N1508">
        <v>46</v>
      </c>
      <c r="P1508">
        <v>0</v>
      </c>
      <c r="Q1508" t="s">
        <v>49</v>
      </c>
      <c r="R1508">
        <v>20</v>
      </c>
      <c r="S1508" t="s">
        <v>28</v>
      </c>
    </row>
    <row r="1509" spans="1:19" x14ac:dyDescent="0.3">
      <c r="A1509" t="s">
        <v>4034</v>
      </c>
      <c r="B1509" s="2">
        <v>45440</v>
      </c>
      <c r="C1509" t="s">
        <v>71</v>
      </c>
      <c r="D1509" t="s">
        <v>36</v>
      </c>
      <c r="E1509" t="s">
        <v>4035</v>
      </c>
      <c r="F1509" t="s">
        <v>78</v>
      </c>
      <c r="G1509" t="s">
        <v>4036</v>
      </c>
      <c r="H1509" t="s">
        <v>64</v>
      </c>
      <c r="I1509" t="s">
        <v>26</v>
      </c>
      <c r="J1509">
        <v>1</v>
      </c>
      <c r="K1509">
        <v>226</v>
      </c>
      <c r="L1509">
        <v>226</v>
      </c>
      <c r="M1509">
        <v>2.2000000000000002</v>
      </c>
      <c r="N1509">
        <v>55</v>
      </c>
      <c r="O1509">
        <v>300</v>
      </c>
      <c r="P1509">
        <v>0</v>
      </c>
      <c r="Q1509" t="s">
        <v>75</v>
      </c>
      <c r="R1509">
        <v>23</v>
      </c>
      <c r="S1509" t="s">
        <v>28</v>
      </c>
    </row>
    <row r="1510" spans="1:19" x14ac:dyDescent="0.3">
      <c r="A1510" t="s">
        <v>4037</v>
      </c>
      <c r="B1510" s="2">
        <v>45381</v>
      </c>
      <c r="C1510" t="s">
        <v>55</v>
      </c>
      <c r="D1510" t="s">
        <v>100</v>
      </c>
      <c r="E1510" t="s">
        <v>4038</v>
      </c>
      <c r="F1510" t="s">
        <v>713</v>
      </c>
      <c r="G1510" t="s">
        <v>4039</v>
      </c>
      <c r="H1510" t="s">
        <v>40</v>
      </c>
      <c r="I1510" t="s">
        <v>26</v>
      </c>
      <c r="J1510">
        <v>2</v>
      </c>
      <c r="K1510">
        <v>266</v>
      </c>
      <c r="L1510">
        <v>532</v>
      </c>
      <c r="P1510">
        <v>0</v>
      </c>
      <c r="Q1510" t="s">
        <v>75</v>
      </c>
      <c r="R1510">
        <v>29</v>
      </c>
      <c r="S1510" t="s">
        <v>28</v>
      </c>
    </row>
    <row r="1511" spans="1:19" x14ac:dyDescent="0.3">
      <c r="A1511" t="s">
        <v>4040</v>
      </c>
      <c r="B1511" s="2">
        <v>45401</v>
      </c>
      <c r="C1511" t="s">
        <v>20</v>
      </c>
      <c r="D1511" t="s">
        <v>21</v>
      </c>
      <c r="E1511" t="s">
        <v>4041</v>
      </c>
      <c r="F1511" t="s">
        <v>46</v>
      </c>
      <c r="G1511" t="s">
        <v>4042</v>
      </c>
      <c r="H1511" t="s">
        <v>80</v>
      </c>
      <c r="I1511" t="s">
        <v>26</v>
      </c>
      <c r="J1511">
        <v>1</v>
      </c>
      <c r="K1511">
        <v>256</v>
      </c>
      <c r="L1511">
        <v>256</v>
      </c>
      <c r="M1511">
        <v>2.9</v>
      </c>
      <c r="N1511">
        <v>43</v>
      </c>
      <c r="O1511">
        <v>150</v>
      </c>
      <c r="P1511">
        <v>30</v>
      </c>
      <c r="Q1511" t="s">
        <v>49</v>
      </c>
      <c r="R1511">
        <v>32</v>
      </c>
      <c r="S1511" t="s">
        <v>28</v>
      </c>
    </row>
    <row r="1512" spans="1:19" x14ac:dyDescent="0.3">
      <c r="A1512" t="s">
        <v>4043</v>
      </c>
      <c r="B1512" s="2">
        <v>45455</v>
      </c>
      <c r="C1512" t="s">
        <v>30</v>
      </c>
      <c r="D1512" t="s">
        <v>72</v>
      </c>
      <c r="E1512" t="s">
        <v>4044</v>
      </c>
      <c r="F1512" t="s">
        <v>192</v>
      </c>
      <c r="G1512" t="s">
        <v>3343</v>
      </c>
      <c r="H1512" t="s">
        <v>48</v>
      </c>
      <c r="I1512" t="s">
        <v>33</v>
      </c>
      <c r="J1512">
        <v>1</v>
      </c>
      <c r="K1512">
        <v>530</v>
      </c>
      <c r="L1512">
        <v>530</v>
      </c>
      <c r="M1512">
        <v>4.3</v>
      </c>
      <c r="N1512">
        <v>47</v>
      </c>
      <c r="O1512">
        <v>599</v>
      </c>
      <c r="P1512">
        <v>0</v>
      </c>
      <c r="Q1512" t="s">
        <v>34</v>
      </c>
      <c r="R1512">
        <v>23</v>
      </c>
      <c r="S1512" t="s">
        <v>41</v>
      </c>
    </row>
    <row r="1513" spans="1:19" x14ac:dyDescent="0.3">
      <c r="A1513" t="s">
        <v>4045</v>
      </c>
      <c r="B1513" s="2">
        <v>45473</v>
      </c>
      <c r="C1513" t="s">
        <v>30</v>
      </c>
      <c r="D1513" t="s">
        <v>60</v>
      </c>
      <c r="E1513" t="s">
        <v>4046</v>
      </c>
      <c r="F1513" t="s">
        <v>192</v>
      </c>
      <c r="G1513" t="s">
        <v>204</v>
      </c>
      <c r="H1513" t="s">
        <v>80</v>
      </c>
      <c r="I1513" t="s">
        <v>26</v>
      </c>
      <c r="J1513">
        <v>1</v>
      </c>
      <c r="K1513">
        <v>281</v>
      </c>
      <c r="L1513">
        <v>281</v>
      </c>
      <c r="M1513">
        <v>3.2</v>
      </c>
      <c r="N1513">
        <v>52</v>
      </c>
      <c r="P1513">
        <v>0</v>
      </c>
      <c r="Q1513" t="s">
        <v>49</v>
      </c>
      <c r="R1513">
        <v>30</v>
      </c>
      <c r="S1513" t="s">
        <v>41</v>
      </c>
    </row>
    <row r="1514" spans="1:19" x14ac:dyDescent="0.3">
      <c r="A1514" t="s">
        <v>4047</v>
      </c>
      <c r="B1514" s="2">
        <v>45506</v>
      </c>
      <c r="C1514" t="s">
        <v>82</v>
      </c>
      <c r="D1514" t="s">
        <v>21</v>
      </c>
      <c r="E1514" t="s">
        <v>4048</v>
      </c>
      <c r="F1514" t="s">
        <v>87</v>
      </c>
      <c r="G1514" t="s">
        <v>154</v>
      </c>
      <c r="H1514" t="s">
        <v>80</v>
      </c>
      <c r="I1514" t="s">
        <v>26</v>
      </c>
      <c r="J1514">
        <v>2</v>
      </c>
      <c r="K1514">
        <v>547</v>
      </c>
      <c r="L1514">
        <v>1094</v>
      </c>
      <c r="M1514">
        <v>3.6</v>
      </c>
      <c r="N1514">
        <v>48</v>
      </c>
      <c r="P1514">
        <v>0</v>
      </c>
      <c r="Q1514" t="s">
        <v>75</v>
      </c>
      <c r="R1514">
        <v>46</v>
      </c>
      <c r="S1514" t="s">
        <v>41</v>
      </c>
    </row>
    <row r="1515" spans="1:19" x14ac:dyDescent="0.3">
      <c r="A1515" t="s">
        <v>4049</v>
      </c>
      <c r="B1515" s="2">
        <v>45348</v>
      </c>
      <c r="C1515" t="s">
        <v>113</v>
      </c>
      <c r="D1515" t="s">
        <v>44</v>
      </c>
      <c r="E1515" t="s">
        <v>4050</v>
      </c>
      <c r="F1515" t="s">
        <v>713</v>
      </c>
      <c r="G1515" t="s">
        <v>4051</v>
      </c>
      <c r="H1515" t="s">
        <v>80</v>
      </c>
      <c r="I1515" t="s">
        <v>26</v>
      </c>
      <c r="J1515">
        <v>4</v>
      </c>
      <c r="K1515">
        <v>571</v>
      </c>
      <c r="L1515">
        <v>2284</v>
      </c>
      <c r="M1515">
        <v>3.8</v>
      </c>
      <c r="N1515">
        <v>44</v>
      </c>
      <c r="P1515">
        <v>0</v>
      </c>
      <c r="Q1515" t="s">
        <v>75</v>
      </c>
      <c r="R1515">
        <v>36</v>
      </c>
      <c r="S1515" t="s">
        <v>41</v>
      </c>
    </row>
    <row r="1516" spans="1:19" x14ac:dyDescent="0.3">
      <c r="A1516" t="s">
        <v>4052</v>
      </c>
      <c r="B1516" s="2">
        <v>45292</v>
      </c>
      <c r="C1516" t="s">
        <v>43</v>
      </c>
      <c r="D1516" t="s">
        <v>44</v>
      </c>
      <c r="E1516" t="s">
        <v>4053</v>
      </c>
      <c r="F1516" t="s">
        <v>115</v>
      </c>
      <c r="G1516" t="s">
        <v>4054</v>
      </c>
      <c r="H1516" t="s">
        <v>25</v>
      </c>
      <c r="I1516" t="s">
        <v>26</v>
      </c>
      <c r="J1516">
        <v>1</v>
      </c>
      <c r="K1516">
        <v>219</v>
      </c>
      <c r="L1516">
        <v>219</v>
      </c>
      <c r="P1516">
        <v>0</v>
      </c>
      <c r="Q1516" t="s">
        <v>49</v>
      </c>
      <c r="R1516">
        <v>20</v>
      </c>
      <c r="S1516" t="s">
        <v>41</v>
      </c>
    </row>
    <row r="1517" spans="1:19" x14ac:dyDescent="0.3">
      <c r="A1517" t="s">
        <v>4055</v>
      </c>
      <c r="B1517" s="2">
        <v>45354</v>
      </c>
      <c r="C1517" t="s">
        <v>55</v>
      </c>
      <c r="D1517" t="s">
        <v>60</v>
      </c>
      <c r="E1517" t="s">
        <v>4056</v>
      </c>
      <c r="F1517" t="s">
        <v>115</v>
      </c>
      <c r="G1517" t="s">
        <v>4057</v>
      </c>
      <c r="H1517" t="s">
        <v>80</v>
      </c>
      <c r="I1517" t="s">
        <v>26</v>
      </c>
      <c r="J1517">
        <v>2</v>
      </c>
      <c r="K1517">
        <v>457</v>
      </c>
      <c r="L1517">
        <v>914</v>
      </c>
      <c r="M1517">
        <v>3.3</v>
      </c>
      <c r="N1517">
        <v>43</v>
      </c>
      <c r="P1517">
        <v>0</v>
      </c>
      <c r="Q1517" t="s">
        <v>34</v>
      </c>
      <c r="R1517">
        <v>25</v>
      </c>
      <c r="S1517" t="s">
        <v>41</v>
      </c>
    </row>
    <row r="1518" spans="1:19" x14ac:dyDescent="0.3">
      <c r="A1518" t="s">
        <v>4058</v>
      </c>
      <c r="B1518" s="2">
        <v>45473</v>
      </c>
      <c r="C1518" t="s">
        <v>30</v>
      </c>
      <c r="D1518" t="s">
        <v>60</v>
      </c>
      <c r="E1518" t="s">
        <v>4059</v>
      </c>
      <c r="F1518" t="s">
        <v>713</v>
      </c>
      <c r="G1518" t="s">
        <v>1744</v>
      </c>
      <c r="H1518" t="s">
        <v>48</v>
      </c>
      <c r="I1518" t="s">
        <v>33</v>
      </c>
      <c r="J1518">
        <v>4</v>
      </c>
      <c r="K1518">
        <v>518</v>
      </c>
      <c r="L1518">
        <v>2072</v>
      </c>
      <c r="M1518">
        <v>2.4</v>
      </c>
      <c r="N1518">
        <v>41</v>
      </c>
      <c r="P1518">
        <v>0</v>
      </c>
      <c r="Q1518" t="s">
        <v>49</v>
      </c>
      <c r="R1518">
        <v>25</v>
      </c>
      <c r="S1518" t="s">
        <v>41</v>
      </c>
    </row>
    <row r="1519" spans="1:19" x14ac:dyDescent="0.3">
      <c r="A1519" t="s">
        <v>4060</v>
      </c>
      <c r="B1519" s="2">
        <v>45346</v>
      </c>
      <c r="C1519" t="s">
        <v>113</v>
      </c>
      <c r="D1519" t="s">
        <v>100</v>
      </c>
      <c r="E1519" t="s">
        <v>4061</v>
      </c>
      <c r="F1519" t="s">
        <v>78</v>
      </c>
      <c r="G1519" t="s">
        <v>227</v>
      </c>
      <c r="H1519" t="s">
        <v>80</v>
      </c>
      <c r="I1519" t="s">
        <v>26</v>
      </c>
      <c r="J1519">
        <v>1</v>
      </c>
      <c r="K1519">
        <v>426</v>
      </c>
      <c r="L1519">
        <v>426</v>
      </c>
      <c r="M1519">
        <v>4.3</v>
      </c>
      <c r="N1519">
        <v>48</v>
      </c>
      <c r="P1519">
        <v>0</v>
      </c>
      <c r="Q1519" t="s">
        <v>49</v>
      </c>
      <c r="R1519">
        <v>40</v>
      </c>
      <c r="S1519" t="s">
        <v>28</v>
      </c>
    </row>
    <row r="1520" spans="1:19" x14ac:dyDescent="0.3">
      <c r="A1520" t="s">
        <v>4062</v>
      </c>
      <c r="B1520" s="2">
        <v>45406</v>
      </c>
      <c r="C1520" t="s">
        <v>20</v>
      </c>
      <c r="D1520" t="s">
        <v>72</v>
      </c>
      <c r="E1520" t="s">
        <v>4063</v>
      </c>
      <c r="F1520" t="s">
        <v>450</v>
      </c>
      <c r="G1520" t="s">
        <v>2330</v>
      </c>
      <c r="H1520" t="s">
        <v>48</v>
      </c>
      <c r="I1520" t="s">
        <v>33</v>
      </c>
      <c r="J1520">
        <v>3</v>
      </c>
      <c r="K1520">
        <v>260</v>
      </c>
      <c r="L1520">
        <v>780</v>
      </c>
      <c r="M1520">
        <v>4</v>
      </c>
      <c r="N1520">
        <v>53</v>
      </c>
      <c r="O1520">
        <v>999</v>
      </c>
      <c r="P1520">
        <v>0</v>
      </c>
      <c r="Q1520" t="s">
        <v>75</v>
      </c>
      <c r="R1520">
        <v>43</v>
      </c>
      <c r="S1520" t="s">
        <v>41</v>
      </c>
    </row>
    <row r="1521" spans="1:19" x14ac:dyDescent="0.3">
      <c r="A1521" t="s">
        <v>4064</v>
      </c>
      <c r="B1521" s="2">
        <v>45459</v>
      </c>
      <c r="C1521" t="s">
        <v>30</v>
      </c>
      <c r="D1521" t="s">
        <v>60</v>
      </c>
      <c r="E1521" t="s">
        <v>4065</v>
      </c>
      <c r="F1521" t="s">
        <v>192</v>
      </c>
      <c r="G1521" t="s">
        <v>2782</v>
      </c>
      <c r="H1521" t="s">
        <v>40</v>
      </c>
      <c r="I1521" t="s">
        <v>26</v>
      </c>
      <c r="J1521">
        <v>4</v>
      </c>
      <c r="K1521">
        <v>202</v>
      </c>
      <c r="L1521">
        <v>808</v>
      </c>
      <c r="P1521">
        <v>0</v>
      </c>
      <c r="Q1521" t="s">
        <v>34</v>
      </c>
      <c r="R1521">
        <v>37</v>
      </c>
      <c r="S1521" t="s">
        <v>28</v>
      </c>
    </row>
    <row r="1522" spans="1:19" x14ac:dyDescent="0.3">
      <c r="A1522" t="s">
        <v>4066</v>
      </c>
      <c r="B1522" s="2">
        <v>45434</v>
      </c>
      <c r="C1522" t="s">
        <v>71</v>
      </c>
      <c r="D1522" t="s">
        <v>72</v>
      </c>
      <c r="E1522" t="s">
        <v>4067</v>
      </c>
      <c r="F1522" t="s">
        <v>87</v>
      </c>
      <c r="G1522" t="s">
        <v>4068</v>
      </c>
      <c r="H1522" t="s">
        <v>40</v>
      </c>
      <c r="I1522" t="s">
        <v>26</v>
      </c>
      <c r="J1522">
        <v>1</v>
      </c>
      <c r="K1522">
        <v>296</v>
      </c>
      <c r="L1522">
        <v>296</v>
      </c>
      <c r="M1522">
        <v>4.9000000000000004</v>
      </c>
      <c r="N1522">
        <v>45</v>
      </c>
      <c r="P1522">
        <v>0</v>
      </c>
      <c r="Q1522" t="s">
        <v>27</v>
      </c>
      <c r="R1522">
        <v>32</v>
      </c>
      <c r="S1522" t="s">
        <v>41</v>
      </c>
    </row>
    <row r="1523" spans="1:19" x14ac:dyDescent="0.3">
      <c r="A1523" t="s">
        <v>4069</v>
      </c>
      <c r="B1523" s="2">
        <v>45440</v>
      </c>
      <c r="C1523" t="s">
        <v>71</v>
      </c>
      <c r="D1523" t="s">
        <v>36</v>
      </c>
      <c r="E1523" t="s">
        <v>4070</v>
      </c>
      <c r="F1523" t="s">
        <v>87</v>
      </c>
      <c r="G1523" t="s">
        <v>53</v>
      </c>
      <c r="H1523" t="s">
        <v>53</v>
      </c>
      <c r="I1523" t="s">
        <v>26</v>
      </c>
      <c r="J1523">
        <v>4</v>
      </c>
      <c r="K1523">
        <v>317</v>
      </c>
      <c r="L1523">
        <v>1268</v>
      </c>
      <c r="M1523">
        <v>3.8</v>
      </c>
      <c r="N1523">
        <v>42</v>
      </c>
      <c r="P1523">
        <v>0</v>
      </c>
      <c r="Q1523" t="s">
        <v>34</v>
      </c>
      <c r="R1523">
        <v>21</v>
      </c>
      <c r="S1523" t="s">
        <v>41</v>
      </c>
    </row>
    <row r="1524" spans="1:19" x14ac:dyDescent="0.3">
      <c r="A1524" t="s">
        <v>4071</v>
      </c>
      <c r="B1524" s="2">
        <v>45466</v>
      </c>
      <c r="C1524" t="s">
        <v>30</v>
      </c>
      <c r="D1524" t="s">
        <v>60</v>
      </c>
      <c r="E1524" t="s">
        <v>4072</v>
      </c>
      <c r="F1524" t="s">
        <v>46</v>
      </c>
      <c r="G1524" t="s">
        <v>4073</v>
      </c>
      <c r="H1524" t="s">
        <v>53</v>
      </c>
      <c r="I1524" t="s">
        <v>26</v>
      </c>
      <c r="J1524">
        <v>4</v>
      </c>
      <c r="K1524">
        <v>231</v>
      </c>
      <c r="L1524">
        <v>924</v>
      </c>
      <c r="P1524">
        <v>0</v>
      </c>
      <c r="Q1524" t="s">
        <v>49</v>
      </c>
      <c r="R1524">
        <v>36</v>
      </c>
      <c r="S1524" t="s">
        <v>28</v>
      </c>
    </row>
    <row r="1525" spans="1:19" x14ac:dyDescent="0.3">
      <c r="A1525" t="s">
        <v>4074</v>
      </c>
      <c r="B1525" s="2">
        <v>45492</v>
      </c>
      <c r="C1525" t="s">
        <v>59</v>
      </c>
      <c r="D1525" t="s">
        <v>21</v>
      </c>
      <c r="E1525" t="s">
        <v>4075</v>
      </c>
      <c r="F1525" t="s">
        <v>192</v>
      </c>
      <c r="G1525" t="s">
        <v>1365</v>
      </c>
      <c r="H1525" t="s">
        <v>80</v>
      </c>
      <c r="I1525" t="s">
        <v>26</v>
      </c>
      <c r="J1525">
        <v>4</v>
      </c>
      <c r="K1525">
        <v>175</v>
      </c>
      <c r="L1525">
        <v>700</v>
      </c>
      <c r="P1525">
        <v>0</v>
      </c>
      <c r="Q1525" t="s">
        <v>49</v>
      </c>
      <c r="R1525">
        <v>38</v>
      </c>
      <c r="S1525" t="s">
        <v>41</v>
      </c>
    </row>
    <row r="1526" spans="1:19" x14ac:dyDescent="0.3">
      <c r="A1526" t="s">
        <v>4076</v>
      </c>
      <c r="B1526" s="2">
        <v>45344</v>
      </c>
      <c r="C1526" t="s">
        <v>113</v>
      </c>
      <c r="D1526" t="s">
        <v>92</v>
      </c>
      <c r="E1526" t="s">
        <v>4077</v>
      </c>
      <c r="F1526" t="s">
        <v>578</v>
      </c>
      <c r="G1526" t="s">
        <v>186</v>
      </c>
      <c r="H1526" t="s">
        <v>80</v>
      </c>
      <c r="I1526" t="s">
        <v>26</v>
      </c>
      <c r="J1526">
        <v>4</v>
      </c>
      <c r="K1526">
        <v>579</v>
      </c>
      <c r="L1526">
        <v>2316</v>
      </c>
      <c r="O1526">
        <v>250</v>
      </c>
      <c r="P1526">
        <v>50</v>
      </c>
      <c r="Q1526" t="s">
        <v>49</v>
      </c>
      <c r="R1526">
        <v>20</v>
      </c>
      <c r="S1526" t="s">
        <v>28</v>
      </c>
    </row>
    <row r="1527" spans="1:19" x14ac:dyDescent="0.3">
      <c r="A1527" t="s">
        <v>4078</v>
      </c>
      <c r="B1527" s="2">
        <v>45428</v>
      </c>
      <c r="C1527" t="s">
        <v>71</v>
      </c>
      <c r="D1527" t="s">
        <v>92</v>
      </c>
      <c r="E1527" t="s">
        <v>4079</v>
      </c>
      <c r="F1527" t="s">
        <v>192</v>
      </c>
      <c r="G1527" t="s">
        <v>2198</v>
      </c>
      <c r="H1527" t="s">
        <v>80</v>
      </c>
      <c r="I1527" t="s">
        <v>26</v>
      </c>
      <c r="J1527">
        <v>4</v>
      </c>
      <c r="K1527">
        <v>298</v>
      </c>
      <c r="L1527">
        <v>1192</v>
      </c>
      <c r="P1527">
        <v>0</v>
      </c>
      <c r="Q1527" t="s">
        <v>34</v>
      </c>
      <c r="R1527">
        <v>30</v>
      </c>
      <c r="S1527" t="s">
        <v>41</v>
      </c>
    </row>
    <row r="1528" spans="1:19" x14ac:dyDescent="0.3">
      <c r="A1528" t="s">
        <v>4080</v>
      </c>
      <c r="B1528" s="2">
        <v>45493</v>
      </c>
      <c r="C1528" t="s">
        <v>59</v>
      </c>
      <c r="D1528" t="s">
        <v>100</v>
      </c>
      <c r="E1528" t="s">
        <v>4081</v>
      </c>
      <c r="F1528" t="s">
        <v>4082</v>
      </c>
      <c r="G1528" t="s">
        <v>373</v>
      </c>
      <c r="H1528" t="s">
        <v>80</v>
      </c>
      <c r="I1528" t="s">
        <v>26</v>
      </c>
      <c r="J1528">
        <v>4</v>
      </c>
      <c r="K1528">
        <v>540</v>
      </c>
      <c r="L1528">
        <v>2160</v>
      </c>
      <c r="P1528">
        <v>0</v>
      </c>
      <c r="Q1528" t="s">
        <v>75</v>
      </c>
      <c r="R1528">
        <v>25</v>
      </c>
      <c r="S1528" t="s">
        <v>28</v>
      </c>
    </row>
    <row r="1529" spans="1:19" x14ac:dyDescent="0.3">
      <c r="A1529" t="s">
        <v>4083</v>
      </c>
      <c r="B1529" s="2">
        <v>45471</v>
      </c>
      <c r="C1529" t="s">
        <v>30</v>
      </c>
      <c r="D1529" t="s">
        <v>21</v>
      </c>
      <c r="E1529" t="s">
        <v>4084</v>
      </c>
      <c r="F1529" t="s">
        <v>115</v>
      </c>
      <c r="G1529" t="s">
        <v>4085</v>
      </c>
      <c r="H1529" t="s">
        <v>48</v>
      </c>
      <c r="I1529" t="s">
        <v>33</v>
      </c>
      <c r="J1529">
        <v>1</v>
      </c>
      <c r="K1529">
        <v>520</v>
      </c>
      <c r="L1529">
        <v>520</v>
      </c>
      <c r="M1529">
        <v>3.7</v>
      </c>
      <c r="N1529">
        <v>57</v>
      </c>
      <c r="O1529">
        <v>150</v>
      </c>
      <c r="P1529">
        <v>30</v>
      </c>
      <c r="Q1529" t="s">
        <v>49</v>
      </c>
      <c r="R1529">
        <v>40</v>
      </c>
      <c r="S1529" t="s">
        <v>41</v>
      </c>
    </row>
    <row r="1530" spans="1:19" x14ac:dyDescent="0.3">
      <c r="A1530" t="s">
        <v>4086</v>
      </c>
      <c r="B1530" s="2">
        <v>45348</v>
      </c>
      <c r="C1530" t="s">
        <v>113</v>
      </c>
      <c r="D1530" t="s">
        <v>44</v>
      </c>
      <c r="E1530" t="s">
        <v>4087</v>
      </c>
      <c r="F1530" t="s">
        <v>192</v>
      </c>
      <c r="G1530" t="s">
        <v>4088</v>
      </c>
      <c r="H1530" t="s">
        <v>80</v>
      </c>
      <c r="I1530" t="s">
        <v>26</v>
      </c>
      <c r="J1530">
        <v>3</v>
      </c>
      <c r="K1530">
        <v>305</v>
      </c>
      <c r="L1530">
        <v>915</v>
      </c>
      <c r="P1530">
        <v>0</v>
      </c>
      <c r="Q1530" t="s">
        <v>49</v>
      </c>
      <c r="R1530">
        <v>33</v>
      </c>
      <c r="S1530" t="s">
        <v>28</v>
      </c>
    </row>
    <row r="1531" spans="1:19" x14ac:dyDescent="0.3">
      <c r="A1531" t="s">
        <v>4089</v>
      </c>
      <c r="B1531" s="2">
        <v>45408</v>
      </c>
      <c r="C1531" t="s">
        <v>20</v>
      </c>
      <c r="D1531" t="s">
        <v>21</v>
      </c>
      <c r="E1531" t="s">
        <v>4090</v>
      </c>
      <c r="F1531" t="s">
        <v>2197</v>
      </c>
      <c r="G1531" t="s">
        <v>4091</v>
      </c>
      <c r="H1531" t="s">
        <v>80</v>
      </c>
      <c r="I1531" t="s">
        <v>26</v>
      </c>
      <c r="J1531">
        <v>2</v>
      </c>
      <c r="K1531">
        <v>590</v>
      </c>
      <c r="L1531">
        <v>1180</v>
      </c>
      <c r="M1531">
        <v>4.3</v>
      </c>
      <c r="N1531">
        <v>49</v>
      </c>
      <c r="P1531">
        <v>0</v>
      </c>
      <c r="Q1531" t="s">
        <v>34</v>
      </c>
      <c r="R1531">
        <v>30</v>
      </c>
      <c r="S1531" t="s">
        <v>28</v>
      </c>
    </row>
    <row r="1532" spans="1:19" x14ac:dyDescent="0.3">
      <c r="A1532" t="s">
        <v>4092</v>
      </c>
      <c r="B1532" s="2">
        <v>45445</v>
      </c>
      <c r="C1532" t="s">
        <v>30</v>
      </c>
      <c r="D1532" t="s">
        <v>60</v>
      </c>
      <c r="E1532" t="s">
        <v>4093</v>
      </c>
      <c r="F1532" t="s">
        <v>62</v>
      </c>
      <c r="G1532" t="s">
        <v>4094</v>
      </c>
      <c r="H1532" t="s">
        <v>40</v>
      </c>
      <c r="I1532" t="s">
        <v>26</v>
      </c>
      <c r="J1532">
        <v>4</v>
      </c>
      <c r="K1532">
        <v>337</v>
      </c>
      <c r="L1532">
        <v>1348</v>
      </c>
      <c r="M1532">
        <v>3.3</v>
      </c>
      <c r="N1532">
        <v>42</v>
      </c>
      <c r="P1532">
        <v>0</v>
      </c>
      <c r="Q1532" t="s">
        <v>27</v>
      </c>
      <c r="R1532">
        <v>20</v>
      </c>
      <c r="S1532" t="s">
        <v>41</v>
      </c>
    </row>
    <row r="1533" spans="1:19" x14ac:dyDescent="0.3">
      <c r="A1533" t="s">
        <v>4095</v>
      </c>
      <c r="B1533" s="2">
        <v>45460</v>
      </c>
      <c r="C1533" t="s">
        <v>30</v>
      </c>
      <c r="D1533" t="s">
        <v>44</v>
      </c>
      <c r="E1533" t="s">
        <v>4096</v>
      </c>
      <c r="F1533" t="s">
        <v>192</v>
      </c>
      <c r="G1533" t="s">
        <v>4097</v>
      </c>
      <c r="H1533" t="s">
        <v>64</v>
      </c>
      <c r="I1533" t="s">
        <v>26</v>
      </c>
      <c r="J1533">
        <v>2</v>
      </c>
      <c r="K1533">
        <v>532</v>
      </c>
      <c r="L1533">
        <v>1064</v>
      </c>
      <c r="P1533">
        <v>0</v>
      </c>
      <c r="Q1533" t="s">
        <v>27</v>
      </c>
      <c r="R1533">
        <v>33</v>
      </c>
      <c r="S1533" t="s">
        <v>41</v>
      </c>
    </row>
    <row r="1534" spans="1:19" x14ac:dyDescent="0.3">
      <c r="A1534" t="s">
        <v>4098</v>
      </c>
      <c r="B1534" s="2">
        <v>45326</v>
      </c>
      <c r="C1534" t="s">
        <v>113</v>
      </c>
      <c r="D1534" t="s">
        <v>60</v>
      </c>
      <c r="E1534" t="s">
        <v>4099</v>
      </c>
      <c r="F1534" t="s">
        <v>192</v>
      </c>
      <c r="G1534" t="s">
        <v>4100</v>
      </c>
      <c r="H1534" t="s">
        <v>40</v>
      </c>
      <c r="I1534" t="s">
        <v>26</v>
      </c>
      <c r="J1534">
        <v>1</v>
      </c>
      <c r="K1534">
        <v>536</v>
      </c>
      <c r="L1534">
        <v>536</v>
      </c>
      <c r="M1534">
        <v>5</v>
      </c>
      <c r="N1534">
        <v>50</v>
      </c>
      <c r="O1534">
        <v>100</v>
      </c>
      <c r="P1534">
        <v>10</v>
      </c>
      <c r="Q1534" t="s">
        <v>75</v>
      </c>
      <c r="R1534">
        <v>26</v>
      </c>
      <c r="S1534" t="s">
        <v>28</v>
      </c>
    </row>
    <row r="1535" spans="1:19" x14ac:dyDescent="0.3">
      <c r="A1535" t="s">
        <v>4101</v>
      </c>
      <c r="B1535" s="2">
        <v>45354</v>
      </c>
      <c r="C1535" t="s">
        <v>55</v>
      </c>
      <c r="D1535" t="s">
        <v>60</v>
      </c>
      <c r="E1535" t="s">
        <v>4102</v>
      </c>
      <c r="F1535" t="s">
        <v>4103</v>
      </c>
      <c r="G1535" t="s">
        <v>4104</v>
      </c>
      <c r="H1535" t="s">
        <v>40</v>
      </c>
      <c r="I1535" t="s">
        <v>26</v>
      </c>
      <c r="J1535">
        <v>4</v>
      </c>
      <c r="K1535">
        <v>435</v>
      </c>
      <c r="L1535">
        <v>1740</v>
      </c>
      <c r="O1535">
        <v>150</v>
      </c>
      <c r="P1535">
        <v>30</v>
      </c>
      <c r="Q1535" t="s">
        <v>75</v>
      </c>
      <c r="R1535">
        <v>45</v>
      </c>
      <c r="S1535" t="s">
        <v>41</v>
      </c>
    </row>
    <row r="1536" spans="1:19" x14ac:dyDescent="0.3">
      <c r="A1536" t="s">
        <v>4105</v>
      </c>
      <c r="B1536" s="2">
        <v>45316</v>
      </c>
      <c r="C1536" t="s">
        <v>43</v>
      </c>
      <c r="D1536" t="s">
        <v>92</v>
      </c>
      <c r="E1536" t="s">
        <v>4106</v>
      </c>
      <c r="F1536" t="s">
        <v>1469</v>
      </c>
      <c r="G1536" t="s">
        <v>53</v>
      </c>
      <c r="H1536" t="s">
        <v>53</v>
      </c>
      <c r="I1536" t="s">
        <v>26</v>
      </c>
      <c r="J1536">
        <v>3</v>
      </c>
      <c r="K1536">
        <v>594</v>
      </c>
      <c r="L1536">
        <v>1782</v>
      </c>
      <c r="P1536">
        <v>0</v>
      </c>
      <c r="Q1536" t="s">
        <v>49</v>
      </c>
      <c r="R1536">
        <v>31</v>
      </c>
      <c r="S1536" t="s">
        <v>28</v>
      </c>
    </row>
    <row r="1537" spans="1:19" x14ac:dyDescent="0.3">
      <c r="A1537" t="s">
        <v>4107</v>
      </c>
      <c r="B1537" s="2">
        <v>45381</v>
      </c>
      <c r="C1537" t="s">
        <v>55</v>
      </c>
      <c r="D1537" t="s">
        <v>100</v>
      </c>
      <c r="E1537" t="s">
        <v>4108</v>
      </c>
      <c r="F1537" t="s">
        <v>824</v>
      </c>
      <c r="G1537" t="s">
        <v>4109</v>
      </c>
      <c r="H1537" t="s">
        <v>80</v>
      </c>
      <c r="I1537" t="s">
        <v>26</v>
      </c>
      <c r="J1537">
        <v>2</v>
      </c>
      <c r="K1537">
        <v>336</v>
      </c>
      <c r="L1537">
        <v>672</v>
      </c>
      <c r="M1537">
        <v>3.4</v>
      </c>
      <c r="N1537">
        <v>55</v>
      </c>
      <c r="P1537">
        <v>0</v>
      </c>
      <c r="Q1537" t="s">
        <v>34</v>
      </c>
      <c r="R1537">
        <v>30</v>
      </c>
      <c r="S1537" t="s">
        <v>41</v>
      </c>
    </row>
    <row r="1538" spans="1:19" x14ac:dyDescent="0.3">
      <c r="A1538" t="s">
        <v>4110</v>
      </c>
      <c r="B1538" s="2">
        <v>45366</v>
      </c>
      <c r="C1538" t="s">
        <v>55</v>
      </c>
      <c r="D1538" t="s">
        <v>21</v>
      </c>
      <c r="E1538" t="s">
        <v>4111</v>
      </c>
      <c r="F1538" t="s">
        <v>115</v>
      </c>
      <c r="G1538" t="s">
        <v>53</v>
      </c>
      <c r="H1538" t="s">
        <v>53</v>
      </c>
      <c r="I1538" t="s">
        <v>26</v>
      </c>
      <c r="J1538">
        <v>4</v>
      </c>
      <c r="K1538">
        <v>239</v>
      </c>
      <c r="L1538">
        <v>956</v>
      </c>
      <c r="P1538">
        <v>0</v>
      </c>
      <c r="Q1538" t="s">
        <v>49</v>
      </c>
      <c r="R1538">
        <v>38</v>
      </c>
      <c r="S1538" t="s">
        <v>28</v>
      </c>
    </row>
    <row r="1539" spans="1:19" x14ac:dyDescent="0.3">
      <c r="A1539" t="s">
        <v>4112</v>
      </c>
      <c r="B1539" s="2">
        <v>45329</v>
      </c>
      <c r="C1539" t="s">
        <v>113</v>
      </c>
      <c r="D1539" t="s">
        <v>72</v>
      </c>
      <c r="E1539" t="s">
        <v>4113</v>
      </c>
      <c r="F1539" t="s">
        <v>192</v>
      </c>
      <c r="G1539" t="s">
        <v>1629</v>
      </c>
      <c r="H1539" t="s">
        <v>53</v>
      </c>
      <c r="I1539" t="s">
        <v>26</v>
      </c>
      <c r="J1539">
        <v>1</v>
      </c>
      <c r="K1539">
        <v>558</v>
      </c>
      <c r="L1539">
        <v>558</v>
      </c>
      <c r="P1539">
        <v>0</v>
      </c>
      <c r="Q1539" t="s">
        <v>75</v>
      </c>
      <c r="R1539">
        <v>42</v>
      </c>
      <c r="S1539" t="s">
        <v>41</v>
      </c>
    </row>
    <row r="1540" spans="1:19" x14ac:dyDescent="0.3">
      <c r="A1540" t="s">
        <v>4114</v>
      </c>
      <c r="B1540" s="2">
        <v>45421</v>
      </c>
      <c r="C1540" t="s">
        <v>71</v>
      </c>
      <c r="D1540" t="s">
        <v>92</v>
      </c>
      <c r="E1540" t="s">
        <v>4115</v>
      </c>
      <c r="F1540" t="s">
        <v>192</v>
      </c>
      <c r="G1540" t="s">
        <v>84</v>
      </c>
      <c r="H1540" t="s">
        <v>64</v>
      </c>
      <c r="I1540" t="s">
        <v>26</v>
      </c>
      <c r="J1540">
        <v>3</v>
      </c>
      <c r="K1540">
        <v>513</v>
      </c>
      <c r="L1540">
        <v>1539</v>
      </c>
      <c r="P1540">
        <v>0</v>
      </c>
      <c r="Q1540" t="s">
        <v>34</v>
      </c>
      <c r="R1540">
        <v>24</v>
      </c>
      <c r="S1540" t="s">
        <v>28</v>
      </c>
    </row>
    <row r="1541" spans="1:19" x14ac:dyDescent="0.3">
      <c r="A1541" t="s">
        <v>4116</v>
      </c>
      <c r="B1541" s="2">
        <v>45426</v>
      </c>
      <c r="C1541" t="s">
        <v>71</v>
      </c>
      <c r="D1541" t="s">
        <v>36</v>
      </c>
      <c r="E1541" t="s">
        <v>4117</v>
      </c>
      <c r="F1541" t="s">
        <v>192</v>
      </c>
      <c r="G1541" t="s">
        <v>4118</v>
      </c>
      <c r="H1541" t="s">
        <v>80</v>
      </c>
      <c r="I1541" t="s">
        <v>26</v>
      </c>
      <c r="J1541">
        <v>2</v>
      </c>
      <c r="K1541">
        <v>294</v>
      </c>
      <c r="L1541">
        <v>588</v>
      </c>
      <c r="P1541">
        <v>0</v>
      </c>
      <c r="Q1541" t="s">
        <v>34</v>
      </c>
      <c r="R1541">
        <v>32</v>
      </c>
      <c r="S1541" t="s">
        <v>41</v>
      </c>
    </row>
    <row r="1542" spans="1:19" x14ac:dyDescent="0.3">
      <c r="A1542" t="s">
        <v>4119</v>
      </c>
      <c r="B1542" s="2">
        <v>45501</v>
      </c>
      <c r="C1542" t="s">
        <v>59</v>
      </c>
      <c r="D1542" t="s">
        <v>60</v>
      </c>
      <c r="E1542" t="s">
        <v>4120</v>
      </c>
      <c r="F1542" t="s">
        <v>1469</v>
      </c>
      <c r="G1542" t="s">
        <v>395</v>
      </c>
      <c r="H1542" t="s">
        <v>64</v>
      </c>
      <c r="I1542" t="s">
        <v>26</v>
      </c>
      <c r="J1542">
        <v>2</v>
      </c>
      <c r="K1542">
        <v>142</v>
      </c>
      <c r="L1542">
        <v>284</v>
      </c>
      <c r="M1542">
        <v>2.5</v>
      </c>
      <c r="N1542">
        <v>46</v>
      </c>
      <c r="P1542">
        <v>0</v>
      </c>
      <c r="Q1542" t="s">
        <v>75</v>
      </c>
      <c r="R1542">
        <v>24</v>
      </c>
      <c r="S1542" t="s">
        <v>28</v>
      </c>
    </row>
    <row r="1543" spans="1:19" x14ac:dyDescent="0.3">
      <c r="A1543" t="s">
        <v>4121</v>
      </c>
      <c r="B1543" s="2">
        <v>45510</v>
      </c>
      <c r="C1543" t="s">
        <v>82</v>
      </c>
      <c r="D1543" t="s">
        <v>36</v>
      </c>
      <c r="E1543" t="s">
        <v>4122</v>
      </c>
      <c r="F1543" t="s">
        <v>450</v>
      </c>
      <c r="G1543" t="s">
        <v>186</v>
      </c>
      <c r="H1543" t="s">
        <v>80</v>
      </c>
      <c r="I1543" t="s">
        <v>26</v>
      </c>
      <c r="J1543">
        <v>4</v>
      </c>
      <c r="K1543">
        <v>332</v>
      </c>
      <c r="L1543">
        <v>1328</v>
      </c>
      <c r="M1543">
        <v>4.4000000000000004</v>
      </c>
      <c r="N1543">
        <v>64</v>
      </c>
      <c r="P1543">
        <v>0</v>
      </c>
      <c r="Q1543" t="s">
        <v>27</v>
      </c>
      <c r="R1543">
        <v>23</v>
      </c>
      <c r="S1543" t="s">
        <v>28</v>
      </c>
    </row>
    <row r="1544" spans="1:19" x14ac:dyDescent="0.3">
      <c r="A1544" t="s">
        <v>4123</v>
      </c>
      <c r="B1544" s="2">
        <v>45453</v>
      </c>
      <c r="C1544" t="s">
        <v>30</v>
      </c>
      <c r="D1544" t="s">
        <v>44</v>
      </c>
      <c r="E1544" t="s">
        <v>4124</v>
      </c>
      <c r="F1544" t="s">
        <v>192</v>
      </c>
      <c r="G1544" t="s">
        <v>53</v>
      </c>
      <c r="H1544" t="s">
        <v>53</v>
      </c>
      <c r="I1544" t="s">
        <v>26</v>
      </c>
      <c r="J1544">
        <v>3</v>
      </c>
      <c r="K1544">
        <v>524</v>
      </c>
      <c r="L1544">
        <v>1572</v>
      </c>
      <c r="P1544">
        <v>0</v>
      </c>
      <c r="Q1544" t="s">
        <v>27</v>
      </c>
      <c r="R1544">
        <v>19</v>
      </c>
      <c r="S1544" t="s">
        <v>41</v>
      </c>
    </row>
    <row r="1545" spans="1:19" x14ac:dyDescent="0.3">
      <c r="A1545" t="s">
        <v>4125</v>
      </c>
      <c r="B1545" s="2">
        <v>45382</v>
      </c>
      <c r="C1545" t="s">
        <v>55</v>
      </c>
      <c r="D1545" t="s">
        <v>60</v>
      </c>
      <c r="E1545" t="s">
        <v>4126</v>
      </c>
      <c r="F1545" t="s">
        <v>62</v>
      </c>
      <c r="G1545" t="s">
        <v>2161</v>
      </c>
      <c r="H1545" t="s">
        <v>53</v>
      </c>
      <c r="I1545" t="s">
        <v>26</v>
      </c>
      <c r="J1545">
        <v>3</v>
      </c>
      <c r="K1545">
        <v>354</v>
      </c>
      <c r="L1545">
        <v>1062</v>
      </c>
      <c r="M1545">
        <v>4.4000000000000004</v>
      </c>
      <c r="N1545">
        <v>42</v>
      </c>
      <c r="P1545">
        <v>0</v>
      </c>
      <c r="Q1545" t="s">
        <v>34</v>
      </c>
      <c r="R1545">
        <v>26</v>
      </c>
      <c r="S1545" t="s">
        <v>41</v>
      </c>
    </row>
    <row r="1546" spans="1:19" x14ac:dyDescent="0.3">
      <c r="A1546" t="s">
        <v>4127</v>
      </c>
      <c r="B1546" s="2">
        <v>45308</v>
      </c>
      <c r="C1546" t="s">
        <v>43</v>
      </c>
      <c r="D1546" t="s">
        <v>72</v>
      </c>
      <c r="E1546" t="s">
        <v>4128</v>
      </c>
      <c r="F1546" t="s">
        <v>192</v>
      </c>
      <c r="G1546" t="s">
        <v>227</v>
      </c>
      <c r="H1546" t="s">
        <v>80</v>
      </c>
      <c r="I1546" t="s">
        <v>26</v>
      </c>
      <c r="J1546">
        <v>3</v>
      </c>
      <c r="K1546">
        <v>132</v>
      </c>
      <c r="L1546">
        <v>396</v>
      </c>
      <c r="M1546">
        <v>4</v>
      </c>
      <c r="N1546">
        <v>61</v>
      </c>
      <c r="P1546">
        <v>0</v>
      </c>
      <c r="Q1546" t="s">
        <v>49</v>
      </c>
      <c r="R1546">
        <v>39</v>
      </c>
      <c r="S1546" t="s">
        <v>28</v>
      </c>
    </row>
    <row r="1547" spans="1:19" x14ac:dyDescent="0.3">
      <c r="A1547" t="s">
        <v>4129</v>
      </c>
      <c r="B1547" s="2">
        <v>45419</v>
      </c>
      <c r="C1547" t="s">
        <v>71</v>
      </c>
      <c r="D1547" t="s">
        <v>36</v>
      </c>
      <c r="E1547" t="s">
        <v>4130</v>
      </c>
      <c r="F1547" t="s">
        <v>115</v>
      </c>
      <c r="G1547" t="s">
        <v>4131</v>
      </c>
      <c r="H1547" t="s">
        <v>80</v>
      </c>
      <c r="I1547" t="s">
        <v>26</v>
      </c>
      <c r="J1547">
        <v>3</v>
      </c>
      <c r="K1547">
        <v>220</v>
      </c>
      <c r="L1547">
        <v>660</v>
      </c>
      <c r="O1547">
        <v>700</v>
      </c>
      <c r="P1547">
        <v>20</v>
      </c>
      <c r="Q1547" t="s">
        <v>27</v>
      </c>
      <c r="R1547">
        <v>41</v>
      </c>
      <c r="S1547" t="s">
        <v>28</v>
      </c>
    </row>
    <row r="1548" spans="1:19" x14ac:dyDescent="0.3">
      <c r="A1548" t="s">
        <v>4132</v>
      </c>
      <c r="B1548" s="2">
        <v>45462</v>
      </c>
      <c r="C1548" t="s">
        <v>30</v>
      </c>
      <c r="D1548" t="s">
        <v>72</v>
      </c>
      <c r="E1548" t="s">
        <v>4133</v>
      </c>
      <c r="F1548" t="s">
        <v>192</v>
      </c>
      <c r="G1548" t="s">
        <v>4134</v>
      </c>
      <c r="H1548" t="s">
        <v>25</v>
      </c>
      <c r="I1548" t="s">
        <v>26</v>
      </c>
      <c r="J1548">
        <v>1</v>
      </c>
      <c r="K1548">
        <v>536</v>
      </c>
      <c r="L1548">
        <v>536</v>
      </c>
      <c r="M1548">
        <v>4.2</v>
      </c>
      <c r="N1548">
        <v>45</v>
      </c>
      <c r="O1548">
        <v>100</v>
      </c>
      <c r="P1548">
        <v>10</v>
      </c>
      <c r="Q1548" t="s">
        <v>49</v>
      </c>
      <c r="R1548">
        <v>34</v>
      </c>
      <c r="S1548" t="s">
        <v>28</v>
      </c>
    </row>
    <row r="1549" spans="1:19" x14ac:dyDescent="0.3">
      <c r="A1549" t="s">
        <v>4135</v>
      </c>
      <c r="B1549" s="2">
        <v>45478</v>
      </c>
      <c r="C1549" t="s">
        <v>59</v>
      </c>
      <c r="D1549" t="s">
        <v>21</v>
      </c>
      <c r="E1549" t="s">
        <v>4136</v>
      </c>
      <c r="F1549" t="s">
        <v>78</v>
      </c>
      <c r="G1549" t="s">
        <v>109</v>
      </c>
      <c r="H1549" t="s">
        <v>64</v>
      </c>
      <c r="I1549" t="s">
        <v>26</v>
      </c>
      <c r="J1549">
        <v>3</v>
      </c>
      <c r="K1549">
        <v>143</v>
      </c>
      <c r="L1549">
        <v>429</v>
      </c>
      <c r="M1549">
        <v>3</v>
      </c>
      <c r="N1549">
        <v>58</v>
      </c>
      <c r="O1549">
        <v>999</v>
      </c>
      <c r="P1549">
        <v>0</v>
      </c>
      <c r="Q1549" t="s">
        <v>27</v>
      </c>
      <c r="R1549">
        <v>22</v>
      </c>
      <c r="S1549" t="s">
        <v>28</v>
      </c>
    </row>
    <row r="1550" spans="1:19" x14ac:dyDescent="0.3">
      <c r="A1550" t="s">
        <v>4137</v>
      </c>
      <c r="B1550" s="2">
        <v>45399</v>
      </c>
      <c r="C1550" t="s">
        <v>20</v>
      </c>
      <c r="D1550" t="s">
        <v>72</v>
      </c>
      <c r="E1550" t="s">
        <v>4138</v>
      </c>
      <c r="F1550" t="s">
        <v>450</v>
      </c>
      <c r="G1550" t="s">
        <v>4139</v>
      </c>
      <c r="H1550" t="s">
        <v>80</v>
      </c>
      <c r="I1550" t="s">
        <v>26</v>
      </c>
      <c r="J1550">
        <v>2</v>
      </c>
      <c r="K1550">
        <v>483</v>
      </c>
      <c r="L1550">
        <v>966</v>
      </c>
      <c r="P1550">
        <v>0</v>
      </c>
      <c r="Q1550" t="s">
        <v>27</v>
      </c>
      <c r="R1550">
        <v>29</v>
      </c>
      <c r="S1550" t="s">
        <v>41</v>
      </c>
    </row>
    <row r="1551" spans="1:19" x14ac:dyDescent="0.3">
      <c r="A1551" t="s">
        <v>4140</v>
      </c>
      <c r="B1551" s="2">
        <v>45470</v>
      </c>
      <c r="C1551" t="s">
        <v>30</v>
      </c>
      <c r="D1551" t="s">
        <v>92</v>
      </c>
      <c r="E1551" t="s">
        <v>4141</v>
      </c>
      <c r="F1551" t="s">
        <v>2197</v>
      </c>
      <c r="G1551" t="s">
        <v>4142</v>
      </c>
      <c r="H1551" t="s">
        <v>80</v>
      </c>
      <c r="I1551" t="s">
        <v>26</v>
      </c>
      <c r="J1551">
        <v>2</v>
      </c>
      <c r="K1551">
        <v>130</v>
      </c>
      <c r="L1551">
        <v>260</v>
      </c>
      <c r="M1551">
        <v>4.8</v>
      </c>
      <c r="N1551">
        <v>56</v>
      </c>
      <c r="P1551">
        <v>0</v>
      </c>
      <c r="Q1551" t="s">
        <v>49</v>
      </c>
      <c r="R1551">
        <v>18</v>
      </c>
      <c r="S1551" t="s">
        <v>28</v>
      </c>
    </row>
    <row r="1552" spans="1:19" x14ac:dyDescent="0.3">
      <c r="A1552" t="s">
        <v>4143</v>
      </c>
      <c r="B1552" s="2">
        <v>45473</v>
      </c>
      <c r="C1552" t="s">
        <v>30</v>
      </c>
      <c r="D1552" t="s">
        <v>60</v>
      </c>
      <c r="E1552" t="s">
        <v>4144</v>
      </c>
      <c r="F1552" t="s">
        <v>115</v>
      </c>
      <c r="G1552" t="s">
        <v>2184</v>
      </c>
      <c r="H1552" t="s">
        <v>80</v>
      </c>
      <c r="I1552" t="s">
        <v>26</v>
      </c>
      <c r="J1552">
        <v>1</v>
      </c>
      <c r="K1552">
        <v>392</v>
      </c>
      <c r="L1552">
        <v>392</v>
      </c>
      <c r="M1552">
        <v>2.8</v>
      </c>
      <c r="N1552">
        <v>62</v>
      </c>
      <c r="O1552">
        <v>700</v>
      </c>
      <c r="P1552">
        <v>20</v>
      </c>
      <c r="Q1552" t="s">
        <v>75</v>
      </c>
      <c r="R1552">
        <v>27</v>
      </c>
      <c r="S1552" t="s">
        <v>28</v>
      </c>
    </row>
    <row r="1553" spans="1:19" x14ac:dyDescent="0.3">
      <c r="A1553" t="s">
        <v>4145</v>
      </c>
      <c r="B1553" s="2">
        <v>45443</v>
      </c>
      <c r="C1553" t="s">
        <v>71</v>
      </c>
      <c r="D1553" t="s">
        <v>21</v>
      </c>
      <c r="E1553" t="s">
        <v>4146</v>
      </c>
      <c r="F1553" t="s">
        <v>115</v>
      </c>
      <c r="G1553" t="s">
        <v>4147</v>
      </c>
      <c r="H1553" t="s">
        <v>80</v>
      </c>
      <c r="I1553" t="s">
        <v>26</v>
      </c>
      <c r="J1553">
        <v>2</v>
      </c>
      <c r="K1553">
        <v>571</v>
      </c>
      <c r="L1553">
        <v>1142</v>
      </c>
      <c r="P1553">
        <v>0</v>
      </c>
      <c r="Q1553" t="s">
        <v>27</v>
      </c>
      <c r="R1553">
        <v>28</v>
      </c>
      <c r="S1553" t="s">
        <v>28</v>
      </c>
    </row>
    <row r="1554" spans="1:19" x14ac:dyDescent="0.3">
      <c r="A1554" t="s">
        <v>4148</v>
      </c>
      <c r="B1554" s="2">
        <v>45316</v>
      </c>
      <c r="C1554" t="s">
        <v>43</v>
      </c>
      <c r="D1554" t="s">
        <v>92</v>
      </c>
      <c r="E1554" t="s">
        <v>4149</v>
      </c>
      <c r="F1554" t="s">
        <v>115</v>
      </c>
      <c r="G1554" t="s">
        <v>1403</v>
      </c>
      <c r="H1554" t="s">
        <v>48</v>
      </c>
      <c r="I1554" t="s">
        <v>33</v>
      </c>
      <c r="J1554">
        <v>2</v>
      </c>
      <c r="K1554">
        <v>550</v>
      </c>
      <c r="L1554">
        <v>1100</v>
      </c>
      <c r="P1554">
        <v>0</v>
      </c>
      <c r="Q1554" t="s">
        <v>27</v>
      </c>
      <c r="R1554">
        <v>33</v>
      </c>
      <c r="S1554" t="s">
        <v>41</v>
      </c>
    </row>
    <row r="1555" spans="1:19" x14ac:dyDescent="0.3">
      <c r="A1555" t="s">
        <v>4150</v>
      </c>
      <c r="B1555" s="2">
        <v>45490</v>
      </c>
      <c r="C1555" t="s">
        <v>59</v>
      </c>
      <c r="D1555" t="s">
        <v>72</v>
      </c>
      <c r="E1555" t="s">
        <v>4151</v>
      </c>
      <c r="F1555" t="s">
        <v>46</v>
      </c>
      <c r="G1555" t="s">
        <v>186</v>
      </c>
      <c r="H1555" t="s">
        <v>80</v>
      </c>
      <c r="I1555" t="s">
        <v>26</v>
      </c>
      <c r="J1555">
        <v>3</v>
      </c>
      <c r="K1555">
        <v>400</v>
      </c>
      <c r="L1555">
        <v>1200</v>
      </c>
      <c r="P1555">
        <v>0</v>
      </c>
      <c r="Q1555" t="s">
        <v>49</v>
      </c>
      <c r="R1555">
        <v>31</v>
      </c>
      <c r="S1555" t="s">
        <v>28</v>
      </c>
    </row>
    <row r="1556" spans="1:19" x14ac:dyDescent="0.3">
      <c r="A1556" t="s">
        <v>4152</v>
      </c>
      <c r="B1556" s="2">
        <v>45471</v>
      </c>
      <c r="C1556" t="s">
        <v>30</v>
      </c>
      <c r="D1556" t="s">
        <v>21</v>
      </c>
      <c r="E1556" t="s">
        <v>4153</v>
      </c>
      <c r="F1556" t="s">
        <v>192</v>
      </c>
      <c r="G1556" t="s">
        <v>4154</v>
      </c>
      <c r="H1556" t="s">
        <v>53</v>
      </c>
      <c r="I1556" t="s">
        <v>26</v>
      </c>
      <c r="J1556">
        <v>2</v>
      </c>
      <c r="K1556">
        <v>213</v>
      </c>
      <c r="L1556">
        <v>426</v>
      </c>
      <c r="M1556">
        <v>5</v>
      </c>
      <c r="N1556">
        <v>50</v>
      </c>
      <c r="O1556">
        <v>250</v>
      </c>
      <c r="P1556">
        <v>50</v>
      </c>
      <c r="Q1556" t="s">
        <v>75</v>
      </c>
      <c r="R1556">
        <v>25</v>
      </c>
      <c r="S1556" t="s">
        <v>41</v>
      </c>
    </row>
    <row r="1557" spans="1:19" x14ac:dyDescent="0.3">
      <c r="A1557" t="s">
        <v>4155</v>
      </c>
      <c r="B1557" s="2">
        <v>45489</v>
      </c>
      <c r="C1557" t="s">
        <v>59</v>
      </c>
      <c r="D1557" t="s">
        <v>36</v>
      </c>
      <c r="E1557" t="s">
        <v>4156</v>
      </c>
      <c r="F1557" t="s">
        <v>2197</v>
      </c>
      <c r="G1557" t="s">
        <v>2184</v>
      </c>
      <c r="H1557" t="s">
        <v>80</v>
      </c>
      <c r="I1557" t="s">
        <v>26</v>
      </c>
      <c r="J1557">
        <v>1</v>
      </c>
      <c r="K1557">
        <v>320</v>
      </c>
      <c r="L1557">
        <v>320</v>
      </c>
      <c r="P1557">
        <v>0</v>
      </c>
      <c r="Q1557" t="s">
        <v>27</v>
      </c>
      <c r="R1557">
        <v>41</v>
      </c>
      <c r="S1557" t="s">
        <v>41</v>
      </c>
    </row>
    <row r="1558" spans="1:19" x14ac:dyDescent="0.3">
      <c r="A1558" t="s">
        <v>4157</v>
      </c>
      <c r="B1558" s="2">
        <v>45379</v>
      </c>
      <c r="C1558" t="s">
        <v>55</v>
      </c>
      <c r="D1558" t="s">
        <v>92</v>
      </c>
      <c r="E1558" t="s">
        <v>4158</v>
      </c>
      <c r="F1558" t="s">
        <v>956</v>
      </c>
      <c r="G1558" t="s">
        <v>64</v>
      </c>
      <c r="H1558" t="s">
        <v>64</v>
      </c>
      <c r="I1558" t="s">
        <v>26</v>
      </c>
      <c r="J1558">
        <v>3</v>
      </c>
      <c r="K1558">
        <v>140</v>
      </c>
      <c r="L1558">
        <v>420</v>
      </c>
      <c r="P1558">
        <v>0</v>
      </c>
      <c r="Q1558" t="s">
        <v>27</v>
      </c>
      <c r="R1558">
        <v>34</v>
      </c>
      <c r="S1558" t="s">
        <v>41</v>
      </c>
    </row>
    <row r="1559" spans="1:19" x14ac:dyDescent="0.3">
      <c r="A1559" t="s">
        <v>4159</v>
      </c>
      <c r="B1559" s="2">
        <v>45452</v>
      </c>
      <c r="C1559" t="s">
        <v>30</v>
      </c>
      <c r="D1559" t="s">
        <v>60</v>
      </c>
      <c r="E1559" t="s">
        <v>4160</v>
      </c>
      <c r="F1559" t="s">
        <v>192</v>
      </c>
      <c r="G1559" t="s">
        <v>4161</v>
      </c>
      <c r="H1559" t="s">
        <v>40</v>
      </c>
      <c r="I1559" t="s">
        <v>26</v>
      </c>
      <c r="J1559">
        <v>4</v>
      </c>
      <c r="K1559">
        <v>459</v>
      </c>
      <c r="L1559">
        <v>1836</v>
      </c>
      <c r="M1559">
        <v>3.4</v>
      </c>
      <c r="N1559">
        <v>54</v>
      </c>
      <c r="P1559">
        <v>0</v>
      </c>
      <c r="Q1559" t="s">
        <v>75</v>
      </c>
      <c r="R1559">
        <v>42</v>
      </c>
      <c r="S1559" t="s">
        <v>41</v>
      </c>
    </row>
    <row r="1560" spans="1:19" x14ac:dyDescent="0.3">
      <c r="A1560" t="s">
        <v>4162</v>
      </c>
      <c r="B1560" s="2">
        <v>45468</v>
      </c>
      <c r="C1560" t="s">
        <v>30</v>
      </c>
      <c r="D1560" t="s">
        <v>36</v>
      </c>
      <c r="E1560" t="s">
        <v>4163</v>
      </c>
      <c r="F1560" t="s">
        <v>115</v>
      </c>
      <c r="G1560" t="s">
        <v>4164</v>
      </c>
      <c r="H1560" t="s">
        <v>25</v>
      </c>
      <c r="I1560" t="s">
        <v>26</v>
      </c>
      <c r="J1560">
        <v>3</v>
      </c>
      <c r="K1560">
        <v>586</v>
      </c>
      <c r="L1560">
        <v>1758</v>
      </c>
      <c r="M1560">
        <v>4.3</v>
      </c>
      <c r="N1560">
        <v>41</v>
      </c>
      <c r="P1560">
        <v>0</v>
      </c>
      <c r="Q1560" t="s">
        <v>27</v>
      </c>
      <c r="R1560">
        <v>35</v>
      </c>
      <c r="S1560" t="s">
        <v>41</v>
      </c>
    </row>
    <row r="1561" spans="1:19" x14ac:dyDescent="0.3">
      <c r="A1561" t="s">
        <v>4165</v>
      </c>
      <c r="B1561" s="2">
        <v>45320</v>
      </c>
      <c r="C1561" t="s">
        <v>43</v>
      </c>
      <c r="D1561" t="s">
        <v>44</v>
      </c>
      <c r="E1561" t="s">
        <v>4166</v>
      </c>
      <c r="F1561" t="s">
        <v>450</v>
      </c>
      <c r="G1561" t="s">
        <v>4167</v>
      </c>
      <c r="H1561" t="s">
        <v>53</v>
      </c>
      <c r="I1561" t="s">
        <v>26</v>
      </c>
      <c r="J1561">
        <v>1</v>
      </c>
      <c r="K1561">
        <v>330</v>
      </c>
      <c r="L1561">
        <v>330</v>
      </c>
      <c r="P1561">
        <v>0</v>
      </c>
      <c r="Q1561" t="s">
        <v>75</v>
      </c>
      <c r="R1561">
        <v>29</v>
      </c>
      <c r="S1561" t="s">
        <v>41</v>
      </c>
    </row>
    <row r="1562" spans="1:19" x14ac:dyDescent="0.3">
      <c r="A1562" t="s">
        <v>4168</v>
      </c>
      <c r="B1562" s="2">
        <v>45354</v>
      </c>
      <c r="C1562" t="s">
        <v>55</v>
      </c>
      <c r="D1562" t="s">
        <v>60</v>
      </c>
      <c r="E1562" t="s">
        <v>4169</v>
      </c>
      <c r="F1562" t="s">
        <v>78</v>
      </c>
      <c r="G1562" t="s">
        <v>4170</v>
      </c>
      <c r="H1562" t="s">
        <v>80</v>
      </c>
      <c r="I1562" t="s">
        <v>26</v>
      </c>
      <c r="J1562">
        <v>3</v>
      </c>
      <c r="K1562">
        <v>259</v>
      </c>
      <c r="L1562">
        <v>777</v>
      </c>
      <c r="P1562">
        <v>0</v>
      </c>
      <c r="Q1562" t="s">
        <v>75</v>
      </c>
      <c r="R1562">
        <v>42</v>
      </c>
      <c r="S1562" t="s">
        <v>41</v>
      </c>
    </row>
    <row r="1563" spans="1:19" x14ac:dyDescent="0.3">
      <c r="A1563" t="s">
        <v>4171</v>
      </c>
      <c r="B1563" s="2">
        <v>45526</v>
      </c>
      <c r="C1563" t="s">
        <v>82</v>
      </c>
      <c r="D1563" t="s">
        <v>92</v>
      </c>
      <c r="E1563" t="s">
        <v>4172</v>
      </c>
      <c r="F1563" t="s">
        <v>450</v>
      </c>
      <c r="G1563" t="s">
        <v>227</v>
      </c>
      <c r="H1563" t="s">
        <v>80</v>
      </c>
      <c r="I1563" t="s">
        <v>26</v>
      </c>
      <c r="J1563">
        <v>3</v>
      </c>
      <c r="K1563">
        <v>412</v>
      </c>
      <c r="L1563">
        <v>1236</v>
      </c>
      <c r="P1563">
        <v>0</v>
      </c>
      <c r="Q1563" t="s">
        <v>49</v>
      </c>
      <c r="R1563">
        <v>34</v>
      </c>
      <c r="S1563" t="s">
        <v>28</v>
      </c>
    </row>
    <row r="1564" spans="1:19" x14ac:dyDescent="0.3">
      <c r="A1564" t="s">
        <v>4173</v>
      </c>
      <c r="B1564" s="2">
        <v>45441</v>
      </c>
      <c r="C1564" t="s">
        <v>71</v>
      </c>
      <c r="D1564" t="s">
        <v>72</v>
      </c>
      <c r="E1564" t="s">
        <v>4174</v>
      </c>
      <c r="F1564" t="s">
        <v>115</v>
      </c>
      <c r="G1564" t="s">
        <v>4175</v>
      </c>
      <c r="H1564" t="s">
        <v>40</v>
      </c>
      <c r="I1564" t="s">
        <v>26</v>
      </c>
      <c r="J1564">
        <v>1</v>
      </c>
      <c r="K1564">
        <v>417</v>
      </c>
      <c r="L1564">
        <v>417</v>
      </c>
      <c r="P1564">
        <v>0</v>
      </c>
      <c r="Q1564" t="s">
        <v>34</v>
      </c>
      <c r="R1564">
        <v>45</v>
      </c>
      <c r="S1564" t="s">
        <v>28</v>
      </c>
    </row>
    <row r="1565" spans="1:19" x14ac:dyDescent="0.3">
      <c r="A1565" t="s">
        <v>4176</v>
      </c>
      <c r="B1565" s="2">
        <v>45445</v>
      </c>
      <c r="C1565" t="s">
        <v>30</v>
      </c>
      <c r="D1565" t="s">
        <v>60</v>
      </c>
      <c r="E1565" t="s">
        <v>4177</v>
      </c>
      <c r="F1565" t="s">
        <v>746</v>
      </c>
      <c r="G1565" t="s">
        <v>186</v>
      </c>
      <c r="H1565" t="s">
        <v>80</v>
      </c>
      <c r="I1565" t="s">
        <v>26</v>
      </c>
      <c r="J1565">
        <v>3</v>
      </c>
      <c r="K1565">
        <v>520</v>
      </c>
      <c r="L1565">
        <v>1560</v>
      </c>
      <c r="P1565">
        <v>0</v>
      </c>
      <c r="Q1565" t="s">
        <v>75</v>
      </c>
      <c r="R1565">
        <v>43</v>
      </c>
      <c r="S1565" t="s">
        <v>41</v>
      </c>
    </row>
    <row r="1566" spans="1:19" x14ac:dyDescent="0.3">
      <c r="A1566" t="s">
        <v>4178</v>
      </c>
      <c r="B1566" s="2">
        <v>45447</v>
      </c>
      <c r="C1566" t="s">
        <v>30</v>
      </c>
      <c r="D1566" t="s">
        <v>36</v>
      </c>
      <c r="E1566" t="s">
        <v>4179</v>
      </c>
      <c r="F1566" t="s">
        <v>4180</v>
      </c>
      <c r="G1566" t="s">
        <v>4181</v>
      </c>
      <c r="H1566" t="s">
        <v>80</v>
      </c>
      <c r="I1566" t="s">
        <v>26</v>
      </c>
      <c r="J1566">
        <v>1</v>
      </c>
      <c r="K1566">
        <v>220</v>
      </c>
      <c r="L1566">
        <v>220</v>
      </c>
      <c r="M1566">
        <v>4.0999999999999996</v>
      </c>
      <c r="N1566">
        <v>49</v>
      </c>
      <c r="P1566">
        <v>0</v>
      </c>
      <c r="Q1566" t="s">
        <v>49</v>
      </c>
      <c r="R1566">
        <v>31</v>
      </c>
      <c r="S1566" t="s">
        <v>28</v>
      </c>
    </row>
    <row r="1567" spans="1:19" x14ac:dyDescent="0.3">
      <c r="A1567" t="s">
        <v>4182</v>
      </c>
      <c r="B1567" s="2">
        <v>45405</v>
      </c>
      <c r="C1567" t="s">
        <v>20</v>
      </c>
      <c r="D1567" t="s">
        <v>36</v>
      </c>
      <c r="E1567" t="s">
        <v>4183</v>
      </c>
      <c r="F1567" t="s">
        <v>450</v>
      </c>
      <c r="G1567" t="s">
        <v>154</v>
      </c>
      <c r="H1567" t="s">
        <v>80</v>
      </c>
      <c r="I1567" t="s">
        <v>26</v>
      </c>
      <c r="J1567">
        <v>1</v>
      </c>
      <c r="K1567">
        <v>423</v>
      </c>
      <c r="L1567">
        <v>423</v>
      </c>
      <c r="M1567">
        <v>3.2</v>
      </c>
      <c r="N1567">
        <v>49</v>
      </c>
      <c r="O1567">
        <v>600</v>
      </c>
      <c r="P1567">
        <v>10</v>
      </c>
      <c r="Q1567" t="s">
        <v>34</v>
      </c>
      <c r="R1567">
        <v>33</v>
      </c>
      <c r="S1567" t="s">
        <v>28</v>
      </c>
    </row>
    <row r="1568" spans="1:19" x14ac:dyDescent="0.3">
      <c r="A1568" t="s">
        <v>4184</v>
      </c>
      <c r="B1568" s="2">
        <v>45504</v>
      </c>
      <c r="C1568" t="s">
        <v>59</v>
      </c>
      <c r="D1568" t="s">
        <v>72</v>
      </c>
      <c r="E1568" t="s">
        <v>4185</v>
      </c>
      <c r="F1568" t="s">
        <v>115</v>
      </c>
      <c r="G1568" t="s">
        <v>2330</v>
      </c>
      <c r="H1568" t="s">
        <v>48</v>
      </c>
      <c r="I1568" t="s">
        <v>33</v>
      </c>
      <c r="J1568">
        <v>4</v>
      </c>
      <c r="K1568">
        <v>478</v>
      </c>
      <c r="L1568">
        <v>1912</v>
      </c>
      <c r="M1568">
        <v>1.5</v>
      </c>
      <c r="N1568">
        <v>40</v>
      </c>
      <c r="P1568">
        <v>0</v>
      </c>
      <c r="Q1568" t="s">
        <v>27</v>
      </c>
      <c r="R1568">
        <v>31</v>
      </c>
      <c r="S1568" t="s">
        <v>41</v>
      </c>
    </row>
    <row r="1569" spans="1:19" x14ac:dyDescent="0.3">
      <c r="A1569" t="s">
        <v>4186</v>
      </c>
      <c r="B1569" s="2">
        <v>45340</v>
      </c>
      <c r="C1569" t="s">
        <v>113</v>
      </c>
      <c r="D1569" t="s">
        <v>60</v>
      </c>
      <c r="E1569" t="s">
        <v>4187</v>
      </c>
      <c r="F1569" t="s">
        <v>78</v>
      </c>
      <c r="G1569" t="s">
        <v>769</v>
      </c>
      <c r="H1569" t="s">
        <v>80</v>
      </c>
      <c r="I1569" t="s">
        <v>26</v>
      </c>
      <c r="J1569">
        <v>2</v>
      </c>
      <c r="K1569">
        <v>147</v>
      </c>
      <c r="L1569">
        <v>294</v>
      </c>
      <c r="M1569">
        <v>5</v>
      </c>
      <c r="N1569">
        <v>61</v>
      </c>
      <c r="P1569">
        <v>0</v>
      </c>
      <c r="Q1569" t="s">
        <v>34</v>
      </c>
      <c r="R1569">
        <v>26</v>
      </c>
      <c r="S1569" t="s">
        <v>28</v>
      </c>
    </row>
    <row r="1570" spans="1:19" x14ac:dyDescent="0.3">
      <c r="A1570" t="s">
        <v>4188</v>
      </c>
      <c r="B1570" s="2">
        <v>45490</v>
      </c>
      <c r="C1570" t="s">
        <v>59</v>
      </c>
      <c r="D1570" t="s">
        <v>72</v>
      </c>
      <c r="E1570" t="s">
        <v>4189</v>
      </c>
      <c r="F1570" t="s">
        <v>4190</v>
      </c>
      <c r="G1570" t="s">
        <v>4191</v>
      </c>
      <c r="H1570" t="s">
        <v>64</v>
      </c>
      <c r="I1570" t="s">
        <v>26</v>
      </c>
      <c r="J1570">
        <v>2</v>
      </c>
      <c r="K1570">
        <v>160</v>
      </c>
      <c r="L1570">
        <v>320</v>
      </c>
      <c r="P1570">
        <v>0</v>
      </c>
      <c r="Q1570" t="s">
        <v>75</v>
      </c>
      <c r="R1570">
        <v>21</v>
      </c>
      <c r="S1570" t="s">
        <v>41</v>
      </c>
    </row>
    <row r="1571" spans="1:19" x14ac:dyDescent="0.3">
      <c r="A1571" t="s">
        <v>4192</v>
      </c>
      <c r="B1571" s="2">
        <v>45372</v>
      </c>
      <c r="C1571" t="s">
        <v>55</v>
      </c>
      <c r="D1571" t="s">
        <v>92</v>
      </c>
      <c r="E1571" t="s">
        <v>4193</v>
      </c>
      <c r="F1571" t="s">
        <v>115</v>
      </c>
      <c r="G1571" t="s">
        <v>4194</v>
      </c>
      <c r="H1571" t="s">
        <v>80</v>
      </c>
      <c r="I1571" t="s">
        <v>26</v>
      </c>
      <c r="J1571">
        <v>3</v>
      </c>
      <c r="K1571">
        <v>474</v>
      </c>
      <c r="L1571">
        <v>1422</v>
      </c>
      <c r="P1571">
        <v>0</v>
      </c>
      <c r="Q1571" t="s">
        <v>75</v>
      </c>
      <c r="R1571">
        <v>42</v>
      </c>
      <c r="S1571" t="s">
        <v>28</v>
      </c>
    </row>
    <row r="1572" spans="1:19" x14ac:dyDescent="0.3">
      <c r="A1572" t="s">
        <v>4195</v>
      </c>
      <c r="B1572" s="2">
        <v>45375</v>
      </c>
      <c r="C1572" t="s">
        <v>55</v>
      </c>
      <c r="D1572" t="s">
        <v>60</v>
      </c>
      <c r="E1572" t="s">
        <v>4196</v>
      </c>
      <c r="F1572" t="s">
        <v>4197</v>
      </c>
      <c r="G1572" t="s">
        <v>4198</v>
      </c>
      <c r="H1572" t="s">
        <v>48</v>
      </c>
      <c r="I1572" t="s">
        <v>33</v>
      </c>
      <c r="J1572">
        <v>3</v>
      </c>
      <c r="K1572">
        <v>422</v>
      </c>
      <c r="L1572">
        <v>1266</v>
      </c>
      <c r="M1572">
        <v>3.8</v>
      </c>
      <c r="N1572">
        <v>41</v>
      </c>
      <c r="P1572">
        <v>0</v>
      </c>
      <c r="Q1572" t="s">
        <v>75</v>
      </c>
      <c r="R1572">
        <v>40</v>
      </c>
      <c r="S1572" t="s">
        <v>41</v>
      </c>
    </row>
    <row r="1573" spans="1:19" x14ac:dyDescent="0.3">
      <c r="A1573" t="s">
        <v>4199</v>
      </c>
      <c r="B1573" s="2">
        <v>45396</v>
      </c>
      <c r="C1573" t="s">
        <v>20</v>
      </c>
      <c r="D1573" t="s">
        <v>60</v>
      </c>
      <c r="E1573" t="s">
        <v>4200</v>
      </c>
      <c r="F1573" t="s">
        <v>192</v>
      </c>
      <c r="G1573" t="s">
        <v>221</v>
      </c>
      <c r="H1573" t="s">
        <v>80</v>
      </c>
      <c r="I1573" t="s">
        <v>26</v>
      </c>
      <c r="J1573">
        <v>4</v>
      </c>
      <c r="K1573">
        <v>265</v>
      </c>
      <c r="L1573">
        <v>1060</v>
      </c>
      <c r="M1573">
        <v>4.8</v>
      </c>
      <c r="N1573">
        <v>54</v>
      </c>
      <c r="P1573">
        <v>0</v>
      </c>
      <c r="Q1573" t="s">
        <v>75</v>
      </c>
      <c r="R1573">
        <v>28</v>
      </c>
      <c r="S1573" t="s">
        <v>41</v>
      </c>
    </row>
    <row r="1574" spans="1:19" x14ac:dyDescent="0.3">
      <c r="A1574" t="s">
        <v>4201</v>
      </c>
      <c r="B1574" s="2">
        <v>45468</v>
      </c>
      <c r="C1574" t="s">
        <v>30</v>
      </c>
      <c r="D1574" t="s">
        <v>36</v>
      </c>
      <c r="E1574" t="s">
        <v>4202</v>
      </c>
      <c r="F1574" t="s">
        <v>925</v>
      </c>
      <c r="G1574" t="s">
        <v>4203</v>
      </c>
      <c r="H1574" t="s">
        <v>40</v>
      </c>
      <c r="I1574" t="s">
        <v>26</v>
      </c>
      <c r="J1574">
        <v>4</v>
      </c>
      <c r="K1574">
        <v>375</v>
      </c>
      <c r="L1574">
        <v>1500</v>
      </c>
      <c r="M1574">
        <v>3.8</v>
      </c>
      <c r="N1574">
        <v>57</v>
      </c>
      <c r="P1574">
        <v>0</v>
      </c>
      <c r="Q1574" t="s">
        <v>75</v>
      </c>
      <c r="R1574">
        <v>23</v>
      </c>
      <c r="S1574" t="s">
        <v>28</v>
      </c>
    </row>
    <row r="1575" spans="1:19" x14ac:dyDescent="0.3">
      <c r="A1575" t="s">
        <v>4204</v>
      </c>
      <c r="B1575" s="2">
        <v>45439</v>
      </c>
      <c r="C1575" t="s">
        <v>71</v>
      </c>
      <c r="D1575" t="s">
        <v>44</v>
      </c>
      <c r="E1575" t="s">
        <v>4205</v>
      </c>
      <c r="F1575" t="s">
        <v>713</v>
      </c>
      <c r="G1575" t="s">
        <v>53</v>
      </c>
      <c r="H1575" t="s">
        <v>53</v>
      </c>
      <c r="I1575" t="s">
        <v>26</v>
      </c>
      <c r="J1575">
        <v>4</v>
      </c>
      <c r="K1575">
        <v>581</v>
      </c>
      <c r="L1575">
        <v>2324</v>
      </c>
      <c r="M1575">
        <v>5</v>
      </c>
      <c r="N1575">
        <v>41</v>
      </c>
      <c r="O1575">
        <v>749</v>
      </c>
      <c r="P1575">
        <v>0</v>
      </c>
      <c r="Q1575" t="s">
        <v>49</v>
      </c>
      <c r="R1575">
        <v>32</v>
      </c>
      <c r="S1575" t="s">
        <v>28</v>
      </c>
    </row>
    <row r="1576" spans="1:19" x14ac:dyDescent="0.3">
      <c r="A1576" t="s">
        <v>4206</v>
      </c>
      <c r="B1576" s="2">
        <v>45409</v>
      </c>
      <c r="C1576" t="s">
        <v>20</v>
      </c>
      <c r="D1576" t="s">
        <v>100</v>
      </c>
      <c r="E1576" t="s">
        <v>4207</v>
      </c>
      <c r="F1576" t="s">
        <v>824</v>
      </c>
      <c r="G1576" t="s">
        <v>1875</v>
      </c>
      <c r="H1576" t="s">
        <v>80</v>
      </c>
      <c r="I1576" t="s">
        <v>26</v>
      </c>
      <c r="J1576">
        <v>1</v>
      </c>
      <c r="K1576">
        <v>346</v>
      </c>
      <c r="L1576">
        <v>346</v>
      </c>
      <c r="O1576">
        <v>100</v>
      </c>
      <c r="P1576">
        <v>10</v>
      </c>
      <c r="Q1576" t="s">
        <v>75</v>
      </c>
      <c r="R1576">
        <v>22</v>
      </c>
      <c r="S1576" t="s">
        <v>41</v>
      </c>
    </row>
    <row r="1577" spans="1:19" x14ac:dyDescent="0.3">
      <c r="A1577" t="s">
        <v>4208</v>
      </c>
      <c r="B1577" s="2">
        <v>45377</v>
      </c>
      <c r="C1577" t="s">
        <v>55</v>
      </c>
      <c r="D1577" t="s">
        <v>36</v>
      </c>
      <c r="E1577" t="s">
        <v>4209</v>
      </c>
      <c r="F1577" t="s">
        <v>2197</v>
      </c>
      <c r="G1577" t="s">
        <v>3902</v>
      </c>
      <c r="H1577" t="s">
        <v>80</v>
      </c>
      <c r="I1577" t="s">
        <v>26</v>
      </c>
      <c r="J1577">
        <v>4</v>
      </c>
      <c r="K1577">
        <v>355</v>
      </c>
      <c r="L1577">
        <v>1420</v>
      </c>
      <c r="P1577">
        <v>0</v>
      </c>
      <c r="Q1577" t="s">
        <v>49</v>
      </c>
      <c r="R1577">
        <v>28</v>
      </c>
      <c r="S1577" t="s">
        <v>41</v>
      </c>
    </row>
    <row r="1578" spans="1:19" x14ac:dyDescent="0.3">
      <c r="A1578" t="s">
        <v>4210</v>
      </c>
      <c r="B1578" s="2">
        <v>45511</v>
      </c>
      <c r="C1578" t="s">
        <v>82</v>
      </c>
      <c r="D1578" t="s">
        <v>72</v>
      </c>
      <c r="E1578" t="s">
        <v>4211</v>
      </c>
      <c r="F1578" t="s">
        <v>78</v>
      </c>
      <c r="G1578" t="s">
        <v>4212</v>
      </c>
      <c r="H1578" t="s">
        <v>80</v>
      </c>
      <c r="I1578" t="s">
        <v>26</v>
      </c>
      <c r="J1578">
        <v>4</v>
      </c>
      <c r="K1578">
        <v>480</v>
      </c>
      <c r="L1578">
        <v>1920</v>
      </c>
      <c r="M1578">
        <v>4</v>
      </c>
      <c r="N1578">
        <v>56</v>
      </c>
      <c r="P1578">
        <v>0</v>
      </c>
      <c r="Q1578" t="s">
        <v>27</v>
      </c>
      <c r="R1578">
        <v>42</v>
      </c>
      <c r="S1578" t="s">
        <v>41</v>
      </c>
    </row>
    <row r="1579" spans="1:19" x14ac:dyDescent="0.3">
      <c r="A1579" t="s">
        <v>4213</v>
      </c>
      <c r="B1579" s="2">
        <v>45354</v>
      </c>
      <c r="C1579" t="s">
        <v>55</v>
      </c>
      <c r="D1579" t="s">
        <v>60</v>
      </c>
      <c r="E1579" t="s">
        <v>4214</v>
      </c>
      <c r="F1579" t="s">
        <v>192</v>
      </c>
      <c r="G1579" t="s">
        <v>4215</v>
      </c>
      <c r="H1579" t="s">
        <v>48</v>
      </c>
      <c r="I1579" t="s">
        <v>33</v>
      </c>
      <c r="J1579">
        <v>3</v>
      </c>
      <c r="K1579">
        <v>499</v>
      </c>
      <c r="L1579">
        <v>1497</v>
      </c>
      <c r="P1579">
        <v>0</v>
      </c>
      <c r="Q1579" t="s">
        <v>75</v>
      </c>
      <c r="R1579">
        <v>35</v>
      </c>
      <c r="S1579" t="s">
        <v>28</v>
      </c>
    </row>
    <row r="1580" spans="1:19" x14ac:dyDescent="0.3">
      <c r="A1580" t="s">
        <v>4216</v>
      </c>
      <c r="B1580" s="2">
        <v>45480</v>
      </c>
      <c r="C1580" t="s">
        <v>59</v>
      </c>
      <c r="D1580" t="s">
        <v>60</v>
      </c>
      <c r="E1580" t="s">
        <v>4217</v>
      </c>
      <c r="F1580" t="s">
        <v>192</v>
      </c>
      <c r="G1580" t="s">
        <v>4218</v>
      </c>
      <c r="H1580" t="s">
        <v>53</v>
      </c>
      <c r="I1580" t="s">
        <v>26</v>
      </c>
      <c r="J1580">
        <v>4</v>
      </c>
      <c r="K1580">
        <v>574</v>
      </c>
      <c r="L1580">
        <v>2296</v>
      </c>
      <c r="P1580">
        <v>0</v>
      </c>
      <c r="Q1580" t="s">
        <v>75</v>
      </c>
      <c r="R1580">
        <v>47</v>
      </c>
      <c r="S1580" t="s">
        <v>28</v>
      </c>
    </row>
    <row r="1581" spans="1:19" x14ac:dyDescent="0.3">
      <c r="A1581" t="s">
        <v>4219</v>
      </c>
      <c r="B1581" s="2">
        <v>45395</v>
      </c>
      <c r="C1581" t="s">
        <v>20</v>
      </c>
      <c r="D1581" t="s">
        <v>100</v>
      </c>
      <c r="E1581" t="s">
        <v>4220</v>
      </c>
      <c r="F1581" t="s">
        <v>4221</v>
      </c>
      <c r="G1581" t="s">
        <v>4222</v>
      </c>
      <c r="H1581" t="s">
        <v>40</v>
      </c>
      <c r="I1581" t="s">
        <v>26</v>
      </c>
      <c r="J1581">
        <v>1</v>
      </c>
      <c r="K1581">
        <v>132</v>
      </c>
      <c r="L1581">
        <v>132</v>
      </c>
      <c r="M1581">
        <v>3.5</v>
      </c>
      <c r="N1581">
        <v>43</v>
      </c>
      <c r="P1581">
        <v>0</v>
      </c>
      <c r="Q1581" t="s">
        <v>34</v>
      </c>
      <c r="R1581">
        <v>30</v>
      </c>
      <c r="S1581" t="s">
        <v>28</v>
      </c>
    </row>
    <row r="1582" spans="1:19" x14ac:dyDescent="0.3">
      <c r="A1582" t="s">
        <v>4223</v>
      </c>
      <c r="B1582" s="2">
        <v>45340</v>
      </c>
      <c r="C1582" t="s">
        <v>113</v>
      </c>
      <c r="D1582" t="s">
        <v>60</v>
      </c>
      <c r="E1582" t="s">
        <v>4224</v>
      </c>
      <c r="F1582" t="s">
        <v>824</v>
      </c>
      <c r="G1582" t="s">
        <v>158</v>
      </c>
      <c r="H1582" t="s">
        <v>40</v>
      </c>
      <c r="I1582" t="s">
        <v>26</v>
      </c>
      <c r="J1582">
        <v>1</v>
      </c>
      <c r="K1582">
        <v>329</v>
      </c>
      <c r="L1582">
        <v>329</v>
      </c>
      <c r="M1582">
        <v>4.0999999999999996</v>
      </c>
      <c r="N1582">
        <v>53</v>
      </c>
      <c r="P1582">
        <v>0</v>
      </c>
      <c r="Q1582" t="s">
        <v>27</v>
      </c>
      <c r="R1582">
        <v>28</v>
      </c>
      <c r="S1582" t="s">
        <v>28</v>
      </c>
    </row>
    <row r="1583" spans="1:19" x14ac:dyDescent="0.3">
      <c r="A1583" t="s">
        <v>4225</v>
      </c>
      <c r="B1583" s="2">
        <v>45362</v>
      </c>
      <c r="C1583" t="s">
        <v>55</v>
      </c>
      <c r="D1583" t="s">
        <v>44</v>
      </c>
      <c r="E1583" t="s">
        <v>4226</v>
      </c>
      <c r="F1583" t="s">
        <v>746</v>
      </c>
      <c r="G1583" t="s">
        <v>4227</v>
      </c>
      <c r="H1583" t="s">
        <v>40</v>
      </c>
      <c r="I1583" t="s">
        <v>26</v>
      </c>
      <c r="J1583">
        <v>3</v>
      </c>
      <c r="K1583">
        <v>348</v>
      </c>
      <c r="L1583">
        <v>1044</v>
      </c>
      <c r="P1583">
        <v>0</v>
      </c>
      <c r="Q1583" t="s">
        <v>75</v>
      </c>
      <c r="R1583">
        <v>31</v>
      </c>
      <c r="S1583" t="s">
        <v>41</v>
      </c>
    </row>
    <row r="1584" spans="1:19" x14ac:dyDescent="0.3">
      <c r="A1584" t="s">
        <v>4228</v>
      </c>
      <c r="B1584" s="2">
        <v>45292</v>
      </c>
      <c r="C1584" t="s">
        <v>43</v>
      </c>
      <c r="D1584" t="s">
        <v>44</v>
      </c>
      <c r="E1584" t="s">
        <v>4229</v>
      </c>
      <c r="F1584" t="s">
        <v>62</v>
      </c>
      <c r="G1584" t="s">
        <v>4230</v>
      </c>
      <c r="H1584" t="s">
        <v>48</v>
      </c>
      <c r="I1584" t="s">
        <v>33</v>
      </c>
      <c r="J1584">
        <v>4</v>
      </c>
      <c r="K1584">
        <v>516</v>
      </c>
      <c r="L1584">
        <v>2064</v>
      </c>
      <c r="M1584">
        <v>4.5999999999999996</v>
      </c>
      <c r="N1584">
        <v>48</v>
      </c>
      <c r="P1584">
        <v>0</v>
      </c>
      <c r="Q1584" t="s">
        <v>75</v>
      </c>
      <c r="R1584">
        <v>45</v>
      </c>
      <c r="S1584" t="s">
        <v>41</v>
      </c>
    </row>
    <row r="1585" spans="1:19" x14ac:dyDescent="0.3">
      <c r="A1585" t="s">
        <v>4231</v>
      </c>
      <c r="B1585" s="2">
        <v>45515</v>
      </c>
      <c r="C1585" t="s">
        <v>82</v>
      </c>
      <c r="D1585" t="s">
        <v>60</v>
      </c>
      <c r="E1585" t="s">
        <v>4232</v>
      </c>
      <c r="F1585" t="s">
        <v>192</v>
      </c>
      <c r="G1585" t="s">
        <v>4233</v>
      </c>
      <c r="H1585" t="s">
        <v>40</v>
      </c>
      <c r="I1585" t="s">
        <v>26</v>
      </c>
      <c r="J1585">
        <v>4</v>
      </c>
      <c r="K1585">
        <v>219</v>
      </c>
      <c r="L1585">
        <v>876</v>
      </c>
      <c r="M1585">
        <v>4.5999999999999996</v>
      </c>
      <c r="N1585">
        <v>52</v>
      </c>
      <c r="O1585">
        <v>999</v>
      </c>
      <c r="P1585">
        <v>0</v>
      </c>
      <c r="Q1585" t="s">
        <v>27</v>
      </c>
      <c r="R1585">
        <v>35</v>
      </c>
      <c r="S1585" t="s">
        <v>41</v>
      </c>
    </row>
    <row r="1586" spans="1:19" x14ac:dyDescent="0.3">
      <c r="A1586" t="s">
        <v>4234</v>
      </c>
      <c r="B1586" s="2">
        <v>45432</v>
      </c>
      <c r="C1586" t="s">
        <v>71</v>
      </c>
      <c r="D1586" t="s">
        <v>44</v>
      </c>
      <c r="E1586" t="s">
        <v>4235</v>
      </c>
      <c r="F1586" t="s">
        <v>78</v>
      </c>
      <c r="G1586" t="s">
        <v>4236</v>
      </c>
      <c r="H1586" t="s">
        <v>53</v>
      </c>
      <c r="I1586" t="s">
        <v>26</v>
      </c>
      <c r="J1586">
        <v>1</v>
      </c>
      <c r="K1586">
        <v>150</v>
      </c>
      <c r="L1586">
        <v>150</v>
      </c>
      <c r="P1586">
        <v>0</v>
      </c>
      <c r="Q1586" t="s">
        <v>49</v>
      </c>
      <c r="R1586">
        <v>44</v>
      </c>
      <c r="S1586" t="s">
        <v>41</v>
      </c>
    </row>
    <row r="1587" spans="1:19" x14ac:dyDescent="0.3">
      <c r="A1587" t="s">
        <v>4237</v>
      </c>
      <c r="B1587" s="2">
        <v>45513</v>
      </c>
      <c r="C1587" t="s">
        <v>82</v>
      </c>
      <c r="D1587" t="s">
        <v>21</v>
      </c>
      <c r="E1587" t="s">
        <v>4238</v>
      </c>
      <c r="F1587" t="s">
        <v>956</v>
      </c>
      <c r="G1587" t="s">
        <v>4239</v>
      </c>
      <c r="H1587" t="s">
        <v>80</v>
      </c>
      <c r="I1587" t="s">
        <v>26</v>
      </c>
      <c r="J1587">
        <v>4</v>
      </c>
      <c r="K1587">
        <v>505</v>
      </c>
      <c r="L1587">
        <v>2020</v>
      </c>
      <c r="M1587">
        <v>4.2</v>
      </c>
      <c r="N1587">
        <v>64</v>
      </c>
      <c r="P1587">
        <v>0</v>
      </c>
      <c r="Q1587" t="s">
        <v>75</v>
      </c>
      <c r="R1587">
        <v>45</v>
      </c>
      <c r="S1587" t="s">
        <v>28</v>
      </c>
    </row>
    <row r="1588" spans="1:19" x14ac:dyDescent="0.3">
      <c r="A1588" t="s">
        <v>4240</v>
      </c>
      <c r="B1588" s="2">
        <v>45506</v>
      </c>
      <c r="C1588" t="s">
        <v>82</v>
      </c>
      <c r="D1588" t="s">
        <v>21</v>
      </c>
      <c r="E1588" t="s">
        <v>4241</v>
      </c>
      <c r="F1588" t="s">
        <v>46</v>
      </c>
      <c r="G1588" t="s">
        <v>154</v>
      </c>
      <c r="H1588" t="s">
        <v>80</v>
      </c>
      <c r="I1588" t="s">
        <v>26</v>
      </c>
      <c r="J1588">
        <v>4</v>
      </c>
      <c r="K1588">
        <v>135</v>
      </c>
      <c r="L1588">
        <v>540</v>
      </c>
      <c r="P1588">
        <v>0</v>
      </c>
      <c r="Q1588" t="s">
        <v>34</v>
      </c>
      <c r="R1588">
        <v>48</v>
      </c>
      <c r="S1588" t="s">
        <v>41</v>
      </c>
    </row>
    <row r="1589" spans="1:19" x14ac:dyDescent="0.3">
      <c r="A1589" t="s">
        <v>4242</v>
      </c>
      <c r="B1589" s="2">
        <v>45470</v>
      </c>
      <c r="C1589" t="s">
        <v>30</v>
      </c>
      <c r="D1589" t="s">
        <v>92</v>
      </c>
      <c r="E1589" t="s">
        <v>4243</v>
      </c>
      <c r="F1589" t="s">
        <v>192</v>
      </c>
      <c r="G1589" t="s">
        <v>154</v>
      </c>
      <c r="H1589" t="s">
        <v>80</v>
      </c>
      <c r="I1589" t="s">
        <v>26</v>
      </c>
      <c r="J1589">
        <v>4</v>
      </c>
      <c r="K1589">
        <v>256</v>
      </c>
      <c r="L1589">
        <v>1024</v>
      </c>
      <c r="O1589">
        <v>150</v>
      </c>
      <c r="P1589">
        <v>30</v>
      </c>
      <c r="Q1589" t="s">
        <v>75</v>
      </c>
      <c r="R1589">
        <v>42</v>
      </c>
      <c r="S1589" t="s">
        <v>41</v>
      </c>
    </row>
    <row r="1590" spans="1:19" x14ac:dyDescent="0.3">
      <c r="A1590" t="s">
        <v>4244</v>
      </c>
      <c r="B1590" s="2">
        <v>45414</v>
      </c>
      <c r="C1590" t="s">
        <v>71</v>
      </c>
      <c r="D1590" t="s">
        <v>92</v>
      </c>
      <c r="E1590" t="s">
        <v>4245</v>
      </c>
      <c r="F1590" t="s">
        <v>115</v>
      </c>
      <c r="G1590" t="s">
        <v>373</v>
      </c>
      <c r="H1590" t="s">
        <v>80</v>
      </c>
      <c r="I1590" t="s">
        <v>26</v>
      </c>
      <c r="J1590">
        <v>2</v>
      </c>
      <c r="K1590">
        <v>448</v>
      </c>
      <c r="L1590">
        <v>896</v>
      </c>
      <c r="P1590">
        <v>0</v>
      </c>
      <c r="Q1590" t="s">
        <v>34</v>
      </c>
      <c r="R1590">
        <v>45</v>
      </c>
      <c r="S1590" t="s">
        <v>28</v>
      </c>
    </row>
    <row r="1591" spans="1:19" x14ac:dyDescent="0.3">
      <c r="A1591" t="s">
        <v>4246</v>
      </c>
      <c r="B1591" s="2">
        <v>45475</v>
      </c>
      <c r="C1591" t="s">
        <v>59</v>
      </c>
      <c r="D1591" t="s">
        <v>36</v>
      </c>
      <c r="E1591" t="s">
        <v>4247</v>
      </c>
      <c r="F1591" t="s">
        <v>115</v>
      </c>
      <c r="G1591" t="s">
        <v>1286</v>
      </c>
      <c r="H1591" t="s">
        <v>80</v>
      </c>
      <c r="I1591" t="s">
        <v>26</v>
      </c>
      <c r="J1591">
        <v>3</v>
      </c>
      <c r="K1591">
        <v>285</v>
      </c>
      <c r="L1591">
        <v>855</v>
      </c>
      <c r="M1591">
        <v>5</v>
      </c>
      <c r="N1591">
        <v>42</v>
      </c>
      <c r="P1591">
        <v>0</v>
      </c>
      <c r="Q1591" t="s">
        <v>34</v>
      </c>
      <c r="R1591">
        <v>36</v>
      </c>
      <c r="S1591" t="s">
        <v>28</v>
      </c>
    </row>
    <row r="1592" spans="1:19" x14ac:dyDescent="0.3">
      <c r="A1592" t="s">
        <v>4248</v>
      </c>
      <c r="B1592" s="2">
        <v>45502</v>
      </c>
      <c r="C1592" t="s">
        <v>59</v>
      </c>
      <c r="D1592" t="s">
        <v>44</v>
      </c>
      <c r="E1592" t="s">
        <v>4249</v>
      </c>
      <c r="F1592" t="s">
        <v>46</v>
      </c>
      <c r="G1592" t="s">
        <v>4250</v>
      </c>
      <c r="H1592" t="s">
        <v>80</v>
      </c>
      <c r="I1592" t="s">
        <v>26</v>
      </c>
      <c r="J1592">
        <v>2</v>
      </c>
      <c r="K1592">
        <v>578</v>
      </c>
      <c r="L1592">
        <v>1156</v>
      </c>
      <c r="P1592">
        <v>0</v>
      </c>
      <c r="Q1592" t="s">
        <v>75</v>
      </c>
      <c r="R1592">
        <v>41</v>
      </c>
      <c r="S1592" t="s">
        <v>41</v>
      </c>
    </row>
    <row r="1593" spans="1:19" x14ac:dyDescent="0.3">
      <c r="A1593" t="s">
        <v>4251</v>
      </c>
      <c r="B1593" s="2">
        <v>45353</v>
      </c>
      <c r="C1593" t="s">
        <v>55</v>
      </c>
      <c r="D1593" t="s">
        <v>100</v>
      </c>
      <c r="E1593" t="s">
        <v>4252</v>
      </c>
      <c r="F1593" t="s">
        <v>713</v>
      </c>
      <c r="G1593" t="s">
        <v>4253</v>
      </c>
      <c r="H1593" t="s">
        <v>53</v>
      </c>
      <c r="I1593" t="s">
        <v>26</v>
      </c>
      <c r="J1593">
        <v>3</v>
      </c>
      <c r="K1593">
        <v>429</v>
      </c>
      <c r="L1593">
        <v>1287</v>
      </c>
      <c r="M1593">
        <v>3.7</v>
      </c>
      <c r="N1593">
        <v>41</v>
      </c>
      <c r="P1593">
        <v>0</v>
      </c>
      <c r="Q1593" t="s">
        <v>75</v>
      </c>
      <c r="R1593">
        <v>44</v>
      </c>
      <c r="S1593" t="s">
        <v>28</v>
      </c>
    </row>
    <row r="1594" spans="1:19" x14ac:dyDescent="0.3">
      <c r="A1594" t="s">
        <v>4254</v>
      </c>
      <c r="B1594" s="2">
        <v>45323</v>
      </c>
      <c r="C1594" t="s">
        <v>113</v>
      </c>
      <c r="D1594" t="s">
        <v>92</v>
      </c>
      <c r="E1594" t="s">
        <v>4255</v>
      </c>
      <c r="F1594" t="s">
        <v>78</v>
      </c>
      <c r="G1594" t="s">
        <v>227</v>
      </c>
      <c r="H1594" t="s">
        <v>80</v>
      </c>
      <c r="I1594" t="s">
        <v>26</v>
      </c>
      <c r="J1594">
        <v>1</v>
      </c>
      <c r="K1594">
        <v>559</v>
      </c>
      <c r="L1594">
        <v>559</v>
      </c>
      <c r="M1594">
        <v>4.7</v>
      </c>
      <c r="N1594">
        <v>41</v>
      </c>
      <c r="P1594">
        <v>0</v>
      </c>
      <c r="Q1594" t="s">
        <v>34</v>
      </c>
      <c r="R1594">
        <v>49</v>
      </c>
      <c r="S1594" t="s">
        <v>41</v>
      </c>
    </row>
    <row r="1595" spans="1:19" x14ac:dyDescent="0.3">
      <c r="A1595" t="s">
        <v>4256</v>
      </c>
      <c r="B1595" s="2">
        <v>45449</v>
      </c>
      <c r="C1595" t="s">
        <v>30</v>
      </c>
      <c r="D1595" t="s">
        <v>92</v>
      </c>
      <c r="E1595" t="s">
        <v>4257</v>
      </c>
      <c r="F1595" t="s">
        <v>115</v>
      </c>
      <c r="G1595" t="s">
        <v>4258</v>
      </c>
      <c r="H1595" t="s">
        <v>53</v>
      </c>
      <c r="I1595" t="s">
        <v>26</v>
      </c>
      <c r="J1595">
        <v>4</v>
      </c>
      <c r="K1595">
        <v>589</v>
      </c>
      <c r="L1595">
        <v>2356</v>
      </c>
      <c r="P1595">
        <v>0</v>
      </c>
      <c r="Q1595" t="s">
        <v>27</v>
      </c>
      <c r="R1595">
        <v>32</v>
      </c>
      <c r="S1595" t="s">
        <v>28</v>
      </c>
    </row>
    <row r="1596" spans="1:19" x14ac:dyDescent="0.3">
      <c r="A1596" t="s">
        <v>4259</v>
      </c>
      <c r="B1596" s="2">
        <v>45320</v>
      </c>
      <c r="C1596" t="s">
        <v>43</v>
      </c>
      <c r="D1596" t="s">
        <v>44</v>
      </c>
      <c r="E1596" t="s">
        <v>4260</v>
      </c>
      <c r="F1596" t="s">
        <v>450</v>
      </c>
      <c r="G1596" t="s">
        <v>4261</v>
      </c>
      <c r="H1596" t="s">
        <v>48</v>
      </c>
      <c r="I1596" t="s">
        <v>33</v>
      </c>
      <c r="J1596">
        <v>3</v>
      </c>
      <c r="K1596">
        <v>219</v>
      </c>
      <c r="L1596">
        <v>657</v>
      </c>
      <c r="P1596">
        <v>0</v>
      </c>
      <c r="Q1596" t="s">
        <v>27</v>
      </c>
      <c r="R1596">
        <v>26</v>
      </c>
      <c r="S1596" t="s">
        <v>28</v>
      </c>
    </row>
    <row r="1597" spans="1:19" x14ac:dyDescent="0.3">
      <c r="A1597" t="s">
        <v>4262</v>
      </c>
      <c r="B1597" s="2">
        <v>45340</v>
      </c>
      <c r="C1597" t="s">
        <v>113</v>
      </c>
      <c r="D1597" t="s">
        <v>60</v>
      </c>
      <c r="E1597" t="s">
        <v>4263</v>
      </c>
      <c r="F1597" t="s">
        <v>713</v>
      </c>
      <c r="G1597" t="s">
        <v>227</v>
      </c>
      <c r="H1597" t="s">
        <v>80</v>
      </c>
      <c r="I1597" t="s">
        <v>26</v>
      </c>
      <c r="J1597">
        <v>2</v>
      </c>
      <c r="K1597">
        <v>228</v>
      </c>
      <c r="L1597">
        <v>456</v>
      </c>
      <c r="P1597">
        <v>0</v>
      </c>
      <c r="Q1597" t="s">
        <v>75</v>
      </c>
      <c r="R1597">
        <v>25</v>
      </c>
      <c r="S1597" t="s">
        <v>41</v>
      </c>
    </row>
    <row r="1598" spans="1:19" x14ac:dyDescent="0.3">
      <c r="A1598" t="s">
        <v>4264</v>
      </c>
      <c r="B1598" s="2">
        <v>45464</v>
      </c>
      <c r="C1598" t="s">
        <v>30</v>
      </c>
      <c r="D1598" t="s">
        <v>21</v>
      </c>
      <c r="E1598" t="s">
        <v>4265</v>
      </c>
      <c r="F1598" t="s">
        <v>192</v>
      </c>
      <c r="G1598" t="s">
        <v>4266</v>
      </c>
      <c r="H1598" t="s">
        <v>64</v>
      </c>
      <c r="I1598" t="s">
        <v>26</v>
      </c>
      <c r="J1598">
        <v>4</v>
      </c>
      <c r="K1598">
        <v>462</v>
      </c>
      <c r="L1598">
        <v>1848</v>
      </c>
      <c r="P1598">
        <v>0</v>
      </c>
      <c r="Q1598" t="s">
        <v>49</v>
      </c>
      <c r="R1598">
        <v>49</v>
      </c>
      <c r="S1598" t="s">
        <v>28</v>
      </c>
    </row>
    <row r="1599" spans="1:19" x14ac:dyDescent="0.3">
      <c r="A1599" t="s">
        <v>4267</v>
      </c>
      <c r="B1599" s="2">
        <v>45512</v>
      </c>
      <c r="C1599" t="s">
        <v>82</v>
      </c>
      <c r="D1599" t="s">
        <v>92</v>
      </c>
      <c r="E1599" t="s">
        <v>4268</v>
      </c>
      <c r="F1599" t="s">
        <v>713</v>
      </c>
      <c r="G1599" t="s">
        <v>4269</v>
      </c>
      <c r="H1599" t="s">
        <v>40</v>
      </c>
      <c r="I1599" t="s">
        <v>26</v>
      </c>
      <c r="J1599">
        <v>1</v>
      </c>
      <c r="K1599">
        <v>292</v>
      </c>
      <c r="L1599">
        <v>292</v>
      </c>
      <c r="M1599">
        <v>3.7</v>
      </c>
      <c r="N1599">
        <v>48</v>
      </c>
      <c r="O1599">
        <v>599</v>
      </c>
      <c r="P1599">
        <v>0</v>
      </c>
      <c r="Q1599" t="s">
        <v>27</v>
      </c>
      <c r="R1599">
        <v>37</v>
      </c>
      <c r="S1599" t="s">
        <v>41</v>
      </c>
    </row>
    <row r="1600" spans="1:19" x14ac:dyDescent="0.3">
      <c r="A1600" t="s">
        <v>4270</v>
      </c>
      <c r="B1600" s="2">
        <v>45321</v>
      </c>
      <c r="C1600" t="s">
        <v>43</v>
      </c>
      <c r="D1600" t="s">
        <v>36</v>
      </c>
      <c r="E1600" t="s">
        <v>4271</v>
      </c>
      <c r="F1600" t="s">
        <v>115</v>
      </c>
      <c r="G1600" t="s">
        <v>4272</v>
      </c>
      <c r="H1600" t="s">
        <v>53</v>
      </c>
      <c r="I1600" t="s">
        <v>26</v>
      </c>
      <c r="J1600">
        <v>3</v>
      </c>
      <c r="K1600">
        <v>356</v>
      </c>
      <c r="L1600">
        <v>1068</v>
      </c>
      <c r="O1600">
        <v>700</v>
      </c>
      <c r="P1600">
        <v>20</v>
      </c>
      <c r="Q1600" t="s">
        <v>75</v>
      </c>
      <c r="R1600">
        <v>45</v>
      </c>
      <c r="S1600" t="s">
        <v>28</v>
      </c>
    </row>
    <row r="1601" spans="1:19" x14ac:dyDescent="0.3">
      <c r="A1601" t="s">
        <v>4273</v>
      </c>
      <c r="B1601" s="2">
        <v>45435</v>
      </c>
      <c r="C1601" t="s">
        <v>71</v>
      </c>
      <c r="D1601" t="s">
        <v>92</v>
      </c>
      <c r="E1601" t="s">
        <v>4274</v>
      </c>
      <c r="F1601" t="s">
        <v>192</v>
      </c>
      <c r="G1601" t="s">
        <v>4275</v>
      </c>
      <c r="H1601" t="s">
        <v>53</v>
      </c>
      <c r="I1601" t="s">
        <v>26</v>
      </c>
      <c r="J1601">
        <v>3</v>
      </c>
      <c r="K1601">
        <v>281</v>
      </c>
      <c r="L1601">
        <v>843</v>
      </c>
      <c r="M1601">
        <v>5</v>
      </c>
      <c r="N1601">
        <v>51</v>
      </c>
      <c r="O1601">
        <v>1000</v>
      </c>
      <c r="P1601">
        <v>15</v>
      </c>
      <c r="Q1601" t="s">
        <v>27</v>
      </c>
      <c r="R1601">
        <v>18</v>
      </c>
      <c r="S1601" t="s">
        <v>28</v>
      </c>
    </row>
    <row r="1602" spans="1:19" x14ac:dyDescent="0.3">
      <c r="A1602" t="s">
        <v>4276</v>
      </c>
      <c r="B1602" s="2">
        <v>45459</v>
      </c>
      <c r="C1602" t="s">
        <v>30</v>
      </c>
      <c r="D1602" t="s">
        <v>60</v>
      </c>
      <c r="E1602" t="s">
        <v>4277</v>
      </c>
      <c r="F1602" t="s">
        <v>23</v>
      </c>
      <c r="G1602" t="s">
        <v>53</v>
      </c>
      <c r="H1602" t="s">
        <v>53</v>
      </c>
      <c r="I1602" t="s">
        <v>26</v>
      </c>
      <c r="J1602">
        <v>3</v>
      </c>
      <c r="K1602">
        <v>512</v>
      </c>
      <c r="L1602">
        <v>1536</v>
      </c>
      <c r="P1602">
        <v>0</v>
      </c>
      <c r="Q1602" t="s">
        <v>49</v>
      </c>
      <c r="R1602">
        <v>21</v>
      </c>
      <c r="S1602" t="s">
        <v>28</v>
      </c>
    </row>
    <row r="1603" spans="1:19" x14ac:dyDescent="0.3">
      <c r="A1603" t="s">
        <v>4278</v>
      </c>
      <c r="B1603" s="2">
        <v>45310</v>
      </c>
      <c r="C1603" t="s">
        <v>43</v>
      </c>
      <c r="D1603" t="s">
        <v>21</v>
      </c>
      <c r="E1603" t="s">
        <v>4279</v>
      </c>
      <c r="F1603" t="s">
        <v>46</v>
      </c>
      <c r="G1603" t="s">
        <v>4280</v>
      </c>
      <c r="H1603" t="s">
        <v>48</v>
      </c>
      <c r="I1603" t="s">
        <v>33</v>
      </c>
      <c r="J1603">
        <v>4</v>
      </c>
      <c r="K1603">
        <v>335</v>
      </c>
      <c r="L1603">
        <v>1340</v>
      </c>
      <c r="P1603">
        <v>0</v>
      </c>
      <c r="Q1603" t="s">
        <v>75</v>
      </c>
      <c r="R1603">
        <v>31</v>
      </c>
      <c r="S1603" t="s">
        <v>28</v>
      </c>
    </row>
    <row r="1604" spans="1:19" x14ac:dyDescent="0.3">
      <c r="A1604" t="s">
        <v>4281</v>
      </c>
      <c r="B1604" s="2">
        <v>45309</v>
      </c>
      <c r="C1604" t="s">
        <v>43</v>
      </c>
      <c r="D1604" t="s">
        <v>92</v>
      </c>
      <c r="E1604" t="s">
        <v>4282</v>
      </c>
      <c r="F1604" t="s">
        <v>115</v>
      </c>
      <c r="G1604" t="s">
        <v>4283</v>
      </c>
      <c r="H1604" t="s">
        <v>80</v>
      </c>
      <c r="I1604" t="s">
        <v>26</v>
      </c>
      <c r="J1604">
        <v>2</v>
      </c>
      <c r="K1604">
        <v>383</v>
      </c>
      <c r="L1604">
        <v>766</v>
      </c>
      <c r="P1604">
        <v>0</v>
      </c>
      <c r="Q1604" t="s">
        <v>49</v>
      </c>
      <c r="R1604">
        <v>42</v>
      </c>
      <c r="S1604" t="s">
        <v>28</v>
      </c>
    </row>
    <row r="1605" spans="1:19" x14ac:dyDescent="0.3">
      <c r="A1605" t="s">
        <v>4284</v>
      </c>
      <c r="B1605" s="2">
        <v>45292</v>
      </c>
      <c r="C1605" t="s">
        <v>43</v>
      </c>
      <c r="D1605" t="s">
        <v>44</v>
      </c>
      <c r="E1605" t="s">
        <v>4285</v>
      </c>
      <c r="F1605" t="s">
        <v>115</v>
      </c>
      <c r="G1605" t="s">
        <v>4286</v>
      </c>
      <c r="H1605" t="s">
        <v>53</v>
      </c>
      <c r="I1605" t="s">
        <v>26</v>
      </c>
      <c r="J1605">
        <v>2</v>
      </c>
      <c r="K1605">
        <v>382</v>
      </c>
      <c r="L1605">
        <v>764</v>
      </c>
      <c r="M1605">
        <v>4.3</v>
      </c>
      <c r="N1605">
        <v>44</v>
      </c>
      <c r="O1605">
        <v>120</v>
      </c>
      <c r="P1605">
        <v>20</v>
      </c>
      <c r="Q1605" t="s">
        <v>75</v>
      </c>
      <c r="R1605">
        <v>19</v>
      </c>
      <c r="S1605" t="s">
        <v>41</v>
      </c>
    </row>
    <row r="1606" spans="1:19" x14ac:dyDescent="0.3">
      <c r="A1606" t="s">
        <v>4287</v>
      </c>
      <c r="B1606" s="2">
        <v>45369</v>
      </c>
      <c r="C1606" t="s">
        <v>55</v>
      </c>
      <c r="D1606" t="s">
        <v>44</v>
      </c>
      <c r="E1606" t="s">
        <v>4288</v>
      </c>
      <c r="F1606" t="s">
        <v>78</v>
      </c>
      <c r="G1606" t="s">
        <v>2850</v>
      </c>
      <c r="H1606" t="s">
        <v>64</v>
      </c>
      <c r="I1606" t="s">
        <v>26</v>
      </c>
      <c r="J1606">
        <v>3</v>
      </c>
      <c r="K1606">
        <v>411</v>
      </c>
      <c r="L1606">
        <v>1233</v>
      </c>
      <c r="M1606">
        <v>3.7</v>
      </c>
      <c r="N1606">
        <v>54</v>
      </c>
      <c r="P1606">
        <v>0</v>
      </c>
      <c r="Q1606" t="s">
        <v>49</v>
      </c>
      <c r="R1606">
        <v>33</v>
      </c>
      <c r="S1606" t="s">
        <v>28</v>
      </c>
    </row>
    <row r="1607" spans="1:19" x14ac:dyDescent="0.3">
      <c r="A1607" t="s">
        <v>4289</v>
      </c>
      <c r="B1607" s="2">
        <v>45406</v>
      </c>
      <c r="C1607" t="s">
        <v>20</v>
      </c>
      <c r="D1607" t="s">
        <v>72</v>
      </c>
      <c r="E1607" t="s">
        <v>4290</v>
      </c>
      <c r="F1607" t="s">
        <v>192</v>
      </c>
      <c r="G1607" t="s">
        <v>4291</v>
      </c>
      <c r="H1607" t="s">
        <v>80</v>
      </c>
      <c r="I1607" t="s">
        <v>26</v>
      </c>
      <c r="J1607">
        <v>1</v>
      </c>
      <c r="K1607">
        <v>393</v>
      </c>
      <c r="L1607">
        <v>393</v>
      </c>
      <c r="P1607">
        <v>0</v>
      </c>
      <c r="Q1607" t="s">
        <v>27</v>
      </c>
      <c r="R1607">
        <v>20</v>
      </c>
      <c r="S1607" t="s">
        <v>41</v>
      </c>
    </row>
    <row r="1608" spans="1:19" x14ac:dyDescent="0.3">
      <c r="A1608" t="s">
        <v>4292</v>
      </c>
      <c r="B1608" s="2">
        <v>45466</v>
      </c>
      <c r="C1608" t="s">
        <v>30</v>
      </c>
      <c r="D1608" t="s">
        <v>60</v>
      </c>
      <c r="E1608" t="s">
        <v>4293</v>
      </c>
      <c r="F1608" t="s">
        <v>4294</v>
      </c>
      <c r="G1608" t="s">
        <v>4295</v>
      </c>
      <c r="H1608" t="s">
        <v>48</v>
      </c>
      <c r="I1608" t="s">
        <v>33</v>
      </c>
      <c r="J1608">
        <v>1</v>
      </c>
      <c r="K1608">
        <v>122</v>
      </c>
      <c r="L1608">
        <v>122</v>
      </c>
      <c r="M1608">
        <v>5</v>
      </c>
      <c r="N1608">
        <v>48</v>
      </c>
      <c r="P1608">
        <v>0</v>
      </c>
      <c r="Q1608" t="s">
        <v>27</v>
      </c>
      <c r="R1608">
        <v>43</v>
      </c>
      <c r="S1608" t="s">
        <v>28</v>
      </c>
    </row>
    <row r="1609" spans="1:19" x14ac:dyDescent="0.3">
      <c r="A1609" t="s">
        <v>4296</v>
      </c>
      <c r="B1609" s="2">
        <v>45485</v>
      </c>
      <c r="C1609" t="s">
        <v>59</v>
      </c>
      <c r="D1609" t="s">
        <v>21</v>
      </c>
      <c r="E1609" t="s">
        <v>4297</v>
      </c>
      <c r="F1609" t="s">
        <v>4298</v>
      </c>
      <c r="G1609" t="s">
        <v>186</v>
      </c>
      <c r="H1609" t="s">
        <v>80</v>
      </c>
      <c r="I1609" t="s">
        <v>26</v>
      </c>
      <c r="J1609">
        <v>2</v>
      </c>
      <c r="K1609">
        <v>147</v>
      </c>
      <c r="L1609">
        <v>294</v>
      </c>
      <c r="P1609">
        <v>0</v>
      </c>
      <c r="Q1609" t="s">
        <v>49</v>
      </c>
      <c r="R1609">
        <v>25</v>
      </c>
      <c r="S1609" t="s">
        <v>41</v>
      </c>
    </row>
    <row r="1610" spans="1:19" x14ac:dyDescent="0.3">
      <c r="A1610" t="s">
        <v>4299</v>
      </c>
      <c r="B1610" s="2">
        <v>45511</v>
      </c>
      <c r="C1610" t="s">
        <v>82</v>
      </c>
      <c r="D1610" t="s">
        <v>72</v>
      </c>
      <c r="E1610" t="s">
        <v>4300</v>
      </c>
      <c r="F1610" t="s">
        <v>115</v>
      </c>
      <c r="G1610" t="s">
        <v>4301</v>
      </c>
      <c r="H1610" t="s">
        <v>53</v>
      </c>
      <c r="I1610" t="s">
        <v>26</v>
      </c>
      <c r="J1610">
        <v>1</v>
      </c>
      <c r="K1610">
        <v>445</v>
      </c>
      <c r="L1610">
        <v>445</v>
      </c>
      <c r="M1610">
        <v>4.0999999999999996</v>
      </c>
      <c r="N1610">
        <v>45</v>
      </c>
      <c r="P1610">
        <v>0</v>
      </c>
      <c r="Q1610" t="s">
        <v>49</v>
      </c>
      <c r="R1610">
        <v>23</v>
      </c>
      <c r="S1610" t="s">
        <v>28</v>
      </c>
    </row>
    <row r="1611" spans="1:19" x14ac:dyDescent="0.3">
      <c r="A1611" t="s">
        <v>4302</v>
      </c>
      <c r="B1611" s="2">
        <v>45404</v>
      </c>
      <c r="C1611" t="s">
        <v>20</v>
      </c>
      <c r="D1611" t="s">
        <v>44</v>
      </c>
      <c r="E1611" t="s">
        <v>4303</v>
      </c>
      <c r="F1611" t="s">
        <v>87</v>
      </c>
      <c r="G1611" t="s">
        <v>1397</v>
      </c>
      <c r="H1611" t="s">
        <v>64</v>
      </c>
      <c r="I1611" t="s">
        <v>26</v>
      </c>
      <c r="J1611">
        <v>2</v>
      </c>
      <c r="K1611">
        <v>547</v>
      </c>
      <c r="L1611">
        <v>1094</v>
      </c>
      <c r="M1611">
        <v>3.7</v>
      </c>
      <c r="N1611">
        <v>42</v>
      </c>
      <c r="P1611">
        <v>0</v>
      </c>
      <c r="Q1611" t="s">
        <v>49</v>
      </c>
      <c r="R1611">
        <v>33</v>
      </c>
      <c r="S1611" t="s">
        <v>41</v>
      </c>
    </row>
    <row r="1612" spans="1:19" x14ac:dyDescent="0.3">
      <c r="A1612" t="s">
        <v>4304</v>
      </c>
      <c r="B1612" s="2">
        <v>45405</v>
      </c>
      <c r="C1612" t="s">
        <v>20</v>
      </c>
      <c r="D1612" t="s">
        <v>36</v>
      </c>
      <c r="E1612" t="s">
        <v>4305</v>
      </c>
      <c r="F1612" t="s">
        <v>824</v>
      </c>
      <c r="G1612" t="s">
        <v>4306</v>
      </c>
      <c r="H1612" t="s">
        <v>64</v>
      </c>
      <c r="I1612" t="s">
        <v>26</v>
      </c>
      <c r="J1612">
        <v>3</v>
      </c>
      <c r="K1612">
        <v>268</v>
      </c>
      <c r="L1612">
        <v>804</v>
      </c>
      <c r="M1612">
        <v>3.4</v>
      </c>
      <c r="N1612">
        <v>49</v>
      </c>
      <c r="P1612">
        <v>0</v>
      </c>
      <c r="Q1612" t="s">
        <v>75</v>
      </c>
      <c r="R1612">
        <v>41</v>
      </c>
      <c r="S1612" t="s">
        <v>41</v>
      </c>
    </row>
    <row r="1613" spans="1:19" x14ac:dyDescent="0.3">
      <c r="A1613" t="s">
        <v>4307</v>
      </c>
      <c r="B1613" s="2">
        <v>45513</v>
      </c>
      <c r="C1613" t="s">
        <v>82</v>
      </c>
      <c r="D1613" t="s">
        <v>21</v>
      </c>
      <c r="E1613" t="s">
        <v>4308</v>
      </c>
      <c r="F1613" t="s">
        <v>78</v>
      </c>
      <c r="G1613" t="s">
        <v>3280</v>
      </c>
      <c r="H1613" t="s">
        <v>80</v>
      </c>
      <c r="I1613" t="s">
        <v>26</v>
      </c>
      <c r="J1613">
        <v>2</v>
      </c>
      <c r="K1613">
        <v>147</v>
      </c>
      <c r="L1613">
        <v>294</v>
      </c>
      <c r="M1613">
        <v>3</v>
      </c>
      <c r="N1613">
        <v>47</v>
      </c>
      <c r="P1613">
        <v>0</v>
      </c>
      <c r="Q1613" t="s">
        <v>27</v>
      </c>
      <c r="R1613">
        <v>33</v>
      </c>
      <c r="S1613" t="s">
        <v>28</v>
      </c>
    </row>
    <row r="1614" spans="1:19" x14ac:dyDescent="0.3">
      <c r="A1614" t="s">
        <v>4309</v>
      </c>
      <c r="B1614" s="2">
        <v>45457</v>
      </c>
      <c r="C1614" t="s">
        <v>30</v>
      </c>
      <c r="D1614" t="s">
        <v>21</v>
      </c>
      <c r="E1614" t="s">
        <v>4310</v>
      </c>
      <c r="F1614" t="s">
        <v>46</v>
      </c>
      <c r="G1614" t="s">
        <v>4311</v>
      </c>
      <c r="H1614" t="s">
        <v>80</v>
      </c>
      <c r="I1614" t="s">
        <v>26</v>
      </c>
      <c r="J1614">
        <v>2</v>
      </c>
      <c r="K1614">
        <v>429</v>
      </c>
      <c r="L1614">
        <v>858</v>
      </c>
      <c r="P1614">
        <v>0</v>
      </c>
      <c r="Q1614" t="s">
        <v>75</v>
      </c>
      <c r="R1614">
        <v>24</v>
      </c>
      <c r="S1614" t="s">
        <v>28</v>
      </c>
    </row>
    <row r="1615" spans="1:19" x14ac:dyDescent="0.3">
      <c r="A1615" t="s">
        <v>4312</v>
      </c>
      <c r="B1615" s="2">
        <v>45470</v>
      </c>
      <c r="C1615" t="s">
        <v>30</v>
      </c>
      <c r="D1615" t="s">
        <v>92</v>
      </c>
      <c r="E1615" t="s">
        <v>4313</v>
      </c>
      <c r="F1615" t="s">
        <v>2197</v>
      </c>
      <c r="G1615" t="s">
        <v>4314</v>
      </c>
      <c r="H1615" t="s">
        <v>53</v>
      </c>
      <c r="I1615" t="s">
        <v>26</v>
      </c>
      <c r="J1615">
        <v>3</v>
      </c>
      <c r="K1615">
        <v>557</v>
      </c>
      <c r="L1615">
        <v>1671</v>
      </c>
      <c r="M1615">
        <v>4.4000000000000004</v>
      </c>
      <c r="N1615">
        <v>57</v>
      </c>
      <c r="P1615">
        <v>0</v>
      </c>
      <c r="Q1615" t="s">
        <v>27</v>
      </c>
      <c r="R1615">
        <v>47</v>
      </c>
      <c r="S1615" t="s">
        <v>28</v>
      </c>
    </row>
    <row r="1616" spans="1:19" x14ac:dyDescent="0.3">
      <c r="A1616" t="s">
        <v>4315</v>
      </c>
      <c r="B1616" s="2">
        <v>45354</v>
      </c>
      <c r="C1616" t="s">
        <v>55</v>
      </c>
      <c r="D1616" t="s">
        <v>60</v>
      </c>
      <c r="E1616" t="s">
        <v>4316</v>
      </c>
      <c r="F1616" t="s">
        <v>46</v>
      </c>
      <c r="G1616" t="s">
        <v>158</v>
      </c>
      <c r="H1616" t="s">
        <v>40</v>
      </c>
      <c r="I1616" t="s">
        <v>26</v>
      </c>
      <c r="J1616">
        <v>1</v>
      </c>
      <c r="K1616">
        <v>184</v>
      </c>
      <c r="L1616">
        <v>184</v>
      </c>
      <c r="M1616">
        <v>3.6</v>
      </c>
      <c r="N1616">
        <v>44</v>
      </c>
      <c r="P1616">
        <v>0</v>
      </c>
      <c r="Q1616" t="s">
        <v>34</v>
      </c>
      <c r="R1616">
        <v>30</v>
      </c>
      <c r="S1616" t="s">
        <v>41</v>
      </c>
    </row>
    <row r="1617" spans="1:19" x14ac:dyDescent="0.3">
      <c r="A1617" t="s">
        <v>4317</v>
      </c>
      <c r="B1617" s="2">
        <v>45423</v>
      </c>
      <c r="C1617" t="s">
        <v>71</v>
      </c>
      <c r="D1617" t="s">
        <v>100</v>
      </c>
      <c r="E1617" t="s">
        <v>4318</v>
      </c>
      <c r="F1617" t="s">
        <v>192</v>
      </c>
      <c r="G1617" t="s">
        <v>4319</v>
      </c>
      <c r="H1617" t="s">
        <v>80</v>
      </c>
      <c r="I1617" t="s">
        <v>26</v>
      </c>
      <c r="J1617">
        <v>2</v>
      </c>
      <c r="K1617">
        <v>475</v>
      </c>
      <c r="L1617">
        <v>950</v>
      </c>
      <c r="P1617">
        <v>0</v>
      </c>
      <c r="Q1617" t="s">
        <v>75</v>
      </c>
      <c r="R1617">
        <v>30</v>
      </c>
      <c r="S1617" t="s">
        <v>41</v>
      </c>
    </row>
    <row r="1618" spans="1:19" x14ac:dyDescent="0.3">
      <c r="A1618" t="s">
        <v>4320</v>
      </c>
      <c r="B1618" s="2">
        <v>45420</v>
      </c>
      <c r="C1618" t="s">
        <v>71</v>
      </c>
      <c r="D1618" t="s">
        <v>72</v>
      </c>
      <c r="E1618" t="s">
        <v>4321</v>
      </c>
      <c r="F1618" t="s">
        <v>713</v>
      </c>
      <c r="G1618" t="s">
        <v>825</v>
      </c>
      <c r="H1618" t="s">
        <v>80</v>
      </c>
      <c r="I1618" t="s">
        <v>26</v>
      </c>
      <c r="J1618">
        <v>2</v>
      </c>
      <c r="K1618">
        <v>140</v>
      </c>
      <c r="L1618">
        <v>280</v>
      </c>
      <c r="M1618">
        <v>1.5</v>
      </c>
      <c r="N1618">
        <v>62</v>
      </c>
      <c r="O1618">
        <v>249</v>
      </c>
      <c r="P1618">
        <v>0</v>
      </c>
      <c r="Q1618" t="s">
        <v>27</v>
      </c>
      <c r="R1618">
        <v>22</v>
      </c>
      <c r="S1618" t="s">
        <v>28</v>
      </c>
    </row>
    <row r="1619" spans="1:19" x14ac:dyDescent="0.3">
      <c r="A1619" t="s">
        <v>4322</v>
      </c>
      <c r="B1619" s="2">
        <v>45299</v>
      </c>
      <c r="C1619" t="s">
        <v>43</v>
      </c>
      <c r="D1619" t="s">
        <v>44</v>
      </c>
      <c r="E1619" t="s">
        <v>4323</v>
      </c>
      <c r="F1619" t="s">
        <v>713</v>
      </c>
      <c r="G1619" t="s">
        <v>227</v>
      </c>
      <c r="H1619" t="s">
        <v>80</v>
      </c>
      <c r="I1619" t="s">
        <v>26</v>
      </c>
      <c r="J1619">
        <v>3</v>
      </c>
      <c r="K1619">
        <v>371</v>
      </c>
      <c r="L1619">
        <v>1113</v>
      </c>
      <c r="O1619">
        <v>599</v>
      </c>
      <c r="P1619">
        <v>0</v>
      </c>
      <c r="Q1619" t="s">
        <v>27</v>
      </c>
      <c r="R1619">
        <v>42</v>
      </c>
      <c r="S1619" t="s">
        <v>28</v>
      </c>
    </row>
    <row r="1620" spans="1:19" x14ac:dyDescent="0.3">
      <c r="A1620" t="s">
        <v>4324</v>
      </c>
      <c r="B1620" s="2">
        <v>45448</v>
      </c>
      <c r="C1620" t="s">
        <v>30</v>
      </c>
      <c r="D1620" t="s">
        <v>72</v>
      </c>
      <c r="E1620" t="s">
        <v>4325</v>
      </c>
      <c r="F1620" t="s">
        <v>115</v>
      </c>
      <c r="G1620" t="s">
        <v>4326</v>
      </c>
      <c r="H1620" t="s">
        <v>80</v>
      </c>
      <c r="I1620" t="s">
        <v>26</v>
      </c>
      <c r="J1620">
        <v>1</v>
      </c>
      <c r="K1620">
        <v>354</v>
      </c>
      <c r="L1620">
        <v>354</v>
      </c>
      <c r="P1620">
        <v>0</v>
      </c>
      <c r="Q1620" t="s">
        <v>75</v>
      </c>
      <c r="R1620">
        <v>37</v>
      </c>
      <c r="S1620" t="s">
        <v>41</v>
      </c>
    </row>
    <row r="1621" spans="1:19" x14ac:dyDescent="0.3">
      <c r="A1621" t="s">
        <v>4327</v>
      </c>
      <c r="B1621" s="2">
        <v>45346</v>
      </c>
      <c r="C1621" t="s">
        <v>113</v>
      </c>
      <c r="D1621" t="s">
        <v>100</v>
      </c>
      <c r="E1621" t="s">
        <v>4328</v>
      </c>
      <c r="F1621" t="s">
        <v>62</v>
      </c>
      <c r="G1621" t="s">
        <v>4329</v>
      </c>
      <c r="H1621" t="s">
        <v>53</v>
      </c>
      <c r="I1621" t="s">
        <v>26</v>
      </c>
      <c r="J1621">
        <v>2</v>
      </c>
      <c r="K1621">
        <v>346</v>
      </c>
      <c r="L1621">
        <v>692</v>
      </c>
      <c r="M1621">
        <v>4.4000000000000004</v>
      </c>
      <c r="N1621">
        <v>45</v>
      </c>
      <c r="P1621">
        <v>0</v>
      </c>
      <c r="Q1621" t="s">
        <v>75</v>
      </c>
      <c r="R1621">
        <v>39</v>
      </c>
      <c r="S1621" t="s">
        <v>41</v>
      </c>
    </row>
    <row r="1622" spans="1:19" x14ac:dyDescent="0.3">
      <c r="A1622" t="s">
        <v>4330</v>
      </c>
      <c r="B1622" s="2">
        <v>45394</v>
      </c>
      <c r="C1622" t="s">
        <v>20</v>
      </c>
      <c r="D1622" t="s">
        <v>21</v>
      </c>
      <c r="E1622" t="s">
        <v>4331</v>
      </c>
      <c r="F1622" t="s">
        <v>46</v>
      </c>
      <c r="G1622" t="s">
        <v>158</v>
      </c>
      <c r="H1622" t="s">
        <v>40</v>
      </c>
      <c r="I1622" t="s">
        <v>26</v>
      </c>
      <c r="J1622">
        <v>3</v>
      </c>
      <c r="K1622">
        <v>132</v>
      </c>
      <c r="L1622">
        <v>396</v>
      </c>
      <c r="M1622">
        <v>4.0999999999999996</v>
      </c>
      <c r="N1622">
        <v>48</v>
      </c>
      <c r="P1622">
        <v>0</v>
      </c>
      <c r="Q1622" t="s">
        <v>27</v>
      </c>
      <c r="R1622">
        <v>35</v>
      </c>
      <c r="S1622" t="s">
        <v>28</v>
      </c>
    </row>
    <row r="1623" spans="1:19" x14ac:dyDescent="0.3">
      <c r="A1623" t="s">
        <v>4332</v>
      </c>
      <c r="B1623" s="2">
        <v>45422</v>
      </c>
      <c r="C1623" t="s">
        <v>71</v>
      </c>
      <c r="D1623" t="s">
        <v>21</v>
      </c>
      <c r="E1623" t="s">
        <v>4333</v>
      </c>
      <c r="F1623" t="s">
        <v>46</v>
      </c>
      <c r="G1623" t="s">
        <v>3270</v>
      </c>
      <c r="H1623" t="s">
        <v>48</v>
      </c>
      <c r="I1623" t="s">
        <v>33</v>
      </c>
      <c r="J1623">
        <v>2</v>
      </c>
      <c r="K1623">
        <v>432</v>
      </c>
      <c r="L1623">
        <v>864</v>
      </c>
      <c r="P1623">
        <v>0</v>
      </c>
      <c r="Q1623" t="s">
        <v>75</v>
      </c>
      <c r="R1623">
        <v>32</v>
      </c>
      <c r="S1623" t="s">
        <v>41</v>
      </c>
    </row>
    <row r="1624" spans="1:19" x14ac:dyDescent="0.3">
      <c r="A1624" t="s">
        <v>4334</v>
      </c>
      <c r="B1624" s="2">
        <v>45323</v>
      </c>
      <c r="C1624" t="s">
        <v>113</v>
      </c>
      <c r="D1624" t="s">
        <v>92</v>
      </c>
      <c r="E1624" t="s">
        <v>4335</v>
      </c>
      <c r="F1624" t="s">
        <v>4336</v>
      </c>
      <c r="G1624" t="s">
        <v>154</v>
      </c>
      <c r="H1624" t="s">
        <v>80</v>
      </c>
      <c r="I1624" t="s">
        <v>26</v>
      </c>
      <c r="J1624">
        <v>4</v>
      </c>
      <c r="K1624">
        <v>168</v>
      </c>
      <c r="L1624">
        <v>672</v>
      </c>
      <c r="M1624">
        <v>5</v>
      </c>
      <c r="N1624">
        <v>50</v>
      </c>
      <c r="P1624">
        <v>0</v>
      </c>
      <c r="Q1624" t="s">
        <v>49</v>
      </c>
      <c r="R1624">
        <v>35</v>
      </c>
      <c r="S1624" t="s">
        <v>28</v>
      </c>
    </row>
    <row r="1625" spans="1:19" x14ac:dyDescent="0.3">
      <c r="A1625" t="s">
        <v>4337</v>
      </c>
      <c r="B1625" s="2">
        <v>45301</v>
      </c>
      <c r="C1625" t="s">
        <v>43</v>
      </c>
      <c r="D1625" t="s">
        <v>72</v>
      </c>
      <c r="E1625" t="s">
        <v>4338</v>
      </c>
      <c r="F1625" t="s">
        <v>4336</v>
      </c>
      <c r="G1625" t="s">
        <v>1638</v>
      </c>
      <c r="H1625" t="s">
        <v>80</v>
      </c>
      <c r="I1625" t="s">
        <v>26</v>
      </c>
      <c r="J1625">
        <v>3</v>
      </c>
      <c r="K1625">
        <v>237</v>
      </c>
      <c r="L1625">
        <v>711</v>
      </c>
      <c r="P1625">
        <v>0</v>
      </c>
      <c r="Q1625" t="s">
        <v>75</v>
      </c>
      <c r="R1625">
        <v>19</v>
      </c>
      <c r="S1625" t="s">
        <v>28</v>
      </c>
    </row>
    <row r="1626" spans="1:19" x14ac:dyDescent="0.3">
      <c r="A1626" t="s">
        <v>4339</v>
      </c>
      <c r="B1626" s="2">
        <v>45493</v>
      </c>
      <c r="C1626" t="s">
        <v>59</v>
      </c>
      <c r="D1626" t="s">
        <v>100</v>
      </c>
      <c r="E1626" t="s">
        <v>4340</v>
      </c>
      <c r="F1626" t="s">
        <v>115</v>
      </c>
      <c r="G1626" t="s">
        <v>4341</v>
      </c>
      <c r="H1626" t="s">
        <v>80</v>
      </c>
      <c r="I1626" t="s">
        <v>26</v>
      </c>
      <c r="J1626">
        <v>1</v>
      </c>
      <c r="K1626">
        <v>173</v>
      </c>
      <c r="L1626">
        <v>173</v>
      </c>
      <c r="P1626">
        <v>0</v>
      </c>
      <c r="Q1626" t="s">
        <v>75</v>
      </c>
      <c r="R1626">
        <v>27</v>
      </c>
      <c r="S1626" t="s">
        <v>28</v>
      </c>
    </row>
    <row r="1627" spans="1:19" x14ac:dyDescent="0.3">
      <c r="A1627" t="s">
        <v>4342</v>
      </c>
      <c r="B1627" s="2">
        <v>45502</v>
      </c>
      <c r="C1627" t="s">
        <v>59</v>
      </c>
      <c r="D1627" t="s">
        <v>44</v>
      </c>
      <c r="E1627" t="s">
        <v>4343</v>
      </c>
      <c r="F1627" t="s">
        <v>192</v>
      </c>
      <c r="G1627" t="s">
        <v>4344</v>
      </c>
      <c r="H1627" t="s">
        <v>25</v>
      </c>
      <c r="I1627" t="s">
        <v>26</v>
      </c>
      <c r="J1627">
        <v>1</v>
      </c>
      <c r="K1627">
        <v>257</v>
      </c>
      <c r="L1627">
        <v>257</v>
      </c>
      <c r="P1627">
        <v>0</v>
      </c>
      <c r="Q1627" t="s">
        <v>75</v>
      </c>
      <c r="R1627">
        <v>40</v>
      </c>
      <c r="S1627" t="s">
        <v>41</v>
      </c>
    </row>
    <row r="1628" spans="1:19" x14ac:dyDescent="0.3">
      <c r="A1628" t="s">
        <v>4345</v>
      </c>
      <c r="B1628" s="2">
        <v>45401</v>
      </c>
      <c r="C1628" t="s">
        <v>20</v>
      </c>
      <c r="D1628" t="s">
        <v>21</v>
      </c>
      <c r="E1628" t="s">
        <v>4346</v>
      </c>
      <c r="F1628" t="s">
        <v>450</v>
      </c>
      <c r="G1628" t="s">
        <v>227</v>
      </c>
      <c r="H1628" t="s">
        <v>80</v>
      </c>
      <c r="I1628" t="s">
        <v>26</v>
      </c>
      <c r="J1628">
        <v>1</v>
      </c>
      <c r="K1628">
        <v>172</v>
      </c>
      <c r="L1628">
        <v>172</v>
      </c>
      <c r="P1628">
        <v>0</v>
      </c>
      <c r="Q1628" t="s">
        <v>27</v>
      </c>
      <c r="R1628">
        <v>30</v>
      </c>
      <c r="S1628" t="s">
        <v>41</v>
      </c>
    </row>
    <row r="1629" spans="1:19" x14ac:dyDescent="0.3">
      <c r="A1629" t="s">
        <v>4347</v>
      </c>
      <c r="B1629" s="2">
        <v>45453</v>
      </c>
      <c r="C1629" t="s">
        <v>30</v>
      </c>
      <c r="D1629" t="s">
        <v>44</v>
      </c>
      <c r="E1629" t="s">
        <v>4348</v>
      </c>
      <c r="F1629" t="s">
        <v>4336</v>
      </c>
      <c r="G1629" t="s">
        <v>154</v>
      </c>
      <c r="H1629" t="s">
        <v>80</v>
      </c>
      <c r="I1629" t="s">
        <v>26</v>
      </c>
      <c r="J1629">
        <v>1</v>
      </c>
      <c r="K1629">
        <v>163</v>
      </c>
      <c r="L1629">
        <v>163</v>
      </c>
      <c r="M1629">
        <v>1.6</v>
      </c>
      <c r="N1629">
        <v>50</v>
      </c>
      <c r="P1629">
        <v>0</v>
      </c>
      <c r="Q1629" t="s">
        <v>49</v>
      </c>
      <c r="R1629">
        <v>35</v>
      </c>
      <c r="S1629" t="s">
        <v>41</v>
      </c>
    </row>
    <row r="1630" spans="1:19" x14ac:dyDescent="0.3">
      <c r="A1630" t="s">
        <v>4349</v>
      </c>
      <c r="B1630" s="2">
        <v>45415</v>
      </c>
      <c r="C1630" t="s">
        <v>71</v>
      </c>
      <c r="D1630" t="s">
        <v>21</v>
      </c>
      <c r="E1630" t="s">
        <v>4350</v>
      </c>
      <c r="F1630" t="s">
        <v>192</v>
      </c>
      <c r="G1630" t="s">
        <v>4351</v>
      </c>
      <c r="H1630" t="s">
        <v>48</v>
      </c>
      <c r="I1630" t="s">
        <v>33</v>
      </c>
      <c r="J1630">
        <v>2</v>
      </c>
      <c r="K1630">
        <v>422</v>
      </c>
      <c r="L1630">
        <v>844</v>
      </c>
      <c r="M1630">
        <v>4</v>
      </c>
      <c r="N1630">
        <v>52</v>
      </c>
      <c r="O1630">
        <v>800</v>
      </c>
      <c r="P1630">
        <v>20</v>
      </c>
      <c r="Q1630" t="s">
        <v>34</v>
      </c>
      <c r="R1630">
        <v>32</v>
      </c>
      <c r="S1630" t="s">
        <v>41</v>
      </c>
    </row>
    <row r="1631" spans="1:19" x14ac:dyDescent="0.3">
      <c r="A1631" t="s">
        <v>4352</v>
      </c>
      <c r="B1631" s="2">
        <v>45516</v>
      </c>
      <c r="C1631" t="s">
        <v>82</v>
      </c>
      <c r="D1631" t="s">
        <v>44</v>
      </c>
      <c r="E1631" t="s">
        <v>4353</v>
      </c>
      <c r="F1631" t="s">
        <v>450</v>
      </c>
      <c r="G1631" t="s">
        <v>53</v>
      </c>
      <c r="H1631" t="s">
        <v>53</v>
      </c>
      <c r="I1631" t="s">
        <v>26</v>
      </c>
      <c r="J1631">
        <v>2</v>
      </c>
      <c r="K1631">
        <v>172</v>
      </c>
      <c r="L1631">
        <v>344</v>
      </c>
      <c r="P1631">
        <v>0</v>
      </c>
      <c r="Q1631" t="s">
        <v>34</v>
      </c>
      <c r="R1631">
        <v>48</v>
      </c>
      <c r="S1631" t="s">
        <v>28</v>
      </c>
    </row>
    <row r="1632" spans="1:19" x14ac:dyDescent="0.3">
      <c r="A1632" t="s">
        <v>4354</v>
      </c>
      <c r="B1632" s="2">
        <v>45378</v>
      </c>
      <c r="C1632" t="s">
        <v>55</v>
      </c>
      <c r="D1632" t="s">
        <v>72</v>
      </c>
      <c r="E1632" t="s">
        <v>4355</v>
      </c>
      <c r="F1632" t="s">
        <v>46</v>
      </c>
      <c r="G1632" t="s">
        <v>418</v>
      </c>
      <c r="H1632" t="s">
        <v>80</v>
      </c>
      <c r="I1632" t="s">
        <v>26</v>
      </c>
      <c r="J1632">
        <v>1</v>
      </c>
      <c r="K1632">
        <v>193</v>
      </c>
      <c r="L1632">
        <v>193</v>
      </c>
      <c r="P1632">
        <v>0</v>
      </c>
      <c r="Q1632" t="s">
        <v>49</v>
      </c>
      <c r="R1632">
        <v>29</v>
      </c>
      <c r="S1632" t="s">
        <v>41</v>
      </c>
    </row>
    <row r="1633" spans="1:19" x14ac:dyDescent="0.3">
      <c r="A1633" t="s">
        <v>4356</v>
      </c>
      <c r="B1633" s="2">
        <v>45346</v>
      </c>
      <c r="C1633" t="s">
        <v>113</v>
      </c>
      <c r="D1633" t="s">
        <v>100</v>
      </c>
      <c r="E1633" t="s">
        <v>4357</v>
      </c>
      <c r="F1633" t="s">
        <v>713</v>
      </c>
      <c r="G1633" t="s">
        <v>201</v>
      </c>
      <c r="H1633" t="s">
        <v>80</v>
      </c>
      <c r="I1633" t="s">
        <v>26</v>
      </c>
      <c r="J1633">
        <v>1</v>
      </c>
      <c r="K1633">
        <v>165</v>
      </c>
      <c r="L1633">
        <v>165</v>
      </c>
      <c r="M1633">
        <v>3.7</v>
      </c>
      <c r="N1633">
        <v>54</v>
      </c>
      <c r="P1633">
        <v>0</v>
      </c>
      <c r="Q1633" t="s">
        <v>49</v>
      </c>
      <c r="R1633">
        <v>32</v>
      </c>
      <c r="S1633" t="s">
        <v>28</v>
      </c>
    </row>
    <row r="1634" spans="1:19" x14ac:dyDescent="0.3">
      <c r="A1634" t="s">
        <v>4358</v>
      </c>
      <c r="B1634" s="2">
        <v>45511</v>
      </c>
      <c r="C1634" t="s">
        <v>82</v>
      </c>
      <c r="D1634" t="s">
        <v>72</v>
      </c>
      <c r="E1634" t="s">
        <v>4359</v>
      </c>
      <c r="F1634" t="s">
        <v>115</v>
      </c>
      <c r="G1634" t="s">
        <v>53</v>
      </c>
      <c r="H1634" t="s">
        <v>53</v>
      </c>
      <c r="I1634" t="s">
        <v>26</v>
      </c>
      <c r="J1634">
        <v>1</v>
      </c>
      <c r="K1634">
        <v>132</v>
      </c>
      <c r="L1634">
        <v>132</v>
      </c>
      <c r="P1634">
        <v>0</v>
      </c>
      <c r="Q1634" t="s">
        <v>49</v>
      </c>
      <c r="R1634">
        <v>30</v>
      </c>
      <c r="S1634" t="s">
        <v>28</v>
      </c>
    </row>
    <row r="1635" spans="1:19" x14ac:dyDescent="0.3">
      <c r="A1635" t="s">
        <v>4360</v>
      </c>
      <c r="B1635" s="2">
        <v>45323</v>
      </c>
      <c r="C1635" t="s">
        <v>113</v>
      </c>
      <c r="D1635" t="s">
        <v>92</v>
      </c>
      <c r="E1635" t="s">
        <v>4361</v>
      </c>
      <c r="F1635" t="s">
        <v>192</v>
      </c>
      <c r="G1635" t="s">
        <v>4362</v>
      </c>
      <c r="H1635" t="s">
        <v>53</v>
      </c>
      <c r="I1635" t="s">
        <v>26</v>
      </c>
      <c r="J1635">
        <v>2</v>
      </c>
      <c r="K1635">
        <v>284</v>
      </c>
      <c r="L1635">
        <v>568</v>
      </c>
      <c r="O1635">
        <v>700</v>
      </c>
      <c r="P1635">
        <v>20</v>
      </c>
      <c r="Q1635" t="s">
        <v>27</v>
      </c>
      <c r="R1635">
        <v>35</v>
      </c>
      <c r="S1635" t="s">
        <v>28</v>
      </c>
    </row>
    <row r="1636" spans="1:19" x14ac:dyDescent="0.3">
      <c r="A1636" t="s">
        <v>4363</v>
      </c>
      <c r="B1636" s="2">
        <v>45469</v>
      </c>
      <c r="C1636" t="s">
        <v>30</v>
      </c>
      <c r="D1636" t="s">
        <v>72</v>
      </c>
      <c r="E1636" t="s">
        <v>4364</v>
      </c>
      <c r="F1636" t="s">
        <v>192</v>
      </c>
      <c r="G1636" t="s">
        <v>221</v>
      </c>
      <c r="H1636" t="s">
        <v>80</v>
      </c>
      <c r="I1636" t="s">
        <v>26</v>
      </c>
      <c r="J1636">
        <v>1</v>
      </c>
      <c r="K1636">
        <v>221</v>
      </c>
      <c r="L1636">
        <v>221</v>
      </c>
      <c r="P1636">
        <v>0</v>
      </c>
      <c r="Q1636" t="s">
        <v>34</v>
      </c>
      <c r="R1636">
        <v>32</v>
      </c>
      <c r="S1636" t="s">
        <v>41</v>
      </c>
    </row>
    <row r="1637" spans="1:19" x14ac:dyDescent="0.3">
      <c r="A1637" t="s">
        <v>4365</v>
      </c>
      <c r="B1637" s="2">
        <v>45426</v>
      </c>
      <c r="C1637" t="s">
        <v>71</v>
      </c>
      <c r="D1637" t="s">
        <v>36</v>
      </c>
      <c r="E1637" t="s">
        <v>4366</v>
      </c>
      <c r="F1637" t="s">
        <v>517</v>
      </c>
      <c r="G1637" t="s">
        <v>3407</v>
      </c>
      <c r="H1637" t="s">
        <v>53</v>
      </c>
      <c r="I1637" t="s">
        <v>26</v>
      </c>
      <c r="J1637">
        <v>1</v>
      </c>
      <c r="K1637">
        <v>399</v>
      </c>
      <c r="L1637">
        <v>399</v>
      </c>
      <c r="M1637">
        <v>4.3</v>
      </c>
      <c r="N1637">
        <v>44</v>
      </c>
      <c r="P1637">
        <v>0</v>
      </c>
      <c r="Q1637" t="s">
        <v>49</v>
      </c>
      <c r="R1637">
        <v>42</v>
      </c>
      <c r="S1637" t="s">
        <v>28</v>
      </c>
    </row>
    <row r="1638" spans="1:19" x14ac:dyDescent="0.3">
      <c r="A1638" t="s">
        <v>4367</v>
      </c>
      <c r="B1638" s="2">
        <v>45384</v>
      </c>
      <c r="C1638" t="s">
        <v>20</v>
      </c>
      <c r="D1638" t="s">
        <v>36</v>
      </c>
      <c r="E1638" t="s">
        <v>4368</v>
      </c>
      <c r="F1638" t="s">
        <v>2136</v>
      </c>
      <c r="G1638" t="s">
        <v>4369</v>
      </c>
      <c r="H1638" t="s">
        <v>80</v>
      </c>
      <c r="I1638" t="s">
        <v>26</v>
      </c>
      <c r="J1638">
        <v>4</v>
      </c>
      <c r="K1638">
        <v>377</v>
      </c>
      <c r="L1638">
        <v>1508</v>
      </c>
      <c r="M1638">
        <v>4.4000000000000004</v>
      </c>
      <c r="N1638">
        <v>50</v>
      </c>
      <c r="P1638">
        <v>0</v>
      </c>
      <c r="Q1638" t="s">
        <v>27</v>
      </c>
      <c r="R1638">
        <v>40</v>
      </c>
      <c r="S1638" t="s">
        <v>28</v>
      </c>
    </row>
    <row r="1639" spans="1:19" x14ac:dyDescent="0.3">
      <c r="A1639" t="s">
        <v>4370</v>
      </c>
      <c r="B1639" s="2">
        <v>45299</v>
      </c>
      <c r="C1639" t="s">
        <v>43</v>
      </c>
      <c r="D1639" t="s">
        <v>44</v>
      </c>
      <c r="E1639" t="s">
        <v>4371</v>
      </c>
      <c r="F1639" t="s">
        <v>192</v>
      </c>
      <c r="G1639" t="s">
        <v>4372</v>
      </c>
      <c r="H1639" t="s">
        <v>80</v>
      </c>
      <c r="I1639" t="s">
        <v>26</v>
      </c>
      <c r="J1639">
        <v>4</v>
      </c>
      <c r="K1639">
        <v>589</v>
      </c>
      <c r="L1639">
        <v>2356</v>
      </c>
      <c r="M1639">
        <v>2.9</v>
      </c>
      <c r="N1639">
        <v>49</v>
      </c>
      <c r="P1639">
        <v>0</v>
      </c>
      <c r="Q1639" t="s">
        <v>34</v>
      </c>
      <c r="R1639">
        <v>28</v>
      </c>
      <c r="S1639" t="s">
        <v>41</v>
      </c>
    </row>
    <row r="1640" spans="1:19" x14ac:dyDescent="0.3">
      <c r="A1640" t="s">
        <v>4373</v>
      </c>
      <c r="B1640" s="2">
        <v>45356</v>
      </c>
      <c r="C1640" t="s">
        <v>55</v>
      </c>
      <c r="D1640" t="s">
        <v>36</v>
      </c>
      <c r="E1640" t="s">
        <v>4374</v>
      </c>
      <c r="F1640" t="s">
        <v>517</v>
      </c>
      <c r="G1640" t="s">
        <v>210</v>
      </c>
      <c r="H1640" t="s">
        <v>80</v>
      </c>
      <c r="I1640" t="s">
        <v>26</v>
      </c>
      <c r="J1640">
        <v>1</v>
      </c>
      <c r="K1640">
        <v>456</v>
      </c>
      <c r="L1640">
        <v>456</v>
      </c>
      <c r="P1640">
        <v>0</v>
      </c>
      <c r="Q1640" t="s">
        <v>75</v>
      </c>
      <c r="R1640">
        <v>36</v>
      </c>
      <c r="S1640" t="s">
        <v>28</v>
      </c>
    </row>
    <row r="1641" spans="1:19" x14ac:dyDescent="0.3">
      <c r="A1641" t="s">
        <v>4375</v>
      </c>
      <c r="B1641" s="2">
        <v>45348</v>
      </c>
      <c r="C1641" t="s">
        <v>113</v>
      </c>
      <c r="D1641" t="s">
        <v>44</v>
      </c>
      <c r="E1641" t="s">
        <v>4376</v>
      </c>
      <c r="F1641" t="s">
        <v>78</v>
      </c>
      <c r="G1641" t="s">
        <v>4377</v>
      </c>
      <c r="H1641" t="s">
        <v>80</v>
      </c>
      <c r="I1641" t="s">
        <v>26</v>
      </c>
      <c r="J1641">
        <v>3</v>
      </c>
      <c r="K1641">
        <v>475</v>
      </c>
      <c r="L1641">
        <v>1425</v>
      </c>
      <c r="M1641">
        <v>3.3</v>
      </c>
      <c r="N1641">
        <v>56</v>
      </c>
      <c r="P1641">
        <v>0</v>
      </c>
      <c r="Q1641" t="s">
        <v>27</v>
      </c>
      <c r="R1641">
        <v>20</v>
      </c>
      <c r="S1641" t="s">
        <v>41</v>
      </c>
    </row>
    <row r="1642" spans="1:19" x14ac:dyDescent="0.3">
      <c r="A1642" t="s">
        <v>4378</v>
      </c>
      <c r="B1642" s="2">
        <v>45358</v>
      </c>
      <c r="C1642" t="s">
        <v>55</v>
      </c>
      <c r="D1642" t="s">
        <v>92</v>
      </c>
      <c r="E1642" t="s">
        <v>4379</v>
      </c>
      <c r="F1642" t="s">
        <v>102</v>
      </c>
      <c r="G1642" t="s">
        <v>154</v>
      </c>
      <c r="H1642" t="s">
        <v>80</v>
      </c>
      <c r="I1642" t="s">
        <v>26</v>
      </c>
      <c r="J1642">
        <v>1</v>
      </c>
      <c r="K1642">
        <v>517</v>
      </c>
      <c r="L1642">
        <v>517</v>
      </c>
      <c r="M1642">
        <v>2.5</v>
      </c>
      <c r="N1642">
        <v>43</v>
      </c>
      <c r="P1642">
        <v>0</v>
      </c>
      <c r="Q1642" t="s">
        <v>34</v>
      </c>
      <c r="R1642">
        <v>24</v>
      </c>
      <c r="S1642" t="s">
        <v>41</v>
      </c>
    </row>
    <row r="1643" spans="1:19" x14ac:dyDescent="0.3">
      <c r="A1643" t="s">
        <v>4380</v>
      </c>
      <c r="B1643" s="2">
        <v>45507</v>
      </c>
      <c r="C1643" t="s">
        <v>82</v>
      </c>
      <c r="D1643" t="s">
        <v>100</v>
      </c>
      <c r="E1643" t="s">
        <v>4381</v>
      </c>
      <c r="F1643" t="s">
        <v>713</v>
      </c>
      <c r="G1643" t="s">
        <v>109</v>
      </c>
      <c r="H1643" t="s">
        <v>64</v>
      </c>
      <c r="I1643" t="s">
        <v>26</v>
      </c>
      <c r="J1643">
        <v>4</v>
      </c>
      <c r="K1643">
        <v>257</v>
      </c>
      <c r="L1643">
        <v>1028</v>
      </c>
      <c r="P1643">
        <v>0</v>
      </c>
      <c r="Q1643" t="s">
        <v>27</v>
      </c>
      <c r="R1643">
        <v>38</v>
      </c>
      <c r="S1643" t="s">
        <v>41</v>
      </c>
    </row>
    <row r="1644" spans="1:19" x14ac:dyDescent="0.3">
      <c r="A1644" t="s">
        <v>4382</v>
      </c>
      <c r="B1644" s="2">
        <v>45506</v>
      </c>
      <c r="C1644" t="s">
        <v>82</v>
      </c>
      <c r="D1644" t="s">
        <v>21</v>
      </c>
      <c r="E1644" t="s">
        <v>4383</v>
      </c>
      <c r="F1644" t="s">
        <v>46</v>
      </c>
      <c r="G1644" t="s">
        <v>1255</v>
      </c>
      <c r="H1644" t="s">
        <v>53</v>
      </c>
      <c r="I1644" t="s">
        <v>26</v>
      </c>
      <c r="J1644">
        <v>3</v>
      </c>
      <c r="K1644">
        <v>282</v>
      </c>
      <c r="L1644">
        <v>846</v>
      </c>
      <c r="P1644">
        <v>0</v>
      </c>
      <c r="Q1644" t="s">
        <v>34</v>
      </c>
      <c r="R1644">
        <v>43</v>
      </c>
      <c r="S1644" t="s">
        <v>28</v>
      </c>
    </row>
    <row r="1645" spans="1:19" x14ac:dyDescent="0.3">
      <c r="A1645" t="s">
        <v>4384</v>
      </c>
      <c r="B1645" s="2">
        <v>45478</v>
      </c>
      <c r="C1645" t="s">
        <v>59</v>
      </c>
      <c r="D1645" t="s">
        <v>21</v>
      </c>
      <c r="E1645" t="s">
        <v>4385</v>
      </c>
      <c r="F1645" t="s">
        <v>192</v>
      </c>
      <c r="G1645" t="s">
        <v>158</v>
      </c>
      <c r="H1645" t="s">
        <v>40</v>
      </c>
      <c r="I1645" t="s">
        <v>26</v>
      </c>
      <c r="J1645">
        <v>3</v>
      </c>
      <c r="K1645">
        <v>528</v>
      </c>
      <c r="L1645">
        <v>1584</v>
      </c>
      <c r="P1645">
        <v>0</v>
      </c>
      <c r="Q1645" t="s">
        <v>34</v>
      </c>
      <c r="R1645">
        <v>31</v>
      </c>
      <c r="S1645" t="s">
        <v>41</v>
      </c>
    </row>
    <row r="1646" spans="1:19" x14ac:dyDescent="0.3">
      <c r="A1646" t="s">
        <v>4386</v>
      </c>
      <c r="B1646" s="2">
        <v>45363</v>
      </c>
      <c r="C1646" t="s">
        <v>55</v>
      </c>
      <c r="D1646" t="s">
        <v>36</v>
      </c>
      <c r="E1646" t="s">
        <v>4387</v>
      </c>
      <c r="F1646" t="s">
        <v>192</v>
      </c>
      <c r="G1646" t="s">
        <v>109</v>
      </c>
      <c r="H1646" t="s">
        <v>64</v>
      </c>
      <c r="I1646" t="s">
        <v>26</v>
      </c>
      <c r="J1646">
        <v>1</v>
      </c>
      <c r="K1646">
        <v>506</v>
      </c>
      <c r="L1646">
        <v>506</v>
      </c>
      <c r="P1646">
        <v>0</v>
      </c>
      <c r="Q1646" t="s">
        <v>75</v>
      </c>
      <c r="R1646">
        <v>31</v>
      </c>
      <c r="S1646" t="s">
        <v>41</v>
      </c>
    </row>
    <row r="1647" spans="1:19" x14ac:dyDescent="0.3">
      <c r="A1647" t="s">
        <v>4388</v>
      </c>
      <c r="B1647" s="2">
        <v>45345</v>
      </c>
      <c r="C1647" t="s">
        <v>113</v>
      </c>
      <c r="D1647" t="s">
        <v>21</v>
      </c>
      <c r="E1647" t="s">
        <v>4389</v>
      </c>
      <c r="F1647" t="s">
        <v>78</v>
      </c>
      <c r="G1647" t="s">
        <v>410</v>
      </c>
      <c r="H1647" t="s">
        <v>64</v>
      </c>
      <c r="I1647" t="s">
        <v>26</v>
      </c>
      <c r="J1647">
        <v>4</v>
      </c>
      <c r="K1647">
        <v>230</v>
      </c>
      <c r="L1647">
        <v>920</v>
      </c>
      <c r="M1647">
        <v>2.8</v>
      </c>
      <c r="N1647">
        <v>45</v>
      </c>
      <c r="O1647">
        <v>999</v>
      </c>
      <c r="P1647">
        <v>0</v>
      </c>
      <c r="Q1647" t="s">
        <v>27</v>
      </c>
      <c r="R1647">
        <v>39</v>
      </c>
      <c r="S1647" t="s">
        <v>41</v>
      </c>
    </row>
    <row r="1648" spans="1:19" x14ac:dyDescent="0.3">
      <c r="A1648" t="s">
        <v>4390</v>
      </c>
      <c r="B1648" s="2">
        <v>45530</v>
      </c>
      <c r="C1648" t="s">
        <v>82</v>
      </c>
      <c r="D1648" t="s">
        <v>44</v>
      </c>
      <c r="E1648" t="s">
        <v>4391</v>
      </c>
      <c r="F1648" t="s">
        <v>115</v>
      </c>
      <c r="G1648" t="s">
        <v>1629</v>
      </c>
      <c r="H1648" t="s">
        <v>53</v>
      </c>
      <c r="I1648" t="s">
        <v>26</v>
      </c>
      <c r="J1648">
        <v>4</v>
      </c>
      <c r="K1648">
        <v>221</v>
      </c>
      <c r="L1648">
        <v>884</v>
      </c>
      <c r="P1648">
        <v>0</v>
      </c>
      <c r="Q1648" t="s">
        <v>49</v>
      </c>
      <c r="R1648">
        <v>30</v>
      </c>
      <c r="S1648" t="s">
        <v>41</v>
      </c>
    </row>
    <row r="1649" spans="1:19" x14ac:dyDescent="0.3">
      <c r="A1649" t="s">
        <v>4392</v>
      </c>
      <c r="B1649" s="2">
        <v>45520</v>
      </c>
      <c r="C1649" t="s">
        <v>82</v>
      </c>
      <c r="D1649" t="s">
        <v>21</v>
      </c>
      <c r="E1649" t="s">
        <v>4393</v>
      </c>
      <c r="F1649" t="s">
        <v>450</v>
      </c>
      <c r="G1649" t="s">
        <v>227</v>
      </c>
      <c r="H1649" t="s">
        <v>80</v>
      </c>
      <c r="I1649" t="s">
        <v>26</v>
      </c>
      <c r="J1649">
        <v>3</v>
      </c>
      <c r="K1649">
        <v>136</v>
      </c>
      <c r="L1649">
        <v>408</v>
      </c>
      <c r="P1649">
        <v>0</v>
      </c>
      <c r="Q1649" t="s">
        <v>75</v>
      </c>
      <c r="R1649">
        <v>29</v>
      </c>
      <c r="S1649" t="s">
        <v>28</v>
      </c>
    </row>
    <row r="1650" spans="1:19" x14ac:dyDescent="0.3">
      <c r="A1650" t="s">
        <v>4394</v>
      </c>
      <c r="B1650" s="2">
        <v>45358</v>
      </c>
      <c r="C1650" t="s">
        <v>55</v>
      </c>
      <c r="D1650" t="s">
        <v>92</v>
      </c>
      <c r="E1650" t="s">
        <v>4395</v>
      </c>
      <c r="F1650" t="s">
        <v>102</v>
      </c>
      <c r="G1650" t="s">
        <v>2685</v>
      </c>
      <c r="H1650" t="s">
        <v>80</v>
      </c>
      <c r="I1650" t="s">
        <v>26</v>
      </c>
      <c r="J1650">
        <v>1</v>
      </c>
      <c r="K1650">
        <v>387</v>
      </c>
      <c r="L1650">
        <v>387</v>
      </c>
      <c r="M1650">
        <v>4.5999999999999996</v>
      </c>
      <c r="N1650">
        <v>42</v>
      </c>
      <c r="O1650">
        <v>125</v>
      </c>
      <c r="P1650">
        <v>25</v>
      </c>
      <c r="Q1650" t="s">
        <v>75</v>
      </c>
      <c r="R1650">
        <v>41</v>
      </c>
      <c r="S1650" t="s">
        <v>41</v>
      </c>
    </row>
    <row r="1651" spans="1:19" x14ac:dyDescent="0.3">
      <c r="A1651" t="s">
        <v>4396</v>
      </c>
      <c r="B1651" s="2">
        <v>45342</v>
      </c>
      <c r="C1651" t="s">
        <v>113</v>
      </c>
      <c r="D1651" t="s">
        <v>36</v>
      </c>
      <c r="E1651" t="s">
        <v>4397</v>
      </c>
      <c r="F1651" t="s">
        <v>87</v>
      </c>
      <c r="G1651" t="s">
        <v>2170</v>
      </c>
      <c r="H1651" t="s">
        <v>80</v>
      </c>
      <c r="I1651" t="s">
        <v>26</v>
      </c>
      <c r="J1651">
        <v>2</v>
      </c>
      <c r="K1651">
        <v>301</v>
      </c>
      <c r="L1651">
        <v>602</v>
      </c>
      <c r="M1651">
        <v>4.2</v>
      </c>
      <c r="N1651">
        <v>42</v>
      </c>
      <c r="P1651">
        <v>0</v>
      </c>
      <c r="Q1651" t="s">
        <v>34</v>
      </c>
      <c r="R1651">
        <v>26</v>
      </c>
      <c r="S1651" t="s">
        <v>28</v>
      </c>
    </row>
    <row r="1652" spans="1:19" x14ac:dyDescent="0.3">
      <c r="A1652" t="s">
        <v>4398</v>
      </c>
      <c r="B1652" s="2">
        <v>45388</v>
      </c>
      <c r="C1652" t="s">
        <v>20</v>
      </c>
      <c r="D1652" t="s">
        <v>100</v>
      </c>
      <c r="E1652" t="s">
        <v>4399</v>
      </c>
      <c r="F1652" t="s">
        <v>450</v>
      </c>
      <c r="G1652" t="s">
        <v>4400</v>
      </c>
      <c r="H1652" t="s">
        <v>48</v>
      </c>
      <c r="I1652" t="s">
        <v>33</v>
      </c>
      <c r="J1652">
        <v>2</v>
      </c>
      <c r="K1652">
        <v>491</v>
      </c>
      <c r="L1652">
        <v>982</v>
      </c>
      <c r="P1652">
        <v>0</v>
      </c>
      <c r="Q1652" t="s">
        <v>49</v>
      </c>
      <c r="R1652">
        <v>18</v>
      </c>
      <c r="S1652" t="s">
        <v>41</v>
      </c>
    </row>
    <row r="1653" spans="1:19" x14ac:dyDescent="0.3">
      <c r="A1653" t="s">
        <v>4401</v>
      </c>
      <c r="B1653" s="2">
        <v>45383</v>
      </c>
      <c r="C1653" t="s">
        <v>20</v>
      </c>
      <c r="D1653" t="s">
        <v>44</v>
      </c>
      <c r="E1653" t="s">
        <v>4402</v>
      </c>
      <c r="F1653" t="s">
        <v>115</v>
      </c>
      <c r="G1653" t="s">
        <v>373</v>
      </c>
      <c r="H1653" t="s">
        <v>80</v>
      </c>
      <c r="I1653" t="s">
        <v>26</v>
      </c>
      <c r="J1653">
        <v>4</v>
      </c>
      <c r="K1653">
        <v>143</v>
      </c>
      <c r="L1653">
        <v>572</v>
      </c>
      <c r="P1653">
        <v>0</v>
      </c>
      <c r="Q1653" t="s">
        <v>27</v>
      </c>
      <c r="R1653">
        <v>36</v>
      </c>
      <c r="S1653" t="s">
        <v>28</v>
      </c>
    </row>
    <row r="1654" spans="1:19" x14ac:dyDescent="0.3">
      <c r="A1654" t="s">
        <v>4403</v>
      </c>
      <c r="B1654" s="2">
        <v>45530</v>
      </c>
      <c r="C1654" t="s">
        <v>82</v>
      </c>
      <c r="D1654" t="s">
        <v>44</v>
      </c>
      <c r="E1654" t="s">
        <v>4404</v>
      </c>
      <c r="F1654" t="s">
        <v>78</v>
      </c>
      <c r="G1654" t="s">
        <v>4405</v>
      </c>
      <c r="H1654" t="s">
        <v>53</v>
      </c>
      <c r="I1654" t="s">
        <v>26</v>
      </c>
      <c r="J1654">
        <v>2</v>
      </c>
      <c r="K1654">
        <v>148</v>
      </c>
      <c r="L1654">
        <v>296</v>
      </c>
      <c r="M1654">
        <v>4.0999999999999996</v>
      </c>
      <c r="N1654">
        <v>46</v>
      </c>
      <c r="P1654">
        <v>0</v>
      </c>
      <c r="Q1654" t="s">
        <v>49</v>
      </c>
      <c r="R1654">
        <v>28</v>
      </c>
      <c r="S1654" t="s">
        <v>41</v>
      </c>
    </row>
    <row r="1655" spans="1:19" x14ac:dyDescent="0.3">
      <c r="A1655" t="s">
        <v>4406</v>
      </c>
      <c r="B1655" s="2">
        <v>45299</v>
      </c>
      <c r="C1655" t="s">
        <v>43</v>
      </c>
      <c r="D1655" t="s">
        <v>44</v>
      </c>
      <c r="E1655" t="s">
        <v>4407</v>
      </c>
      <c r="F1655" t="s">
        <v>450</v>
      </c>
      <c r="G1655" t="s">
        <v>4408</v>
      </c>
      <c r="H1655" t="s">
        <v>40</v>
      </c>
      <c r="I1655" t="s">
        <v>26</v>
      </c>
      <c r="J1655">
        <v>4</v>
      </c>
      <c r="K1655">
        <v>290</v>
      </c>
      <c r="L1655">
        <v>1160</v>
      </c>
      <c r="M1655">
        <v>3.6</v>
      </c>
      <c r="N1655">
        <v>56</v>
      </c>
      <c r="O1655">
        <v>800</v>
      </c>
      <c r="P1655">
        <v>10</v>
      </c>
      <c r="Q1655" t="s">
        <v>49</v>
      </c>
      <c r="R1655">
        <v>40</v>
      </c>
      <c r="S1655" t="s">
        <v>28</v>
      </c>
    </row>
    <row r="1656" spans="1:19" x14ac:dyDescent="0.3">
      <c r="A1656" t="s">
        <v>4409</v>
      </c>
      <c r="B1656" s="2">
        <v>45453</v>
      </c>
      <c r="C1656" t="s">
        <v>30</v>
      </c>
      <c r="D1656" t="s">
        <v>44</v>
      </c>
      <c r="E1656" t="s">
        <v>4410</v>
      </c>
      <c r="F1656" t="s">
        <v>115</v>
      </c>
      <c r="G1656" t="s">
        <v>94</v>
      </c>
      <c r="H1656" t="s">
        <v>80</v>
      </c>
      <c r="I1656" t="s">
        <v>26</v>
      </c>
      <c r="J1656">
        <v>4</v>
      </c>
      <c r="K1656">
        <v>528</v>
      </c>
      <c r="L1656">
        <v>2112</v>
      </c>
      <c r="P1656">
        <v>0</v>
      </c>
      <c r="Q1656" t="s">
        <v>49</v>
      </c>
      <c r="R1656">
        <v>39</v>
      </c>
      <c r="S1656" t="s">
        <v>41</v>
      </c>
    </row>
    <row r="1657" spans="1:19" x14ac:dyDescent="0.3">
      <c r="A1657" t="s">
        <v>4411</v>
      </c>
      <c r="B1657" s="2">
        <v>45326</v>
      </c>
      <c r="C1657" t="s">
        <v>113</v>
      </c>
      <c r="D1657" t="s">
        <v>60</v>
      </c>
      <c r="E1657" t="s">
        <v>4412</v>
      </c>
      <c r="F1657" t="s">
        <v>192</v>
      </c>
      <c r="G1657" t="s">
        <v>4413</v>
      </c>
      <c r="H1657" t="s">
        <v>25</v>
      </c>
      <c r="I1657" t="s">
        <v>26</v>
      </c>
      <c r="J1657">
        <v>4</v>
      </c>
      <c r="K1657">
        <v>347</v>
      </c>
      <c r="L1657">
        <v>1388</v>
      </c>
      <c r="O1657">
        <v>250</v>
      </c>
      <c r="P1657">
        <v>50</v>
      </c>
      <c r="Q1657" t="s">
        <v>49</v>
      </c>
      <c r="R1657">
        <v>40</v>
      </c>
      <c r="S1657" t="s">
        <v>28</v>
      </c>
    </row>
    <row r="1658" spans="1:19" x14ac:dyDescent="0.3">
      <c r="A1658" t="s">
        <v>4414</v>
      </c>
      <c r="B1658" s="2">
        <v>45387</v>
      </c>
      <c r="C1658" t="s">
        <v>20</v>
      </c>
      <c r="D1658" t="s">
        <v>21</v>
      </c>
      <c r="E1658" t="s">
        <v>4415</v>
      </c>
      <c r="F1658" t="s">
        <v>4416</v>
      </c>
      <c r="G1658" t="s">
        <v>2685</v>
      </c>
      <c r="H1658" t="s">
        <v>80</v>
      </c>
      <c r="I1658" t="s">
        <v>26</v>
      </c>
      <c r="J1658">
        <v>2</v>
      </c>
      <c r="K1658">
        <v>497</v>
      </c>
      <c r="L1658">
        <v>994</v>
      </c>
      <c r="M1658">
        <v>3.7</v>
      </c>
      <c r="N1658">
        <v>41</v>
      </c>
      <c r="O1658">
        <v>125</v>
      </c>
      <c r="P1658">
        <v>25</v>
      </c>
      <c r="Q1658" t="s">
        <v>49</v>
      </c>
      <c r="R1658">
        <v>41</v>
      </c>
      <c r="S1658" t="s">
        <v>28</v>
      </c>
    </row>
    <row r="1659" spans="1:19" x14ac:dyDescent="0.3">
      <c r="A1659" t="s">
        <v>4417</v>
      </c>
      <c r="B1659" s="2">
        <v>45379</v>
      </c>
      <c r="C1659" t="s">
        <v>55</v>
      </c>
      <c r="D1659" t="s">
        <v>92</v>
      </c>
      <c r="E1659" t="s">
        <v>4418</v>
      </c>
      <c r="F1659" t="s">
        <v>713</v>
      </c>
      <c r="G1659" t="s">
        <v>4419</v>
      </c>
      <c r="H1659" t="s">
        <v>40</v>
      </c>
      <c r="I1659" t="s">
        <v>26</v>
      </c>
      <c r="J1659">
        <v>4</v>
      </c>
      <c r="K1659">
        <v>307</v>
      </c>
      <c r="L1659">
        <v>1228</v>
      </c>
      <c r="P1659">
        <v>0</v>
      </c>
      <c r="Q1659" t="s">
        <v>34</v>
      </c>
      <c r="R1659">
        <v>39</v>
      </c>
      <c r="S1659" t="s">
        <v>28</v>
      </c>
    </row>
    <row r="1660" spans="1:19" x14ac:dyDescent="0.3">
      <c r="A1660" t="s">
        <v>4420</v>
      </c>
      <c r="B1660" s="2">
        <v>45369</v>
      </c>
      <c r="C1660" t="s">
        <v>55</v>
      </c>
      <c r="D1660" t="s">
        <v>44</v>
      </c>
      <c r="E1660" t="s">
        <v>4421</v>
      </c>
      <c r="F1660" t="s">
        <v>450</v>
      </c>
      <c r="G1660" t="s">
        <v>186</v>
      </c>
      <c r="H1660" t="s">
        <v>80</v>
      </c>
      <c r="I1660" t="s">
        <v>26</v>
      </c>
      <c r="J1660">
        <v>3</v>
      </c>
      <c r="K1660">
        <v>465</v>
      </c>
      <c r="L1660">
        <v>1395</v>
      </c>
      <c r="P1660">
        <v>0</v>
      </c>
      <c r="Q1660" t="s">
        <v>34</v>
      </c>
      <c r="R1660">
        <v>36</v>
      </c>
      <c r="S1660" t="s">
        <v>41</v>
      </c>
    </row>
    <row r="1661" spans="1:19" x14ac:dyDescent="0.3">
      <c r="A1661" t="s">
        <v>4422</v>
      </c>
      <c r="B1661" s="2">
        <v>45323</v>
      </c>
      <c r="C1661" t="s">
        <v>113</v>
      </c>
      <c r="D1661" t="s">
        <v>92</v>
      </c>
      <c r="E1661" t="s">
        <v>4423</v>
      </c>
      <c r="F1661" t="s">
        <v>115</v>
      </c>
      <c r="G1661" t="s">
        <v>227</v>
      </c>
      <c r="H1661" t="s">
        <v>80</v>
      </c>
      <c r="I1661" t="s">
        <v>26</v>
      </c>
      <c r="J1661">
        <v>1</v>
      </c>
      <c r="K1661">
        <v>349</v>
      </c>
      <c r="L1661">
        <v>349</v>
      </c>
      <c r="P1661">
        <v>0</v>
      </c>
      <c r="Q1661" t="s">
        <v>75</v>
      </c>
      <c r="R1661">
        <v>35</v>
      </c>
      <c r="S1661" t="s">
        <v>28</v>
      </c>
    </row>
    <row r="1662" spans="1:19" x14ac:dyDescent="0.3">
      <c r="A1662" t="s">
        <v>4424</v>
      </c>
      <c r="B1662" s="2">
        <v>45411</v>
      </c>
      <c r="C1662" t="s">
        <v>20</v>
      </c>
      <c r="D1662" t="s">
        <v>44</v>
      </c>
      <c r="E1662" t="s">
        <v>4425</v>
      </c>
      <c r="F1662" t="s">
        <v>450</v>
      </c>
      <c r="G1662" t="s">
        <v>2772</v>
      </c>
      <c r="H1662" t="s">
        <v>64</v>
      </c>
      <c r="I1662" t="s">
        <v>26</v>
      </c>
      <c r="J1662">
        <v>1</v>
      </c>
      <c r="K1662">
        <v>440</v>
      </c>
      <c r="L1662">
        <v>440</v>
      </c>
      <c r="M1662">
        <v>4.5999999999999996</v>
      </c>
      <c r="N1662">
        <v>50</v>
      </c>
      <c r="O1662">
        <v>200</v>
      </c>
      <c r="P1662">
        <v>40</v>
      </c>
      <c r="Q1662" t="s">
        <v>34</v>
      </c>
      <c r="R1662">
        <v>29</v>
      </c>
      <c r="S1662" t="s">
        <v>28</v>
      </c>
    </row>
    <row r="1663" spans="1:19" x14ac:dyDescent="0.3">
      <c r="A1663" t="s">
        <v>4426</v>
      </c>
      <c r="B1663" s="2">
        <v>45337</v>
      </c>
      <c r="C1663" t="s">
        <v>113</v>
      </c>
      <c r="D1663" t="s">
        <v>92</v>
      </c>
      <c r="E1663" t="s">
        <v>4427</v>
      </c>
      <c r="F1663" t="s">
        <v>2197</v>
      </c>
      <c r="G1663" t="s">
        <v>3437</v>
      </c>
      <c r="H1663" t="s">
        <v>80</v>
      </c>
      <c r="I1663" t="s">
        <v>26</v>
      </c>
      <c r="J1663">
        <v>4</v>
      </c>
      <c r="K1663">
        <v>459</v>
      </c>
      <c r="L1663">
        <v>1836</v>
      </c>
      <c r="P1663">
        <v>0</v>
      </c>
      <c r="Q1663" t="s">
        <v>75</v>
      </c>
      <c r="R1663">
        <v>40</v>
      </c>
      <c r="S1663" t="s">
        <v>28</v>
      </c>
    </row>
    <row r="1664" spans="1:19" x14ac:dyDescent="0.3">
      <c r="A1664" t="s">
        <v>4428</v>
      </c>
      <c r="B1664" s="2">
        <v>45526</v>
      </c>
      <c r="C1664" t="s">
        <v>82</v>
      </c>
      <c r="D1664" t="s">
        <v>92</v>
      </c>
      <c r="E1664" t="s">
        <v>4429</v>
      </c>
      <c r="F1664" t="s">
        <v>78</v>
      </c>
      <c r="G1664" t="s">
        <v>4430</v>
      </c>
      <c r="H1664" t="s">
        <v>40</v>
      </c>
      <c r="I1664" t="s">
        <v>33</v>
      </c>
      <c r="J1664">
        <v>1</v>
      </c>
      <c r="K1664">
        <v>238</v>
      </c>
      <c r="L1664">
        <v>238</v>
      </c>
      <c r="M1664">
        <v>4.7</v>
      </c>
      <c r="N1664">
        <v>46</v>
      </c>
      <c r="P1664">
        <v>0</v>
      </c>
      <c r="Q1664" t="s">
        <v>75</v>
      </c>
      <c r="R1664">
        <v>45</v>
      </c>
      <c r="S1664" t="s">
        <v>28</v>
      </c>
    </row>
    <row r="1665" spans="1:19" x14ac:dyDescent="0.3">
      <c r="A1665" t="s">
        <v>4431</v>
      </c>
      <c r="B1665" s="2">
        <v>45435</v>
      </c>
      <c r="C1665" t="s">
        <v>71</v>
      </c>
      <c r="D1665" t="s">
        <v>92</v>
      </c>
      <c r="E1665" t="s">
        <v>4432</v>
      </c>
      <c r="F1665" t="s">
        <v>115</v>
      </c>
      <c r="G1665" t="s">
        <v>201</v>
      </c>
      <c r="H1665" t="s">
        <v>80</v>
      </c>
      <c r="I1665" t="s">
        <v>26</v>
      </c>
      <c r="J1665">
        <v>2</v>
      </c>
      <c r="K1665">
        <v>275</v>
      </c>
      <c r="L1665">
        <v>550</v>
      </c>
      <c r="M1665">
        <v>3.4</v>
      </c>
      <c r="N1665">
        <v>50</v>
      </c>
      <c r="P1665">
        <v>0</v>
      </c>
      <c r="Q1665" t="s">
        <v>27</v>
      </c>
      <c r="R1665">
        <v>45</v>
      </c>
      <c r="S1665" t="s">
        <v>41</v>
      </c>
    </row>
    <row r="1666" spans="1:19" x14ac:dyDescent="0.3">
      <c r="A1666" t="s">
        <v>4433</v>
      </c>
      <c r="B1666" s="2">
        <v>45487</v>
      </c>
      <c r="C1666" t="s">
        <v>59</v>
      </c>
      <c r="D1666" t="s">
        <v>60</v>
      </c>
      <c r="E1666" t="s">
        <v>4434</v>
      </c>
      <c r="F1666" t="s">
        <v>115</v>
      </c>
      <c r="G1666" t="s">
        <v>4435</v>
      </c>
      <c r="H1666" t="s">
        <v>80</v>
      </c>
      <c r="I1666" t="s">
        <v>26</v>
      </c>
      <c r="J1666">
        <v>2</v>
      </c>
      <c r="K1666">
        <v>391</v>
      </c>
      <c r="L1666">
        <v>782</v>
      </c>
      <c r="P1666">
        <v>0</v>
      </c>
      <c r="Q1666" t="s">
        <v>49</v>
      </c>
      <c r="R1666">
        <v>45</v>
      </c>
      <c r="S1666" t="s">
        <v>28</v>
      </c>
    </row>
    <row r="1667" spans="1:19" x14ac:dyDescent="0.3">
      <c r="A1667" t="s">
        <v>4436</v>
      </c>
      <c r="B1667" s="2">
        <v>45456</v>
      </c>
      <c r="C1667" t="s">
        <v>30</v>
      </c>
      <c r="D1667" t="s">
        <v>92</v>
      </c>
      <c r="E1667" t="s">
        <v>4437</v>
      </c>
      <c r="F1667" t="s">
        <v>746</v>
      </c>
      <c r="G1667" t="s">
        <v>4438</v>
      </c>
      <c r="H1667" t="s">
        <v>48</v>
      </c>
      <c r="I1667" t="s">
        <v>33</v>
      </c>
      <c r="J1667">
        <v>1</v>
      </c>
      <c r="K1667">
        <v>294</v>
      </c>
      <c r="L1667">
        <v>294</v>
      </c>
      <c r="M1667">
        <v>2.9</v>
      </c>
      <c r="N1667">
        <v>52</v>
      </c>
      <c r="O1667">
        <v>999</v>
      </c>
      <c r="P1667">
        <v>0</v>
      </c>
      <c r="Q1667" t="s">
        <v>34</v>
      </c>
      <c r="R1667">
        <v>44</v>
      </c>
      <c r="S1667" t="s">
        <v>28</v>
      </c>
    </row>
    <row r="1668" spans="1:19" x14ac:dyDescent="0.3">
      <c r="A1668" t="s">
        <v>4439</v>
      </c>
      <c r="B1668" s="2">
        <v>45473</v>
      </c>
      <c r="C1668" t="s">
        <v>30</v>
      </c>
      <c r="D1668" t="s">
        <v>60</v>
      </c>
      <c r="E1668" t="s">
        <v>4440</v>
      </c>
      <c r="F1668" t="s">
        <v>1469</v>
      </c>
      <c r="G1668" t="s">
        <v>4441</v>
      </c>
      <c r="H1668" t="s">
        <v>48</v>
      </c>
      <c r="I1668" t="s">
        <v>33</v>
      </c>
      <c r="J1668">
        <v>2</v>
      </c>
      <c r="K1668">
        <v>584</v>
      </c>
      <c r="L1668">
        <v>1168</v>
      </c>
      <c r="P1668">
        <v>0</v>
      </c>
      <c r="Q1668" t="s">
        <v>27</v>
      </c>
      <c r="R1668">
        <v>18</v>
      </c>
      <c r="S1668" t="s">
        <v>28</v>
      </c>
    </row>
    <row r="1669" spans="1:19" x14ac:dyDescent="0.3">
      <c r="A1669" t="s">
        <v>4442</v>
      </c>
      <c r="B1669" s="2">
        <v>45504</v>
      </c>
      <c r="C1669" t="s">
        <v>59</v>
      </c>
      <c r="D1669" t="s">
        <v>72</v>
      </c>
      <c r="E1669" t="s">
        <v>4443</v>
      </c>
      <c r="F1669" t="s">
        <v>87</v>
      </c>
      <c r="G1669" t="s">
        <v>2161</v>
      </c>
      <c r="H1669" t="s">
        <v>53</v>
      </c>
      <c r="I1669" t="s">
        <v>26</v>
      </c>
      <c r="J1669">
        <v>1</v>
      </c>
      <c r="K1669">
        <v>223</v>
      </c>
      <c r="L1669">
        <v>223</v>
      </c>
      <c r="M1669">
        <v>3.9</v>
      </c>
      <c r="N1669">
        <v>40</v>
      </c>
      <c r="P1669">
        <v>0</v>
      </c>
      <c r="Q1669" t="s">
        <v>34</v>
      </c>
      <c r="R1669">
        <v>36</v>
      </c>
      <c r="S1669" t="s">
        <v>41</v>
      </c>
    </row>
    <row r="1670" spans="1:19" x14ac:dyDescent="0.3">
      <c r="A1670" t="s">
        <v>4444</v>
      </c>
      <c r="B1670" s="2">
        <v>45433</v>
      </c>
      <c r="C1670" t="s">
        <v>71</v>
      </c>
      <c r="D1670" t="s">
        <v>36</v>
      </c>
      <c r="E1670" t="s">
        <v>4445</v>
      </c>
      <c r="F1670" t="s">
        <v>62</v>
      </c>
      <c r="G1670" t="s">
        <v>1999</v>
      </c>
      <c r="H1670" t="s">
        <v>48</v>
      </c>
      <c r="I1670" t="s">
        <v>33</v>
      </c>
      <c r="J1670">
        <v>1</v>
      </c>
      <c r="K1670">
        <v>211</v>
      </c>
      <c r="L1670">
        <v>211</v>
      </c>
      <c r="M1670">
        <v>4</v>
      </c>
      <c r="N1670">
        <v>43</v>
      </c>
      <c r="P1670">
        <v>0</v>
      </c>
      <c r="Q1670" t="s">
        <v>75</v>
      </c>
      <c r="R1670">
        <v>45</v>
      </c>
      <c r="S1670" t="s">
        <v>28</v>
      </c>
    </row>
    <row r="1671" spans="1:19" x14ac:dyDescent="0.3">
      <c r="A1671" t="s">
        <v>4446</v>
      </c>
      <c r="B1671" s="2">
        <v>45514</v>
      </c>
      <c r="C1671" t="s">
        <v>82</v>
      </c>
      <c r="D1671" t="s">
        <v>100</v>
      </c>
      <c r="E1671" t="s">
        <v>4447</v>
      </c>
      <c r="F1671" t="s">
        <v>450</v>
      </c>
      <c r="G1671" t="s">
        <v>154</v>
      </c>
      <c r="H1671" t="s">
        <v>80</v>
      </c>
      <c r="I1671" t="s">
        <v>26</v>
      </c>
      <c r="J1671">
        <v>1</v>
      </c>
      <c r="K1671">
        <v>305</v>
      </c>
      <c r="L1671">
        <v>305</v>
      </c>
      <c r="M1671">
        <v>2.7</v>
      </c>
      <c r="N1671">
        <v>49</v>
      </c>
      <c r="P1671">
        <v>0</v>
      </c>
      <c r="Q1671" t="s">
        <v>34</v>
      </c>
      <c r="R1671">
        <v>44</v>
      </c>
      <c r="S1671" t="s">
        <v>28</v>
      </c>
    </row>
    <row r="1672" spans="1:19" x14ac:dyDescent="0.3">
      <c r="A1672" t="s">
        <v>4448</v>
      </c>
      <c r="B1672" s="2">
        <v>45346</v>
      </c>
      <c r="C1672" t="s">
        <v>113</v>
      </c>
      <c r="D1672" t="s">
        <v>100</v>
      </c>
      <c r="E1672" t="s">
        <v>4449</v>
      </c>
      <c r="F1672" t="s">
        <v>46</v>
      </c>
      <c r="G1672" t="s">
        <v>4450</v>
      </c>
      <c r="H1672" t="s">
        <v>40</v>
      </c>
      <c r="I1672" t="s">
        <v>26</v>
      </c>
      <c r="J1672">
        <v>4</v>
      </c>
      <c r="K1672">
        <v>579</v>
      </c>
      <c r="L1672">
        <v>2316</v>
      </c>
      <c r="P1672">
        <v>0</v>
      </c>
      <c r="Q1672" t="s">
        <v>49</v>
      </c>
      <c r="R1672">
        <v>37</v>
      </c>
      <c r="S1672" t="s">
        <v>28</v>
      </c>
    </row>
    <row r="1673" spans="1:19" x14ac:dyDescent="0.3">
      <c r="A1673" t="s">
        <v>4451</v>
      </c>
      <c r="B1673" s="2">
        <v>45467</v>
      </c>
      <c r="C1673" t="s">
        <v>30</v>
      </c>
      <c r="D1673" t="s">
        <v>44</v>
      </c>
      <c r="E1673" t="s">
        <v>4452</v>
      </c>
      <c r="F1673" t="s">
        <v>824</v>
      </c>
      <c r="G1673" t="s">
        <v>4306</v>
      </c>
      <c r="H1673" t="s">
        <v>64</v>
      </c>
      <c r="I1673" t="s">
        <v>26</v>
      </c>
      <c r="J1673">
        <v>1</v>
      </c>
      <c r="K1673">
        <v>402</v>
      </c>
      <c r="L1673">
        <v>402</v>
      </c>
      <c r="M1673">
        <v>4.0999999999999996</v>
      </c>
      <c r="N1673">
        <v>49</v>
      </c>
      <c r="P1673">
        <v>0</v>
      </c>
      <c r="Q1673" t="s">
        <v>75</v>
      </c>
      <c r="R1673">
        <v>46</v>
      </c>
      <c r="S1673" t="s">
        <v>28</v>
      </c>
    </row>
    <row r="1674" spans="1:19" x14ac:dyDescent="0.3">
      <c r="A1674" t="s">
        <v>4453</v>
      </c>
      <c r="B1674" s="2">
        <v>45501</v>
      </c>
      <c r="C1674" t="s">
        <v>59</v>
      </c>
      <c r="D1674" t="s">
        <v>60</v>
      </c>
      <c r="E1674" t="s">
        <v>4454</v>
      </c>
      <c r="F1674" t="s">
        <v>192</v>
      </c>
      <c r="G1674" t="s">
        <v>3089</v>
      </c>
      <c r="H1674" t="s">
        <v>25</v>
      </c>
      <c r="I1674" t="s">
        <v>26</v>
      </c>
      <c r="J1674">
        <v>4</v>
      </c>
      <c r="K1674">
        <v>300</v>
      </c>
      <c r="L1674">
        <v>1200</v>
      </c>
      <c r="P1674">
        <v>0</v>
      </c>
      <c r="Q1674" t="s">
        <v>75</v>
      </c>
      <c r="R1674">
        <v>47</v>
      </c>
      <c r="S1674" t="s">
        <v>41</v>
      </c>
    </row>
    <row r="1675" spans="1:19" x14ac:dyDescent="0.3">
      <c r="A1675" t="s">
        <v>4455</v>
      </c>
      <c r="B1675" s="2">
        <v>45298</v>
      </c>
      <c r="C1675" t="s">
        <v>43</v>
      </c>
      <c r="D1675" t="s">
        <v>60</v>
      </c>
      <c r="E1675" t="s">
        <v>4456</v>
      </c>
      <c r="F1675" t="s">
        <v>102</v>
      </c>
      <c r="G1675" t="s">
        <v>2685</v>
      </c>
      <c r="H1675" t="s">
        <v>80</v>
      </c>
      <c r="I1675" t="s">
        <v>26</v>
      </c>
      <c r="J1675">
        <v>1</v>
      </c>
      <c r="K1675">
        <v>289</v>
      </c>
      <c r="L1675">
        <v>289</v>
      </c>
      <c r="M1675">
        <v>4.5</v>
      </c>
      <c r="N1675">
        <v>41</v>
      </c>
      <c r="P1675">
        <v>0</v>
      </c>
      <c r="Q1675" t="s">
        <v>27</v>
      </c>
      <c r="R1675">
        <v>34</v>
      </c>
      <c r="S1675" t="s">
        <v>28</v>
      </c>
    </row>
    <row r="1676" spans="1:19" x14ac:dyDescent="0.3">
      <c r="A1676" t="s">
        <v>4457</v>
      </c>
      <c r="B1676" s="2">
        <v>45365</v>
      </c>
      <c r="C1676" t="s">
        <v>55</v>
      </c>
      <c r="D1676" t="s">
        <v>92</v>
      </c>
      <c r="E1676" t="s">
        <v>4458</v>
      </c>
      <c r="F1676" t="s">
        <v>115</v>
      </c>
      <c r="G1676" t="s">
        <v>4459</v>
      </c>
      <c r="H1676" t="s">
        <v>80</v>
      </c>
      <c r="I1676" t="s">
        <v>26</v>
      </c>
      <c r="J1676">
        <v>1</v>
      </c>
      <c r="K1676">
        <v>306</v>
      </c>
      <c r="L1676">
        <v>306</v>
      </c>
      <c r="M1676">
        <v>3</v>
      </c>
      <c r="N1676">
        <v>43</v>
      </c>
      <c r="P1676">
        <v>0</v>
      </c>
      <c r="Q1676" t="s">
        <v>49</v>
      </c>
      <c r="R1676">
        <v>22</v>
      </c>
      <c r="S1676" t="s">
        <v>28</v>
      </c>
    </row>
    <row r="1677" spans="1:19" x14ac:dyDescent="0.3">
      <c r="A1677" t="s">
        <v>4460</v>
      </c>
      <c r="B1677" s="2">
        <v>45298</v>
      </c>
      <c r="C1677" t="s">
        <v>43</v>
      </c>
      <c r="D1677" t="s">
        <v>60</v>
      </c>
      <c r="E1677" t="s">
        <v>4461</v>
      </c>
      <c r="F1677" t="s">
        <v>115</v>
      </c>
      <c r="G1677" t="s">
        <v>4462</v>
      </c>
      <c r="H1677" t="s">
        <v>80</v>
      </c>
      <c r="I1677" t="s">
        <v>26</v>
      </c>
      <c r="J1677">
        <v>1</v>
      </c>
      <c r="K1677">
        <v>294</v>
      </c>
      <c r="L1677">
        <v>294</v>
      </c>
      <c r="P1677">
        <v>0</v>
      </c>
      <c r="Q1677" t="s">
        <v>75</v>
      </c>
      <c r="R1677">
        <v>43</v>
      </c>
      <c r="S1677" t="s">
        <v>41</v>
      </c>
    </row>
    <row r="1678" spans="1:19" x14ac:dyDescent="0.3">
      <c r="A1678" t="s">
        <v>4463</v>
      </c>
      <c r="B1678" s="2">
        <v>45452</v>
      </c>
      <c r="C1678" t="s">
        <v>30</v>
      </c>
      <c r="D1678" t="s">
        <v>60</v>
      </c>
      <c r="E1678" t="s">
        <v>4464</v>
      </c>
      <c r="F1678" t="s">
        <v>115</v>
      </c>
      <c r="G1678" t="s">
        <v>344</v>
      </c>
      <c r="H1678" t="s">
        <v>40</v>
      </c>
      <c r="I1678" t="s">
        <v>26</v>
      </c>
      <c r="J1678">
        <v>2</v>
      </c>
      <c r="K1678">
        <v>341</v>
      </c>
      <c r="L1678">
        <v>682</v>
      </c>
      <c r="M1678">
        <v>4.2</v>
      </c>
      <c r="N1678">
        <v>45</v>
      </c>
      <c r="P1678">
        <v>0</v>
      </c>
      <c r="Q1678" t="s">
        <v>49</v>
      </c>
      <c r="R1678">
        <v>20</v>
      </c>
      <c r="S1678" t="s">
        <v>41</v>
      </c>
    </row>
    <row r="1679" spans="1:19" x14ac:dyDescent="0.3">
      <c r="A1679" t="s">
        <v>4465</v>
      </c>
      <c r="B1679" s="2">
        <v>45442</v>
      </c>
      <c r="C1679" t="s">
        <v>71</v>
      </c>
      <c r="D1679" t="s">
        <v>92</v>
      </c>
      <c r="E1679" t="s">
        <v>4466</v>
      </c>
      <c r="F1679" t="s">
        <v>450</v>
      </c>
      <c r="G1679" t="s">
        <v>4467</v>
      </c>
      <c r="H1679" t="s">
        <v>40</v>
      </c>
      <c r="I1679" t="s">
        <v>26</v>
      </c>
      <c r="J1679">
        <v>4</v>
      </c>
      <c r="K1679">
        <v>352</v>
      </c>
      <c r="L1679">
        <v>1408</v>
      </c>
      <c r="O1679">
        <v>999</v>
      </c>
      <c r="P1679">
        <v>0</v>
      </c>
      <c r="Q1679" t="s">
        <v>34</v>
      </c>
      <c r="R1679">
        <v>19</v>
      </c>
      <c r="S1679" t="s">
        <v>41</v>
      </c>
    </row>
    <row r="1680" spans="1:19" x14ac:dyDescent="0.3">
      <c r="A1680" t="s">
        <v>4468</v>
      </c>
      <c r="B1680" s="2">
        <v>45376</v>
      </c>
      <c r="C1680" t="s">
        <v>55</v>
      </c>
      <c r="D1680" t="s">
        <v>44</v>
      </c>
      <c r="E1680" t="s">
        <v>4469</v>
      </c>
      <c r="F1680" t="s">
        <v>192</v>
      </c>
      <c r="G1680" t="s">
        <v>2410</v>
      </c>
      <c r="H1680" t="s">
        <v>48</v>
      </c>
      <c r="I1680" t="s">
        <v>33</v>
      </c>
      <c r="J1680">
        <v>4</v>
      </c>
      <c r="K1680">
        <v>281</v>
      </c>
      <c r="L1680">
        <v>1124</v>
      </c>
      <c r="M1680">
        <v>4.4000000000000004</v>
      </c>
      <c r="N1680">
        <v>46</v>
      </c>
      <c r="P1680">
        <v>0</v>
      </c>
      <c r="Q1680" t="s">
        <v>49</v>
      </c>
      <c r="R1680">
        <v>48</v>
      </c>
      <c r="S1680" t="s">
        <v>28</v>
      </c>
    </row>
    <row r="1681" spans="1:19" x14ac:dyDescent="0.3">
      <c r="A1681" t="s">
        <v>4470</v>
      </c>
      <c r="B1681" s="2">
        <v>45438</v>
      </c>
      <c r="C1681" t="s">
        <v>71</v>
      </c>
      <c r="D1681" t="s">
        <v>60</v>
      </c>
      <c r="E1681" t="s">
        <v>4471</v>
      </c>
      <c r="F1681" t="s">
        <v>192</v>
      </c>
      <c r="G1681" t="s">
        <v>441</v>
      </c>
      <c r="H1681" t="s">
        <v>53</v>
      </c>
      <c r="I1681" t="s">
        <v>26</v>
      </c>
      <c r="J1681">
        <v>1</v>
      </c>
      <c r="K1681">
        <v>540</v>
      </c>
      <c r="L1681">
        <v>540</v>
      </c>
      <c r="P1681">
        <v>0</v>
      </c>
      <c r="Q1681" t="s">
        <v>75</v>
      </c>
      <c r="R1681">
        <v>20</v>
      </c>
      <c r="S1681" t="s">
        <v>41</v>
      </c>
    </row>
    <row r="1682" spans="1:19" x14ac:dyDescent="0.3">
      <c r="A1682" t="s">
        <v>4472</v>
      </c>
      <c r="B1682" s="2">
        <v>45403</v>
      </c>
      <c r="C1682" t="s">
        <v>20</v>
      </c>
      <c r="D1682" t="s">
        <v>60</v>
      </c>
      <c r="E1682" t="s">
        <v>4473</v>
      </c>
      <c r="F1682" t="s">
        <v>46</v>
      </c>
      <c r="G1682" t="s">
        <v>154</v>
      </c>
      <c r="H1682" t="s">
        <v>80</v>
      </c>
      <c r="I1682" t="s">
        <v>26</v>
      </c>
      <c r="J1682">
        <v>1</v>
      </c>
      <c r="K1682">
        <v>253</v>
      </c>
      <c r="L1682">
        <v>253</v>
      </c>
      <c r="M1682">
        <v>3.7</v>
      </c>
      <c r="N1682">
        <v>40</v>
      </c>
      <c r="O1682">
        <v>100</v>
      </c>
      <c r="P1682">
        <v>20</v>
      </c>
      <c r="Q1682" t="s">
        <v>27</v>
      </c>
      <c r="R1682">
        <v>25</v>
      </c>
      <c r="S1682" t="s">
        <v>28</v>
      </c>
    </row>
    <row r="1683" spans="1:19" x14ac:dyDescent="0.3">
      <c r="A1683" t="s">
        <v>4474</v>
      </c>
      <c r="B1683" s="2">
        <v>45416</v>
      </c>
      <c r="C1683" t="s">
        <v>71</v>
      </c>
      <c r="D1683" t="s">
        <v>100</v>
      </c>
      <c r="E1683" t="s">
        <v>4475</v>
      </c>
      <c r="F1683" t="s">
        <v>192</v>
      </c>
      <c r="G1683" t="s">
        <v>4476</v>
      </c>
      <c r="H1683" t="s">
        <v>80</v>
      </c>
      <c r="I1683" t="s">
        <v>26</v>
      </c>
      <c r="J1683">
        <v>2</v>
      </c>
      <c r="K1683">
        <v>510</v>
      </c>
      <c r="L1683">
        <v>1020</v>
      </c>
      <c r="P1683">
        <v>0</v>
      </c>
      <c r="Q1683" t="s">
        <v>75</v>
      </c>
      <c r="R1683">
        <v>33</v>
      </c>
      <c r="S1683" t="s">
        <v>41</v>
      </c>
    </row>
    <row r="1684" spans="1:19" x14ac:dyDescent="0.3">
      <c r="A1684" t="s">
        <v>4477</v>
      </c>
      <c r="B1684" s="2">
        <v>45438</v>
      </c>
      <c r="C1684" t="s">
        <v>71</v>
      </c>
      <c r="D1684" t="s">
        <v>60</v>
      </c>
      <c r="E1684" t="s">
        <v>4478</v>
      </c>
      <c r="F1684" t="s">
        <v>78</v>
      </c>
      <c r="G1684" t="s">
        <v>4479</v>
      </c>
      <c r="H1684" t="s">
        <v>80</v>
      </c>
      <c r="I1684" t="s">
        <v>26</v>
      </c>
      <c r="J1684">
        <v>2</v>
      </c>
      <c r="K1684">
        <v>599</v>
      </c>
      <c r="L1684">
        <v>1198</v>
      </c>
      <c r="M1684">
        <v>3.8</v>
      </c>
      <c r="N1684">
        <v>54</v>
      </c>
      <c r="P1684">
        <v>0</v>
      </c>
      <c r="Q1684" t="s">
        <v>49</v>
      </c>
      <c r="R1684">
        <v>23</v>
      </c>
      <c r="S1684" t="s">
        <v>28</v>
      </c>
    </row>
    <row r="1685" spans="1:19" x14ac:dyDescent="0.3">
      <c r="A1685" t="s">
        <v>4480</v>
      </c>
      <c r="B1685" s="2">
        <v>45327</v>
      </c>
      <c r="C1685" t="s">
        <v>113</v>
      </c>
      <c r="D1685" t="s">
        <v>44</v>
      </c>
      <c r="E1685" t="s">
        <v>4481</v>
      </c>
      <c r="F1685" t="s">
        <v>1469</v>
      </c>
      <c r="G1685" t="s">
        <v>4482</v>
      </c>
      <c r="H1685" t="s">
        <v>40</v>
      </c>
      <c r="I1685" t="s">
        <v>26</v>
      </c>
      <c r="J1685">
        <v>2</v>
      </c>
      <c r="K1685">
        <v>343</v>
      </c>
      <c r="L1685">
        <v>686</v>
      </c>
      <c r="M1685">
        <v>3.8</v>
      </c>
      <c r="N1685">
        <v>42</v>
      </c>
      <c r="P1685">
        <v>0</v>
      </c>
      <c r="Q1685" t="s">
        <v>49</v>
      </c>
      <c r="R1685">
        <v>30</v>
      </c>
      <c r="S1685" t="s">
        <v>41</v>
      </c>
    </row>
    <row r="1686" spans="1:19" x14ac:dyDescent="0.3">
      <c r="A1686" t="s">
        <v>4483</v>
      </c>
      <c r="B1686" s="2">
        <v>45320</v>
      </c>
      <c r="C1686" t="s">
        <v>43</v>
      </c>
      <c r="D1686" t="s">
        <v>44</v>
      </c>
      <c r="E1686" t="s">
        <v>4484</v>
      </c>
      <c r="F1686" t="s">
        <v>115</v>
      </c>
      <c r="G1686" t="s">
        <v>4485</v>
      </c>
      <c r="H1686" t="s">
        <v>64</v>
      </c>
      <c r="I1686" t="s">
        <v>26</v>
      </c>
      <c r="J1686">
        <v>4</v>
      </c>
      <c r="K1686">
        <v>272</v>
      </c>
      <c r="L1686">
        <v>1088</v>
      </c>
      <c r="P1686">
        <v>0</v>
      </c>
      <c r="Q1686" t="s">
        <v>75</v>
      </c>
      <c r="R1686">
        <v>47</v>
      </c>
      <c r="S1686" t="s">
        <v>28</v>
      </c>
    </row>
    <row r="1687" spans="1:19" x14ac:dyDescent="0.3">
      <c r="A1687" t="s">
        <v>4486</v>
      </c>
      <c r="B1687" s="2">
        <v>45479</v>
      </c>
      <c r="C1687" t="s">
        <v>59</v>
      </c>
      <c r="D1687" t="s">
        <v>100</v>
      </c>
      <c r="E1687" t="s">
        <v>4487</v>
      </c>
      <c r="F1687" t="s">
        <v>115</v>
      </c>
      <c r="G1687" t="s">
        <v>3089</v>
      </c>
      <c r="H1687" t="s">
        <v>25</v>
      </c>
      <c r="I1687" t="s">
        <v>26</v>
      </c>
      <c r="J1687">
        <v>4</v>
      </c>
      <c r="K1687">
        <v>152</v>
      </c>
      <c r="L1687">
        <v>608</v>
      </c>
      <c r="P1687">
        <v>0</v>
      </c>
      <c r="Q1687" t="s">
        <v>49</v>
      </c>
      <c r="R1687">
        <v>40</v>
      </c>
      <c r="S1687" t="s">
        <v>41</v>
      </c>
    </row>
    <row r="1688" spans="1:19" x14ac:dyDescent="0.3">
      <c r="A1688" t="s">
        <v>4488</v>
      </c>
      <c r="B1688" s="2">
        <v>45373</v>
      </c>
      <c r="C1688" t="s">
        <v>55</v>
      </c>
      <c r="D1688" t="s">
        <v>21</v>
      </c>
      <c r="E1688" t="s">
        <v>4489</v>
      </c>
      <c r="F1688" t="s">
        <v>115</v>
      </c>
      <c r="G1688" t="s">
        <v>4490</v>
      </c>
      <c r="H1688" t="s">
        <v>48</v>
      </c>
      <c r="I1688" t="s">
        <v>33</v>
      </c>
      <c r="J1688">
        <v>4</v>
      </c>
      <c r="K1688">
        <v>174</v>
      </c>
      <c r="L1688">
        <v>696</v>
      </c>
      <c r="M1688">
        <v>3.9</v>
      </c>
      <c r="N1688">
        <v>44</v>
      </c>
      <c r="P1688">
        <v>0</v>
      </c>
      <c r="Q1688" t="s">
        <v>34</v>
      </c>
      <c r="R1688">
        <v>45</v>
      </c>
      <c r="S1688" t="s">
        <v>28</v>
      </c>
    </row>
    <row r="1689" spans="1:19" x14ac:dyDescent="0.3">
      <c r="A1689" t="s">
        <v>4491</v>
      </c>
      <c r="B1689" s="2">
        <v>45293</v>
      </c>
      <c r="C1689" t="s">
        <v>43</v>
      </c>
      <c r="D1689" t="s">
        <v>36</v>
      </c>
      <c r="E1689" t="s">
        <v>4492</v>
      </c>
      <c r="F1689" t="s">
        <v>713</v>
      </c>
      <c r="G1689" t="s">
        <v>1495</v>
      </c>
      <c r="H1689" t="s">
        <v>80</v>
      </c>
      <c r="I1689" t="s">
        <v>26</v>
      </c>
      <c r="J1689">
        <v>1</v>
      </c>
      <c r="K1689">
        <v>561</v>
      </c>
      <c r="L1689">
        <v>561</v>
      </c>
      <c r="P1689">
        <v>0</v>
      </c>
      <c r="Q1689" t="s">
        <v>75</v>
      </c>
      <c r="R1689">
        <v>39</v>
      </c>
      <c r="S1689" t="s">
        <v>28</v>
      </c>
    </row>
    <row r="1690" spans="1:19" x14ac:dyDescent="0.3">
      <c r="A1690" t="s">
        <v>4493</v>
      </c>
      <c r="B1690" s="2">
        <v>45420</v>
      </c>
      <c r="C1690" t="s">
        <v>71</v>
      </c>
      <c r="D1690" t="s">
        <v>72</v>
      </c>
      <c r="E1690" t="s">
        <v>4494</v>
      </c>
      <c r="F1690" t="s">
        <v>192</v>
      </c>
      <c r="G1690" t="s">
        <v>4495</v>
      </c>
      <c r="H1690" t="s">
        <v>40</v>
      </c>
      <c r="I1690" t="s">
        <v>26</v>
      </c>
      <c r="J1690">
        <v>4</v>
      </c>
      <c r="K1690">
        <v>126</v>
      </c>
      <c r="L1690">
        <v>504</v>
      </c>
      <c r="P1690">
        <v>0</v>
      </c>
      <c r="Q1690" t="s">
        <v>27</v>
      </c>
      <c r="R1690">
        <v>39</v>
      </c>
      <c r="S1690" t="s">
        <v>28</v>
      </c>
    </row>
    <row r="1691" spans="1:19" x14ac:dyDescent="0.3">
      <c r="A1691" t="s">
        <v>4496</v>
      </c>
      <c r="B1691" s="2">
        <v>45338</v>
      </c>
      <c r="C1691" t="s">
        <v>113</v>
      </c>
      <c r="D1691" t="s">
        <v>21</v>
      </c>
      <c r="E1691" t="s">
        <v>4497</v>
      </c>
      <c r="F1691" t="s">
        <v>192</v>
      </c>
      <c r="G1691" t="s">
        <v>201</v>
      </c>
      <c r="H1691" t="s">
        <v>80</v>
      </c>
      <c r="I1691" t="s">
        <v>26</v>
      </c>
      <c r="J1691">
        <v>3</v>
      </c>
      <c r="K1691">
        <v>363</v>
      </c>
      <c r="L1691">
        <v>1089</v>
      </c>
      <c r="M1691">
        <v>4.0999999999999996</v>
      </c>
      <c r="N1691">
        <v>46</v>
      </c>
      <c r="P1691">
        <v>0</v>
      </c>
      <c r="Q1691" t="s">
        <v>75</v>
      </c>
      <c r="R1691">
        <v>33</v>
      </c>
      <c r="S1691" t="s">
        <v>28</v>
      </c>
    </row>
    <row r="1692" spans="1:19" x14ac:dyDescent="0.3">
      <c r="A1692" t="s">
        <v>4498</v>
      </c>
      <c r="B1692" s="2">
        <v>45488</v>
      </c>
      <c r="C1692" t="s">
        <v>59</v>
      </c>
      <c r="D1692" t="s">
        <v>44</v>
      </c>
      <c r="E1692" t="s">
        <v>4499</v>
      </c>
      <c r="F1692" t="s">
        <v>4500</v>
      </c>
      <c r="G1692" t="s">
        <v>4501</v>
      </c>
      <c r="H1692" t="s">
        <v>64</v>
      </c>
      <c r="I1692" t="s">
        <v>26</v>
      </c>
      <c r="J1692">
        <v>3</v>
      </c>
      <c r="K1692">
        <v>432</v>
      </c>
      <c r="L1692">
        <v>1296</v>
      </c>
      <c r="M1692">
        <v>4.2</v>
      </c>
      <c r="N1692">
        <v>61</v>
      </c>
      <c r="P1692">
        <v>0</v>
      </c>
      <c r="Q1692" t="s">
        <v>34</v>
      </c>
      <c r="R1692">
        <v>45</v>
      </c>
      <c r="S1692" t="s">
        <v>28</v>
      </c>
    </row>
    <row r="1693" spans="1:19" x14ac:dyDescent="0.3">
      <c r="A1693" t="s">
        <v>4502</v>
      </c>
      <c r="B1693" s="2">
        <v>45439</v>
      </c>
      <c r="C1693" t="s">
        <v>71</v>
      </c>
      <c r="D1693" t="s">
        <v>44</v>
      </c>
      <c r="E1693" t="s">
        <v>4503</v>
      </c>
      <c r="F1693" t="s">
        <v>115</v>
      </c>
      <c r="G1693" t="s">
        <v>4504</v>
      </c>
      <c r="H1693" t="s">
        <v>80</v>
      </c>
      <c r="I1693" t="s">
        <v>26</v>
      </c>
      <c r="J1693">
        <v>2</v>
      </c>
      <c r="K1693">
        <v>245</v>
      </c>
      <c r="L1693">
        <v>490</v>
      </c>
      <c r="P1693">
        <v>0</v>
      </c>
      <c r="Q1693" t="s">
        <v>34</v>
      </c>
      <c r="R1693">
        <v>33</v>
      </c>
      <c r="S1693" t="s">
        <v>28</v>
      </c>
    </row>
    <row r="1694" spans="1:19" x14ac:dyDescent="0.3">
      <c r="A1694" t="s">
        <v>4505</v>
      </c>
      <c r="B1694" s="2">
        <v>45302</v>
      </c>
      <c r="C1694" t="s">
        <v>43</v>
      </c>
      <c r="D1694" t="s">
        <v>92</v>
      </c>
      <c r="E1694" t="s">
        <v>4506</v>
      </c>
      <c r="F1694" t="s">
        <v>713</v>
      </c>
      <c r="G1694" t="s">
        <v>1353</v>
      </c>
      <c r="H1694" t="s">
        <v>48</v>
      </c>
      <c r="I1694" t="s">
        <v>33</v>
      </c>
      <c r="J1694">
        <v>4</v>
      </c>
      <c r="K1694">
        <v>131</v>
      </c>
      <c r="L1694">
        <v>524</v>
      </c>
      <c r="P1694">
        <v>0</v>
      </c>
      <c r="Q1694" t="s">
        <v>34</v>
      </c>
      <c r="R1694">
        <v>20</v>
      </c>
      <c r="S1694" t="s">
        <v>28</v>
      </c>
    </row>
    <row r="1695" spans="1:19" x14ac:dyDescent="0.3">
      <c r="A1695" t="s">
        <v>4507</v>
      </c>
      <c r="B1695" s="2">
        <v>45525</v>
      </c>
      <c r="C1695" t="s">
        <v>82</v>
      </c>
      <c r="D1695" t="s">
        <v>72</v>
      </c>
      <c r="E1695" t="s">
        <v>4508</v>
      </c>
      <c r="F1695" t="s">
        <v>450</v>
      </c>
      <c r="G1695" t="s">
        <v>154</v>
      </c>
      <c r="H1695" t="s">
        <v>80</v>
      </c>
      <c r="I1695" t="s">
        <v>26</v>
      </c>
      <c r="J1695">
        <v>3</v>
      </c>
      <c r="K1695">
        <v>135</v>
      </c>
      <c r="L1695">
        <v>405</v>
      </c>
      <c r="P1695">
        <v>0</v>
      </c>
      <c r="Q1695" t="s">
        <v>34</v>
      </c>
      <c r="R1695">
        <v>45</v>
      </c>
      <c r="S1695" t="s">
        <v>28</v>
      </c>
    </row>
    <row r="1696" spans="1:19" x14ac:dyDescent="0.3">
      <c r="A1696" t="s">
        <v>4509</v>
      </c>
      <c r="B1696" s="2">
        <v>45421</v>
      </c>
      <c r="C1696" t="s">
        <v>71</v>
      </c>
      <c r="D1696" t="s">
        <v>92</v>
      </c>
      <c r="E1696" t="s">
        <v>4510</v>
      </c>
      <c r="F1696" t="s">
        <v>956</v>
      </c>
      <c r="G1696" t="s">
        <v>599</v>
      </c>
      <c r="H1696" t="s">
        <v>64</v>
      </c>
      <c r="I1696" t="s">
        <v>26</v>
      </c>
      <c r="J1696">
        <v>2</v>
      </c>
      <c r="K1696">
        <v>327</v>
      </c>
      <c r="L1696">
        <v>654</v>
      </c>
      <c r="M1696">
        <v>4.0999999999999996</v>
      </c>
      <c r="N1696">
        <v>56</v>
      </c>
      <c r="P1696">
        <v>0</v>
      </c>
      <c r="Q1696" t="s">
        <v>34</v>
      </c>
      <c r="R1696">
        <v>30</v>
      </c>
      <c r="S1696" t="s">
        <v>41</v>
      </c>
    </row>
    <row r="1697" spans="1:19" x14ac:dyDescent="0.3">
      <c r="A1697" t="s">
        <v>4511</v>
      </c>
      <c r="B1697" s="2">
        <v>45486</v>
      </c>
      <c r="C1697" t="s">
        <v>59</v>
      </c>
      <c r="D1697" t="s">
        <v>100</v>
      </c>
      <c r="E1697" t="s">
        <v>4512</v>
      </c>
      <c r="F1697" t="s">
        <v>192</v>
      </c>
      <c r="G1697" t="s">
        <v>201</v>
      </c>
      <c r="H1697" t="s">
        <v>80</v>
      </c>
      <c r="I1697" t="s">
        <v>26</v>
      </c>
      <c r="J1697">
        <v>4</v>
      </c>
      <c r="K1697">
        <v>162</v>
      </c>
      <c r="L1697">
        <v>648</v>
      </c>
      <c r="P1697">
        <v>0</v>
      </c>
      <c r="Q1697" t="s">
        <v>27</v>
      </c>
      <c r="R1697">
        <v>31</v>
      </c>
      <c r="S1697" t="s">
        <v>28</v>
      </c>
    </row>
    <row r="1698" spans="1:19" x14ac:dyDescent="0.3">
      <c r="A1698" t="s">
        <v>4513</v>
      </c>
      <c r="B1698" s="2">
        <v>45506</v>
      </c>
      <c r="C1698" t="s">
        <v>82</v>
      </c>
      <c r="D1698" t="s">
        <v>21</v>
      </c>
      <c r="E1698" t="s">
        <v>4514</v>
      </c>
      <c r="F1698" t="s">
        <v>960</v>
      </c>
      <c r="G1698" t="s">
        <v>4515</v>
      </c>
      <c r="H1698" t="s">
        <v>53</v>
      </c>
      <c r="I1698" t="s">
        <v>26</v>
      </c>
      <c r="J1698">
        <v>1</v>
      </c>
      <c r="K1698">
        <v>492</v>
      </c>
      <c r="L1698">
        <v>492</v>
      </c>
      <c r="P1698">
        <v>0</v>
      </c>
      <c r="Q1698" t="s">
        <v>49</v>
      </c>
      <c r="R1698">
        <v>25</v>
      </c>
      <c r="S1698" t="s">
        <v>28</v>
      </c>
    </row>
    <row r="1699" spans="1:19" x14ac:dyDescent="0.3">
      <c r="A1699" t="s">
        <v>4516</v>
      </c>
      <c r="B1699" s="2">
        <v>45410</v>
      </c>
      <c r="C1699" t="s">
        <v>20</v>
      </c>
      <c r="D1699" t="s">
        <v>60</v>
      </c>
      <c r="E1699" t="s">
        <v>4517</v>
      </c>
      <c r="F1699" t="s">
        <v>192</v>
      </c>
      <c r="G1699" t="s">
        <v>4518</v>
      </c>
      <c r="H1699" t="s">
        <v>25</v>
      </c>
      <c r="I1699" t="s">
        <v>26</v>
      </c>
      <c r="J1699">
        <v>3</v>
      </c>
      <c r="K1699">
        <v>580</v>
      </c>
      <c r="L1699">
        <v>1740</v>
      </c>
      <c r="P1699">
        <v>0</v>
      </c>
      <c r="Q1699" t="s">
        <v>34</v>
      </c>
      <c r="R1699">
        <v>29</v>
      </c>
      <c r="S1699" t="s">
        <v>41</v>
      </c>
    </row>
    <row r="1700" spans="1:19" x14ac:dyDescent="0.3">
      <c r="A1700" t="s">
        <v>4519</v>
      </c>
      <c r="B1700" s="2">
        <v>45431</v>
      </c>
      <c r="C1700" t="s">
        <v>71</v>
      </c>
      <c r="D1700" t="s">
        <v>60</v>
      </c>
      <c r="E1700" t="s">
        <v>4520</v>
      </c>
      <c r="F1700" t="s">
        <v>115</v>
      </c>
      <c r="G1700" t="s">
        <v>4521</v>
      </c>
      <c r="H1700" t="s">
        <v>80</v>
      </c>
      <c r="I1700" t="s">
        <v>26</v>
      </c>
      <c r="J1700">
        <v>1</v>
      </c>
      <c r="K1700">
        <v>254</v>
      </c>
      <c r="L1700">
        <v>254</v>
      </c>
      <c r="P1700">
        <v>0</v>
      </c>
      <c r="Q1700" t="s">
        <v>34</v>
      </c>
      <c r="R1700">
        <v>40</v>
      </c>
      <c r="S1700" t="s">
        <v>28</v>
      </c>
    </row>
    <row r="1701" spans="1:19" x14ac:dyDescent="0.3">
      <c r="A1701" t="s">
        <v>4522</v>
      </c>
      <c r="B1701" s="2">
        <v>45311</v>
      </c>
      <c r="C1701" t="s">
        <v>43</v>
      </c>
      <c r="D1701" t="s">
        <v>100</v>
      </c>
      <c r="E1701" t="s">
        <v>4523</v>
      </c>
      <c r="F1701" t="s">
        <v>824</v>
      </c>
      <c r="G1701" t="s">
        <v>1937</v>
      </c>
      <c r="H1701" t="s">
        <v>80</v>
      </c>
      <c r="I1701" t="s">
        <v>26</v>
      </c>
      <c r="J1701">
        <v>4</v>
      </c>
      <c r="K1701">
        <v>347</v>
      </c>
      <c r="L1701">
        <v>1388</v>
      </c>
      <c r="M1701">
        <v>4.9000000000000004</v>
      </c>
      <c r="N1701">
        <v>54</v>
      </c>
      <c r="P1701">
        <v>0</v>
      </c>
      <c r="Q1701" t="s">
        <v>75</v>
      </c>
      <c r="R1701">
        <v>40</v>
      </c>
      <c r="S1701" t="s">
        <v>41</v>
      </c>
    </row>
    <row r="1702" spans="1:19" x14ac:dyDescent="0.3">
      <c r="A1702" t="s">
        <v>4524</v>
      </c>
      <c r="B1702" s="2">
        <v>45296</v>
      </c>
      <c r="C1702" t="s">
        <v>43</v>
      </c>
      <c r="D1702" t="s">
        <v>21</v>
      </c>
      <c r="E1702" t="s">
        <v>4525</v>
      </c>
      <c r="F1702" t="s">
        <v>578</v>
      </c>
      <c r="G1702" t="s">
        <v>1907</v>
      </c>
      <c r="H1702" t="s">
        <v>80</v>
      </c>
      <c r="I1702" t="s">
        <v>26</v>
      </c>
      <c r="J1702">
        <v>3</v>
      </c>
      <c r="K1702">
        <v>230</v>
      </c>
      <c r="L1702">
        <v>690</v>
      </c>
      <c r="M1702">
        <v>3.1</v>
      </c>
      <c r="N1702">
        <v>45</v>
      </c>
      <c r="P1702">
        <v>0</v>
      </c>
      <c r="Q1702" t="s">
        <v>27</v>
      </c>
      <c r="R1702">
        <v>39</v>
      </c>
      <c r="S1702" t="s">
        <v>28</v>
      </c>
    </row>
    <row r="1703" spans="1:19" x14ac:dyDescent="0.3">
      <c r="A1703" t="s">
        <v>4526</v>
      </c>
      <c r="B1703" s="2">
        <v>45328</v>
      </c>
      <c r="C1703" t="s">
        <v>113</v>
      </c>
      <c r="D1703" t="s">
        <v>36</v>
      </c>
      <c r="E1703" t="s">
        <v>4527</v>
      </c>
      <c r="F1703" t="s">
        <v>713</v>
      </c>
      <c r="G1703" t="s">
        <v>2685</v>
      </c>
      <c r="H1703" t="s">
        <v>80</v>
      </c>
      <c r="I1703" t="s">
        <v>26</v>
      </c>
      <c r="J1703">
        <v>4</v>
      </c>
      <c r="K1703">
        <v>426</v>
      </c>
      <c r="L1703">
        <v>1704</v>
      </c>
      <c r="P1703">
        <v>0</v>
      </c>
      <c r="Q1703" t="s">
        <v>27</v>
      </c>
      <c r="R1703">
        <v>38</v>
      </c>
      <c r="S1703" t="s">
        <v>41</v>
      </c>
    </row>
    <row r="1704" spans="1:19" x14ac:dyDescent="0.3">
      <c r="A1704" t="s">
        <v>4528</v>
      </c>
      <c r="B1704" s="2">
        <v>45457</v>
      </c>
      <c r="C1704" t="s">
        <v>30</v>
      </c>
      <c r="D1704" t="s">
        <v>21</v>
      </c>
      <c r="E1704" t="s">
        <v>4529</v>
      </c>
      <c r="F1704" t="s">
        <v>192</v>
      </c>
      <c r="G1704" t="s">
        <v>154</v>
      </c>
      <c r="H1704" t="s">
        <v>80</v>
      </c>
      <c r="I1704" t="s">
        <v>26</v>
      </c>
      <c r="J1704">
        <v>1</v>
      </c>
      <c r="K1704">
        <v>576</v>
      </c>
      <c r="L1704">
        <v>576</v>
      </c>
      <c r="P1704">
        <v>0</v>
      </c>
      <c r="Q1704" t="s">
        <v>49</v>
      </c>
      <c r="R1704">
        <v>43</v>
      </c>
      <c r="S1704" t="s">
        <v>41</v>
      </c>
    </row>
    <row r="1705" spans="1:19" x14ac:dyDescent="0.3">
      <c r="A1705" t="s">
        <v>4530</v>
      </c>
      <c r="B1705" s="2">
        <v>45513</v>
      </c>
      <c r="C1705" t="s">
        <v>82</v>
      </c>
      <c r="D1705" t="s">
        <v>21</v>
      </c>
      <c r="E1705" t="s">
        <v>4531</v>
      </c>
      <c r="F1705" t="s">
        <v>78</v>
      </c>
      <c r="G1705" t="s">
        <v>4532</v>
      </c>
      <c r="H1705" t="s">
        <v>40</v>
      </c>
      <c r="I1705" t="s">
        <v>26</v>
      </c>
      <c r="J1705">
        <v>3</v>
      </c>
      <c r="K1705">
        <v>279</v>
      </c>
      <c r="L1705">
        <v>837</v>
      </c>
      <c r="M1705">
        <v>4.2</v>
      </c>
      <c r="O1705">
        <v>100</v>
      </c>
      <c r="P1705">
        <v>50</v>
      </c>
      <c r="Q1705" t="s">
        <v>27</v>
      </c>
      <c r="R1705">
        <v>25</v>
      </c>
      <c r="S1705" t="s">
        <v>28</v>
      </c>
    </row>
    <row r="1706" spans="1:19" x14ac:dyDescent="0.3">
      <c r="A1706" t="s">
        <v>4533</v>
      </c>
      <c r="B1706" s="2">
        <v>45428</v>
      </c>
      <c r="C1706" t="s">
        <v>71</v>
      </c>
      <c r="D1706" t="s">
        <v>92</v>
      </c>
      <c r="E1706" t="s">
        <v>4534</v>
      </c>
      <c r="F1706" t="s">
        <v>4535</v>
      </c>
      <c r="G1706" t="s">
        <v>2042</v>
      </c>
      <c r="H1706" t="s">
        <v>25</v>
      </c>
      <c r="I1706" t="s">
        <v>26</v>
      </c>
      <c r="J1706">
        <v>1</v>
      </c>
      <c r="K1706">
        <v>450</v>
      </c>
      <c r="L1706">
        <v>450</v>
      </c>
      <c r="M1706">
        <v>4.4000000000000004</v>
      </c>
      <c r="N1706">
        <v>48</v>
      </c>
      <c r="O1706">
        <v>249</v>
      </c>
      <c r="P1706">
        <v>0</v>
      </c>
      <c r="Q1706" t="s">
        <v>75</v>
      </c>
      <c r="R1706">
        <v>38</v>
      </c>
      <c r="S1706" t="s">
        <v>41</v>
      </c>
    </row>
    <row r="1707" spans="1:19" x14ac:dyDescent="0.3">
      <c r="A1707" t="s">
        <v>4536</v>
      </c>
      <c r="B1707" s="2">
        <v>45517</v>
      </c>
      <c r="C1707" t="s">
        <v>82</v>
      </c>
      <c r="D1707" t="s">
        <v>36</v>
      </c>
      <c r="E1707" t="s">
        <v>4537</v>
      </c>
      <c r="F1707" t="s">
        <v>4538</v>
      </c>
      <c r="G1707" t="s">
        <v>4539</v>
      </c>
      <c r="H1707" t="s">
        <v>48</v>
      </c>
      <c r="I1707" t="s">
        <v>33</v>
      </c>
      <c r="J1707">
        <v>4</v>
      </c>
      <c r="K1707">
        <v>383</v>
      </c>
      <c r="L1707">
        <v>1532</v>
      </c>
      <c r="M1707">
        <v>4.0999999999999996</v>
      </c>
      <c r="N1707">
        <v>55</v>
      </c>
      <c r="O1707">
        <v>100</v>
      </c>
      <c r="P1707">
        <v>15</v>
      </c>
      <c r="Q1707" t="s">
        <v>75</v>
      </c>
      <c r="R1707">
        <v>42</v>
      </c>
      <c r="S1707" t="s">
        <v>28</v>
      </c>
    </row>
    <row r="1708" spans="1:19" x14ac:dyDescent="0.3">
      <c r="A1708" t="s">
        <v>4540</v>
      </c>
      <c r="B1708" s="2">
        <v>45344</v>
      </c>
      <c r="C1708" t="s">
        <v>113</v>
      </c>
      <c r="D1708" t="s">
        <v>92</v>
      </c>
      <c r="E1708" t="s">
        <v>4541</v>
      </c>
      <c r="F1708" t="s">
        <v>4535</v>
      </c>
      <c r="G1708" t="s">
        <v>2042</v>
      </c>
      <c r="H1708" t="s">
        <v>25</v>
      </c>
      <c r="I1708" t="s">
        <v>26</v>
      </c>
      <c r="J1708">
        <v>4</v>
      </c>
      <c r="K1708">
        <v>344</v>
      </c>
      <c r="L1708">
        <v>1376</v>
      </c>
      <c r="M1708">
        <v>4.0999999999999996</v>
      </c>
      <c r="N1708">
        <v>45</v>
      </c>
      <c r="O1708">
        <v>120</v>
      </c>
      <c r="P1708">
        <v>60</v>
      </c>
      <c r="Q1708" t="s">
        <v>49</v>
      </c>
      <c r="R1708">
        <v>26</v>
      </c>
      <c r="S1708" t="s">
        <v>28</v>
      </c>
    </row>
    <row r="1709" spans="1:19" x14ac:dyDescent="0.3">
      <c r="A1709" t="s">
        <v>4542</v>
      </c>
      <c r="B1709" s="2">
        <v>45463</v>
      </c>
      <c r="C1709" t="s">
        <v>30</v>
      </c>
      <c r="D1709" t="s">
        <v>92</v>
      </c>
      <c r="E1709" t="s">
        <v>4543</v>
      </c>
      <c r="F1709" t="s">
        <v>746</v>
      </c>
      <c r="G1709" t="s">
        <v>373</v>
      </c>
      <c r="H1709" t="s">
        <v>80</v>
      </c>
      <c r="I1709" t="s">
        <v>26</v>
      </c>
      <c r="J1709">
        <v>1</v>
      </c>
      <c r="K1709">
        <v>590</v>
      </c>
      <c r="L1709">
        <v>590</v>
      </c>
      <c r="M1709">
        <v>4.2</v>
      </c>
      <c r="N1709">
        <v>55</v>
      </c>
      <c r="P1709">
        <v>0</v>
      </c>
      <c r="Q1709" t="s">
        <v>75</v>
      </c>
      <c r="R1709">
        <v>18</v>
      </c>
      <c r="S1709" t="s">
        <v>28</v>
      </c>
    </row>
    <row r="1710" spans="1:19" x14ac:dyDescent="0.3">
      <c r="A1710" t="s">
        <v>4544</v>
      </c>
      <c r="B1710" s="2">
        <v>45390</v>
      </c>
      <c r="C1710" t="s">
        <v>20</v>
      </c>
      <c r="D1710" t="s">
        <v>44</v>
      </c>
      <c r="E1710" t="s">
        <v>4545</v>
      </c>
      <c r="F1710" t="s">
        <v>4546</v>
      </c>
      <c r="G1710" t="s">
        <v>4547</v>
      </c>
      <c r="H1710" t="s">
        <v>25</v>
      </c>
      <c r="I1710" t="s">
        <v>26</v>
      </c>
      <c r="J1710">
        <v>3</v>
      </c>
      <c r="K1710">
        <v>336</v>
      </c>
      <c r="L1710">
        <v>1008</v>
      </c>
      <c r="M1710">
        <v>4.3</v>
      </c>
      <c r="N1710">
        <v>51</v>
      </c>
      <c r="P1710">
        <v>0</v>
      </c>
      <c r="Q1710" t="s">
        <v>34</v>
      </c>
      <c r="R1710">
        <v>23</v>
      </c>
      <c r="S1710" t="s">
        <v>28</v>
      </c>
    </row>
    <row r="1711" spans="1:19" x14ac:dyDescent="0.3">
      <c r="A1711" t="s">
        <v>4548</v>
      </c>
      <c r="B1711" s="2">
        <v>45377</v>
      </c>
      <c r="C1711" t="s">
        <v>55</v>
      </c>
      <c r="D1711" t="s">
        <v>36</v>
      </c>
      <c r="E1711" t="s">
        <v>4549</v>
      </c>
      <c r="F1711" t="s">
        <v>736</v>
      </c>
      <c r="G1711" t="s">
        <v>4550</v>
      </c>
      <c r="H1711" t="s">
        <v>80</v>
      </c>
      <c r="I1711" t="s">
        <v>26</v>
      </c>
      <c r="J1711">
        <v>1</v>
      </c>
      <c r="K1711">
        <v>575</v>
      </c>
      <c r="L1711">
        <v>575</v>
      </c>
      <c r="M1711">
        <v>3.8</v>
      </c>
      <c r="N1711">
        <v>54</v>
      </c>
      <c r="P1711">
        <v>0</v>
      </c>
      <c r="Q1711" t="s">
        <v>34</v>
      </c>
      <c r="R1711">
        <v>40</v>
      </c>
      <c r="S1711" t="s">
        <v>41</v>
      </c>
    </row>
    <row r="1712" spans="1:19" x14ac:dyDescent="0.3">
      <c r="A1712" t="s">
        <v>4551</v>
      </c>
      <c r="B1712" s="2">
        <v>45399</v>
      </c>
      <c r="C1712" t="s">
        <v>20</v>
      </c>
      <c r="D1712" t="s">
        <v>72</v>
      </c>
      <c r="E1712" t="s">
        <v>4552</v>
      </c>
      <c r="F1712" t="s">
        <v>517</v>
      </c>
      <c r="G1712" t="s">
        <v>410</v>
      </c>
      <c r="H1712" t="s">
        <v>64</v>
      </c>
      <c r="I1712" t="s">
        <v>26</v>
      </c>
      <c r="J1712">
        <v>4</v>
      </c>
      <c r="K1712">
        <v>164</v>
      </c>
      <c r="L1712">
        <v>656</v>
      </c>
      <c r="M1712">
        <v>4.3</v>
      </c>
      <c r="N1712">
        <v>42</v>
      </c>
      <c r="O1712">
        <v>449</v>
      </c>
      <c r="P1712">
        <v>0</v>
      </c>
      <c r="Q1712" t="s">
        <v>75</v>
      </c>
      <c r="R1712">
        <v>36</v>
      </c>
      <c r="S1712" t="s">
        <v>28</v>
      </c>
    </row>
    <row r="1713" spans="1:19" x14ac:dyDescent="0.3">
      <c r="A1713" t="s">
        <v>4553</v>
      </c>
      <c r="B1713" s="2">
        <v>45315</v>
      </c>
      <c r="C1713" t="s">
        <v>43</v>
      </c>
      <c r="D1713" t="s">
        <v>72</v>
      </c>
      <c r="E1713" t="s">
        <v>4554</v>
      </c>
      <c r="F1713" t="s">
        <v>578</v>
      </c>
      <c r="G1713" t="s">
        <v>4555</v>
      </c>
      <c r="H1713" t="s">
        <v>80</v>
      </c>
      <c r="I1713" t="s">
        <v>26</v>
      </c>
      <c r="J1713">
        <v>1</v>
      </c>
      <c r="K1713">
        <v>333</v>
      </c>
      <c r="L1713">
        <v>333</v>
      </c>
      <c r="M1713">
        <v>4.0999999999999996</v>
      </c>
      <c r="N1713">
        <v>41</v>
      </c>
      <c r="P1713">
        <v>0</v>
      </c>
      <c r="Q1713" t="s">
        <v>49</v>
      </c>
      <c r="R1713">
        <v>49</v>
      </c>
      <c r="S1713" t="s">
        <v>41</v>
      </c>
    </row>
    <row r="1714" spans="1:19" x14ac:dyDescent="0.3">
      <c r="A1714" t="s">
        <v>4556</v>
      </c>
      <c r="B1714" s="2">
        <v>45372</v>
      </c>
      <c r="C1714" t="s">
        <v>55</v>
      </c>
      <c r="D1714" t="s">
        <v>92</v>
      </c>
      <c r="E1714" t="s">
        <v>4557</v>
      </c>
      <c r="F1714" t="s">
        <v>87</v>
      </c>
      <c r="G1714" t="s">
        <v>154</v>
      </c>
      <c r="H1714" t="s">
        <v>80</v>
      </c>
      <c r="I1714" t="s">
        <v>26</v>
      </c>
      <c r="J1714">
        <v>4</v>
      </c>
      <c r="K1714">
        <v>178</v>
      </c>
      <c r="L1714">
        <v>712</v>
      </c>
      <c r="M1714">
        <v>4.4000000000000004</v>
      </c>
      <c r="N1714">
        <v>63</v>
      </c>
      <c r="P1714">
        <v>0</v>
      </c>
      <c r="Q1714" t="s">
        <v>27</v>
      </c>
      <c r="R1714">
        <v>40</v>
      </c>
      <c r="S1714" t="s">
        <v>41</v>
      </c>
    </row>
    <row r="1715" spans="1:19" x14ac:dyDescent="0.3">
      <c r="A1715" t="s">
        <v>4558</v>
      </c>
      <c r="B1715" s="2">
        <v>45493</v>
      </c>
      <c r="C1715" t="s">
        <v>59</v>
      </c>
      <c r="D1715" t="s">
        <v>100</v>
      </c>
      <c r="E1715" t="s">
        <v>4559</v>
      </c>
      <c r="F1715" t="s">
        <v>78</v>
      </c>
      <c r="G1715" t="s">
        <v>4560</v>
      </c>
      <c r="H1715" t="s">
        <v>48</v>
      </c>
      <c r="I1715" t="s">
        <v>33</v>
      </c>
      <c r="J1715">
        <v>1</v>
      </c>
      <c r="K1715">
        <v>251</v>
      </c>
      <c r="L1715">
        <v>251</v>
      </c>
      <c r="M1715">
        <v>4.4000000000000004</v>
      </c>
      <c r="N1715">
        <v>46</v>
      </c>
      <c r="P1715">
        <v>0</v>
      </c>
      <c r="Q1715" t="s">
        <v>49</v>
      </c>
      <c r="R1715">
        <v>28</v>
      </c>
      <c r="S1715" t="s">
        <v>28</v>
      </c>
    </row>
    <row r="1716" spans="1:19" x14ac:dyDescent="0.3">
      <c r="A1716" t="s">
        <v>4561</v>
      </c>
      <c r="B1716" s="2">
        <v>45449</v>
      </c>
      <c r="C1716" t="s">
        <v>30</v>
      </c>
      <c r="D1716" t="s">
        <v>92</v>
      </c>
      <c r="E1716" t="s">
        <v>4562</v>
      </c>
      <c r="F1716" t="s">
        <v>578</v>
      </c>
      <c r="G1716" t="s">
        <v>4563</v>
      </c>
      <c r="H1716" t="s">
        <v>80</v>
      </c>
      <c r="I1716" t="s">
        <v>26</v>
      </c>
      <c r="J1716">
        <v>3</v>
      </c>
      <c r="K1716">
        <v>223</v>
      </c>
      <c r="L1716">
        <v>669</v>
      </c>
      <c r="M1716">
        <v>4.4000000000000004</v>
      </c>
      <c r="N1716">
        <v>60</v>
      </c>
      <c r="P1716">
        <v>0</v>
      </c>
      <c r="Q1716" t="s">
        <v>27</v>
      </c>
      <c r="R1716">
        <v>28</v>
      </c>
      <c r="S1716" t="s">
        <v>28</v>
      </c>
    </row>
    <row r="1717" spans="1:19" x14ac:dyDescent="0.3">
      <c r="A1717" t="s">
        <v>4564</v>
      </c>
      <c r="B1717" s="2">
        <v>45411</v>
      </c>
      <c r="C1717" t="s">
        <v>20</v>
      </c>
      <c r="D1717" t="s">
        <v>44</v>
      </c>
      <c r="E1717" t="s">
        <v>4565</v>
      </c>
      <c r="F1717" t="s">
        <v>3135</v>
      </c>
      <c r="G1717" t="s">
        <v>48</v>
      </c>
      <c r="H1717" t="s">
        <v>48</v>
      </c>
      <c r="I1717" t="s">
        <v>33</v>
      </c>
      <c r="J1717">
        <v>3</v>
      </c>
      <c r="K1717">
        <v>314</v>
      </c>
      <c r="L1717">
        <v>942</v>
      </c>
      <c r="M1717">
        <v>3.6</v>
      </c>
      <c r="N1717">
        <v>35</v>
      </c>
      <c r="P1717">
        <v>0</v>
      </c>
      <c r="Q1717" t="s">
        <v>75</v>
      </c>
      <c r="R1717">
        <v>40</v>
      </c>
      <c r="S1717" t="s">
        <v>28</v>
      </c>
    </row>
    <row r="1718" spans="1:19" x14ac:dyDescent="0.3">
      <c r="A1718" t="s">
        <v>4566</v>
      </c>
      <c r="B1718" s="2">
        <v>45350</v>
      </c>
      <c r="C1718" t="s">
        <v>113</v>
      </c>
      <c r="D1718" t="s">
        <v>72</v>
      </c>
      <c r="E1718" t="s">
        <v>4567</v>
      </c>
      <c r="F1718" t="s">
        <v>62</v>
      </c>
      <c r="G1718" t="s">
        <v>154</v>
      </c>
      <c r="H1718" t="s">
        <v>80</v>
      </c>
      <c r="I1718" t="s">
        <v>26</v>
      </c>
      <c r="J1718">
        <v>1</v>
      </c>
      <c r="K1718">
        <v>532</v>
      </c>
      <c r="L1718">
        <v>532</v>
      </c>
      <c r="M1718">
        <v>4.5</v>
      </c>
      <c r="N1718">
        <v>56</v>
      </c>
      <c r="P1718">
        <v>0</v>
      </c>
      <c r="Q1718" t="s">
        <v>75</v>
      </c>
      <c r="R1718">
        <v>49</v>
      </c>
      <c r="S1718" t="s">
        <v>28</v>
      </c>
    </row>
    <row r="1719" spans="1:19" x14ac:dyDescent="0.3">
      <c r="A1719" t="s">
        <v>4568</v>
      </c>
      <c r="B1719" s="2">
        <v>45529</v>
      </c>
      <c r="C1719" t="s">
        <v>82</v>
      </c>
      <c r="D1719" t="s">
        <v>60</v>
      </c>
      <c r="E1719" t="s">
        <v>4569</v>
      </c>
      <c r="F1719" t="s">
        <v>578</v>
      </c>
      <c r="G1719" t="s">
        <v>4570</v>
      </c>
      <c r="H1719" t="s">
        <v>80</v>
      </c>
      <c r="I1719" t="s">
        <v>26</v>
      </c>
      <c r="J1719">
        <v>1</v>
      </c>
      <c r="K1719">
        <v>276</v>
      </c>
      <c r="L1719">
        <v>276</v>
      </c>
      <c r="M1719">
        <v>4.2</v>
      </c>
      <c r="N1719">
        <v>45</v>
      </c>
      <c r="P1719">
        <v>0</v>
      </c>
      <c r="Q1719" t="s">
        <v>34</v>
      </c>
      <c r="R1719">
        <v>47</v>
      </c>
      <c r="S1719" t="s">
        <v>41</v>
      </c>
    </row>
    <row r="1720" spans="1:19" x14ac:dyDescent="0.3">
      <c r="A1720" t="s">
        <v>4571</v>
      </c>
      <c r="B1720" s="2">
        <v>45506</v>
      </c>
      <c r="C1720" t="s">
        <v>82</v>
      </c>
      <c r="D1720" t="s">
        <v>21</v>
      </c>
      <c r="E1720" t="s">
        <v>4572</v>
      </c>
      <c r="F1720" t="s">
        <v>192</v>
      </c>
      <c r="G1720" t="s">
        <v>1400</v>
      </c>
      <c r="H1720" t="s">
        <v>80</v>
      </c>
      <c r="I1720" t="s">
        <v>26</v>
      </c>
      <c r="J1720">
        <v>3</v>
      </c>
      <c r="K1720">
        <v>217</v>
      </c>
      <c r="L1720">
        <v>651</v>
      </c>
      <c r="M1720">
        <v>3.8</v>
      </c>
      <c r="N1720">
        <v>49</v>
      </c>
      <c r="P1720">
        <v>0</v>
      </c>
      <c r="Q1720" t="s">
        <v>27</v>
      </c>
      <c r="R1720">
        <v>30</v>
      </c>
      <c r="S1720" t="s">
        <v>28</v>
      </c>
    </row>
    <row r="1721" spans="1:19" x14ac:dyDescent="0.3">
      <c r="A1721" t="s">
        <v>4573</v>
      </c>
      <c r="B1721" s="2">
        <v>45419</v>
      </c>
      <c r="C1721" t="s">
        <v>71</v>
      </c>
      <c r="D1721" t="s">
        <v>36</v>
      </c>
      <c r="E1721" t="s">
        <v>4574</v>
      </c>
      <c r="F1721" t="s">
        <v>4575</v>
      </c>
      <c r="G1721" t="s">
        <v>4576</v>
      </c>
      <c r="H1721" t="s">
        <v>53</v>
      </c>
      <c r="I1721" t="s">
        <v>26</v>
      </c>
      <c r="J1721">
        <v>4</v>
      </c>
      <c r="K1721">
        <v>345</v>
      </c>
      <c r="L1721">
        <v>1380</v>
      </c>
      <c r="M1721">
        <v>4.0999999999999996</v>
      </c>
      <c r="N1721">
        <v>74</v>
      </c>
      <c r="O1721">
        <v>999</v>
      </c>
      <c r="P1721">
        <v>0</v>
      </c>
      <c r="Q1721" t="s">
        <v>49</v>
      </c>
      <c r="R1721">
        <v>28</v>
      </c>
      <c r="S1721" t="s">
        <v>41</v>
      </c>
    </row>
    <row r="1722" spans="1:19" x14ac:dyDescent="0.3">
      <c r="A1722" t="s">
        <v>4577</v>
      </c>
      <c r="B1722" s="2">
        <v>45515</v>
      </c>
      <c r="C1722" t="s">
        <v>82</v>
      </c>
      <c r="D1722" t="s">
        <v>60</v>
      </c>
      <c r="E1722" t="s">
        <v>4578</v>
      </c>
      <c r="F1722" t="s">
        <v>824</v>
      </c>
      <c r="G1722" t="s">
        <v>4579</v>
      </c>
      <c r="H1722" t="s">
        <v>80</v>
      </c>
      <c r="I1722" t="s">
        <v>26</v>
      </c>
      <c r="J1722">
        <v>3</v>
      </c>
      <c r="K1722">
        <v>531</v>
      </c>
      <c r="L1722">
        <v>1593</v>
      </c>
      <c r="M1722">
        <v>3.8</v>
      </c>
      <c r="N1722">
        <v>55</v>
      </c>
      <c r="O1722">
        <v>1000</v>
      </c>
      <c r="P1722">
        <v>10</v>
      </c>
      <c r="Q1722" t="s">
        <v>75</v>
      </c>
      <c r="R1722">
        <v>35</v>
      </c>
      <c r="S1722" t="s">
        <v>28</v>
      </c>
    </row>
    <row r="1723" spans="1:19" x14ac:dyDescent="0.3">
      <c r="A1723" t="s">
        <v>4580</v>
      </c>
      <c r="B1723" s="2">
        <v>45500</v>
      </c>
      <c r="C1723" t="s">
        <v>59</v>
      </c>
      <c r="D1723" t="s">
        <v>100</v>
      </c>
      <c r="E1723" t="s">
        <v>4581</v>
      </c>
      <c r="F1723" t="s">
        <v>192</v>
      </c>
      <c r="G1723" t="s">
        <v>4582</v>
      </c>
      <c r="H1723" t="s">
        <v>80</v>
      </c>
      <c r="I1723" t="s">
        <v>26</v>
      </c>
      <c r="J1723">
        <v>4</v>
      </c>
      <c r="K1723">
        <v>324</v>
      </c>
      <c r="L1723">
        <v>1296</v>
      </c>
      <c r="M1723">
        <v>4.0999999999999996</v>
      </c>
      <c r="N1723">
        <v>49</v>
      </c>
      <c r="P1723">
        <v>0</v>
      </c>
      <c r="Q1723" t="s">
        <v>49</v>
      </c>
      <c r="R1723">
        <v>40</v>
      </c>
      <c r="S1723" t="s">
        <v>28</v>
      </c>
    </row>
    <row r="1724" spans="1:19" x14ac:dyDescent="0.3">
      <c r="A1724" t="s">
        <v>4583</v>
      </c>
      <c r="B1724" s="2">
        <v>45405</v>
      </c>
      <c r="C1724" t="s">
        <v>20</v>
      </c>
      <c r="D1724" t="s">
        <v>36</v>
      </c>
      <c r="E1724" t="s">
        <v>4584</v>
      </c>
      <c r="F1724" t="s">
        <v>78</v>
      </c>
      <c r="G1724" t="s">
        <v>758</v>
      </c>
      <c r="H1724" t="s">
        <v>64</v>
      </c>
      <c r="I1724" t="s">
        <v>26</v>
      </c>
      <c r="J1724">
        <v>1</v>
      </c>
      <c r="K1724">
        <v>198</v>
      </c>
      <c r="L1724">
        <v>198</v>
      </c>
      <c r="M1724">
        <v>4.2</v>
      </c>
      <c r="N1724">
        <v>54</v>
      </c>
      <c r="O1724">
        <v>80</v>
      </c>
      <c r="P1724">
        <v>40</v>
      </c>
      <c r="Q1724" t="s">
        <v>34</v>
      </c>
      <c r="R1724">
        <v>32</v>
      </c>
      <c r="S1724" t="s">
        <v>28</v>
      </c>
    </row>
    <row r="1725" spans="1:19" x14ac:dyDescent="0.3">
      <c r="A1725" t="s">
        <v>4585</v>
      </c>
      <c r="B1725" s="2">
        <v>45406</v>
      </c>
      <c r="C1725" t="s">
        <v>20</v>
      </c>
      <c r="D1725" t="s">
        <v>72</v>
      </c>
      <c r="E1725" t="s">
        <v>4586</v>
      </c>
      <c r="F1725" t="s">
        <v>450</v>
      </c>
      <c r="G1725" t="s">
        <v>48</v>
      </c>
      <c r="H1725" t="s">
        <v>48</v>
      </c>
      <c r="I1725" t="s">
        <v>33</v>
      </c>
      <c r="J1725">
        <v>1</v>
      </c>
      <c r="K1725">
        <v>243</v>
      </c>
      <c r="L1725">
        <v>243</v>
      </c>
      <c r="M1725">
        <v>1.5</v>
      </c>
      <c r="N1725">
        <v>48</v>
      </c>
      <c r="P1725">
        <v>0</v>
      </c>
      <c r="Q1725" t="s">
        <v>27</v>
      </c>
      <c r="R1725">
        <v>18</v>
      </c>
      <c r="S1725" t="s">
        <v>28</v>
      </c>
    </row>
    <row r="1726" spans="1:19" x14ac:dyDescent="0.3">
      <c r="A1726" t="s">
        <v>4587</v>
      </c>
      <c r="B1726" s="2">
        <v>45500</v>
      </c>
      <c r="C1726" t="s">
        <v>59</v>
      </c>
      <c r="D1726" t="s">
        <v>100</v>
      </c>
      <c r="E1726" t="s">
        <v>4588</v>
      </c>
      <c r="F1726" t="s">
        <v>78</v>
      </c>
      <c r="G1726" t="s">
        <v>373</v>
      </c>
      <c r="H1726" t="s">
        <v>80</v>
      </c>
      <c r="I1726" t="s">
        <v>26</v>
      </c>
      <c r="J1726">
        <v>4</v>
      </c>
      <c r="K1726">
        <v>590</v>
      </c>
      <c r="L1726">
        <v>2360</v>
      </c>
      <c r="M1726">
        <v>4</v>
      </c>
      <c r="N1726">
        <v>64</v>
      </c>
      <c r="P1726">
        <v>0</v>
      </c>
      <c r="Q1726" t="s">
        <v>27</v>
      </c>
      <c r="R1726">
        <v>38</v>
      </c>
      <c r="S1726" t="s">
        <v>41</v>
      </c>
    </row>
    <row r="1727" spans="1:19" x14ac:dyDescent="0.3">
      <c r="A1727" t="s">
        <v>4589</v>
      </c>
      <c r="B1727" s="2">
        <v>45305</v>
      </c>
      <c r="C1727" t="s">
        <v>43</v>
      </c>
      <c r="D1727" t="s">
        <v>60</v>
      </c>
      <c r="E1727" t="s">
        <v>4590</v>
      </c>
      <c r="F1727" t="s">
        <v>4591</v>
      </c>
      <c r="G1727" t="s">
        <v>4592</v>
      </c>
      <c r="H1727" t="s">
        <v>40</v>
      </c>
      <c r="I1727" t="s">
        <v>26</v>
      </c>
      <c r="J1727">
        <v>1</v>
      </c>
      <c r="K1727">
        <v>547</v>
      </c>
      <c r="L1727">
        <v>547</v>
      </c>
      <c r="M1727">
        <v>5</v>
      </c>
      <c r="N1727">
        <v>60</v>
      </c>
      <c r="P1727">
        <v>0</v>
      </c>
      <c r="Q1727" t="s">
        <v>75</v>
      </c>
      <c r="R1727">
        <v>42</v>
      </c>
      <c r="S1727" t="s">
        <v>41</v>
      </c>
    </row>
    <row r="1728" spans="1:19" x14ac:dyDescent="0.3">
      <c r="A1728" t="s">
        <v>4593</v>
      </c>
      <c r="B1728" s="2">
        <v>45300</v>
      </c>
      <c r="C1728" t="s">
        <v>43</v>
      </c>
      <c r="D1728" t="s">
        <v>36</v>
      </c>
      <c r="E1728" t="s">
        <v>4594</v>
      </c>
      <c r="F1728" t="s">
        <v>78</v>
      </c>
      <c r="G1728" t="s">
        <v>186</v>
      </c>
      <c r="H1728" t="s">
        <v>80</v>
      </c>
      <c r="I1728" t="s">
        <v>26</v>
      </c>
      <c r="J1728">
        <v>4</v>
      </c>
      <c r="K1728">
        <v>337</v>
      </c>
      <c r="L1728">
        <v>1348</v>
      </c>
      <c r="M1728">
        <v>4.0999999999999996</v>
      </c>
      <c r="N1728">
        <v>44</v>
      </c>
      <c r="P1728">
        <v>0</v>
      </c>
      <c r="Q1728" t="s">
        <v>27</v>
      </c>
      <c r="R1728">
        <v>24</v>
      </c>
      <c r="S1728" t="s">
        <v>28</v>
      </c>
    </row>
    <row r="1729" spans="1:19" x14ac:dyDescent="0.3">
      <c r="A1729" t="s">
        <v>4595</v>
      </c>
      <c r="B1729" s="2">
        <v>45331</v>
      </c>
      <c r="C1729" t="s">
        <v>113</v>
      </c>
      <c r="D1729" t="s">
        <v>21</v>
      </c>
      <c r="E1729" t="s">
        <v>4596</v>
      </c>
      <c r="F1729" t="s">
        <v>102</v>
      </c>
      <c r="G1729" t="s">
        <v>210</v>
      </c>
      <c r="H1729" t="s">
        <v>80</v>
      </c>
      <c r="I1729" t="s">
        <v>26</v>
      </c>
      <c r="J1729">
        <v>2</v>
      </c>
      <c r="K1729">
        <v>123</v>
      </c>
      <c r="L1729">
        <v>246</v>
      </c>
      <c r="M1729">
        <v>4.3</v>
      </c>
      <c r="N1729">
        <v>32</v>
      </c>
      <c r="P1729">
        <v>0</v>
      </c>
      <c r="Q1729" t="s">
        <v>75</v>
      </c>
      <c r="R1729">
        <v>40</v>
      </c>
      <c r="S1729" t="s">
        <v>41</v>
      </c>
    </row>
    <row r="1730" spans="1:19" x14ac:dyDescent="0.3">
      <c r="A1730" t="s">
        <v>4597</v>
      </c>
      <c r="B1730" s="2">
        <v>45485</v>
      </c>
      <c r="C1730" t="s">
        <v>59</v>
      </c>
      <c r="D1730" t="s">
        <v>21</v>
      </c>
      <c r="E1730" t="s">
        <v>4598</v>
      </c>
      <c r="F1730" t="s">
        <v>192</v>
      </c>
      <c r="G1730" t="s">
        <v>4599</v>
      </c>
      <c r="H1730" t="s">
        <v>80</v>
      </c>
      <c r="I1730" t="s">
        <v>26</v>
      </c>
      <c r="J1730">
        <v>3</v>
      </c>
      <c r="K1730">
        <v>209</v>
      </c>
      <c r="L1730">
        <v>627</v>
      </c>
      <c r="M1730">
        <v>3.6</v>
      </c>
      <c r="N1730">
        <v>54</v>
      </c>
      <c r="P1730">
        <v>0</v>
      </c>
      <c r="Q1730" t="s">
        <v>34</v>
      </c>
      <c r="R1730">
        <v>44</v>
      </c>
      <c r="S1730" t="s">
        <v>41</v>
      </c>
    </row>
    <row r="1731" spans="1:19" x14ac:dyDescent="0.3">
      <c r="A1731" t="s">
        <v>4600</v>
      </c>
      <c r="B1731" s="2">
        <v>45528</v>
      </c>
      <c r="C1731" t="s">
        <v>82</v>
      </c>
      <c r="D1731" t="s">
        <v>100</v>
      </c>
      <c r="E1731" t="s">
        <v>4601</v>
      </c>
      <c r="F1731" t="s">
        <v>192</v>
      </c>
      <c r="G1731" t="s">
        <v>4602</v>
      </c>
      <c r="H1731" t="s">
        <v>80</v>
      </c>
      <c r="I1731" t="s">
        <v>26</v>
      </c>
      <c r="J1731">
        <v>2</v>
      </c>
      <c r="K1731">
        <v>223</v>
      </c>
      <c r="L1731">
        <v>446</v>
      </c>
      <c r="M1731">
        <v>4.7</v>
      </c>
      <c r="N1731">
        <v>67</v>
      </c>
      <c r="P1731">
        <v>0</v>
      </c>
      <c r="Q1731" t="s">
        <v>27</v>
      </c>
      <c r="R1731">
        <v>30</v>
      </c>
      <c r="S1731" t="s">
        <v>28</v>
      </c>
    </row>
    <row r="1732" spans="1:19" x14ac:dyDescent="0.3">
      <c r="A1732" t="s">
        <v>4603</v>
      </c>
      <c r="B1732" s="2">
        <v>45316</v>
      </c>
      <c r="C1732" t="s">
        <v>43</v>
      </c>
      <c r="D1732" t="s">
        <v>92</v>
      </c>
      <c r="E1732" t="s">
        <v>4604</v>
      </c>
      <c r="F1732" t="s">
        <v>192</v>
      </c>
      <c r="G1732" t="s">
        <v>4605</v>
      </c>
      <c r="H1732" t="s">
        <v>48</v>
      </c>
      <c r="I1732" t="s">
        <v>33</v>
      </c>
      <c r="J1732">
        <v>4</v>
      </c>
      <c r="K1732">
        <v>512</v>
      </c>
      <c r="L1732">
        <v>2048</v>
      </c>
      <c r="M1732">
        <v>4.0999999999999996</v>
      </c>
      <c r="N1732">
        <v>58</v>
      </c>
      <c r="P1732">
        <v>0</v>
      </c>
      <c r="Q1732" t="s">
        <v>75</v>
      </c>
      <c r="R1732">
        <v>29</v>
      </c>
      <c r="S1732" t="s">
        <v>28</v>
      </c>
    </row>
    <row r="1733" spans="1:19" x14ac:dyDescent="0.3">
      <c r="A1733" t="s">
        <v>4606</v>
      </c>
      <c r="B1733" s="2">
        <v>45394</v>
      </c>
      <c r="C1733" t="s">
        <v>20</v>
      </c>
      <c r="D1733" t="s">
        <v>21</v>
      </c>
      <c r="E1733" t="s">
        <v>4607</v>
      </c>
      <c r="F1733" t="s">
        <v>78</v>
      </c>
      <c r="G1733" t="s">
        <v>64</v>
      </c>
      <c r="H1733" t="s">
        <v>64</v>
      </c>
      <c r="I1733" t="s">
        <v>26</v>
      </c>
      <c r="J1733">
        <v>3</v>
      </c>
      <c r="K1733">
        <v>238</v>
      </c>
      <c r="L1733">
        <v>714</v>
      </c>
      <c r="M1733">
        <v>3.2</v>
      </c>
      <c r="N1733">
        <v>63</v>
      </c>
      <c r="P1733">
        <v>0</v>
      </c>
      <c r="Q1733" t="s">
        <v>49</v>
      </c>
      <c r="R1733">
        <v>35</v>
      </c>
      <c r="S1733" t="s">
        <v>41</v>
      </c>
    </row>
    <row r="1734" spans="1:19" x14ac:dyDescent="0.3">
      <c r="A1734" t="s">
        <v>4608</v>
      </c>
      <c r="B1734" s="2">
        <v>45492</v>
      </c>
      <c r="C1734" t="s">
        <v>59</v>
      </c>
      <c r="D1734" t="s">
        <v>21</v>
      </c>
      <c r="E1734" t="s">
        <v>4609</v>
      </c>
      <c r="F1734" t="s">
        <v>746</v>
      </c>
      <c r="G1734" t="s">
        <v>2540</v>
      </c>
      <c r="H1734" t="s">
        <v>80</v>
      </c>
      <c r="I1734" t="s">
        <v>26</v>
      </c>
      <c r="J1734">
        <v>4</v>
      </c>
      <c r="K1734">
        <v>252</v>
      </c>
      <c r="L1734">
        <v>1008</v>
      </c>
      <c r="M1734">
        <v>4</v>
      </c>
      <c r="N1734">
        <v>57</v>
      </c>
      <c r="P1734">
        <v>0</v>
      </c>
      <c r="Q1734" t="s">
        <v>75</v>
      </c>
      <c r="R1734">
        <v>41</v>
      </c>
      <c r="S1734" t="s">
        <v>41</v>
      </c>
    </row>
    <row r="1735" spans="1:19" x14ac:dyDescent="0.3">
      <c r="A1735" t="s">
        <v>4610</v>
      </c>
      <c r="B1735" s="2">
        <v>45313</v>
      </c>
      <c r="C1735" t="s">
        <v>43</v>
      </c>
      <c r="D1735" t="s">
        <v>44</v>
      </c>
      <c r="E1735" t="s">
        <v>4611</v>
      </c>
      <c r="F1735" t="s">
        <v>824</v>
      </c>
      <c r="G1735" t="s">
        <v>4612</v>
      </c>
      <c r="H1735" t="s">
        <v>80</v>
      </c>
      <c r="I1735" t="s">
        <v>26</v>
      </c>
      <c r="J1735">
        <v>3</v>
      </c>
      <c r="K1735">
        <v>431</v>
      </c>
      <c r="L1735">
        <v>1293</v>
      </c>
      <c r="M1735">
        <v>3.3</v>
      </c>
      <c r="N1735">
        <v>66</v>
      </c>
      <c r="P1735">
        <v>0</v>
      </c>
      <c r="Q1735" t="s">
        <v>27</v>
      </c>
      <c r="R1735">
        <v>36</v>
      </c>
      <c r="S1735" t="s">
        <v>41</v>
      </c>
    </row>
    <row r="1736" spans="1:19" x14ac:dyDescent="0.3">
      <c r="A1736" t="s">
        <v>4613</v>
      </c>
      <c r="B1736" s="2">
        <v>45526</v>
      </c>
      <c r="C1736" t="s">
        <v>82</v>
      </c>
      <c r="D1736" t="s">
        <v>92</v>
      </c>
      <c r="E1736" t="s">
        <v>4614</v>
      </c>
      <c r="F1736" t="s">
        <v>78</v>
      </c>
      <c r="G1736" t="s">
        <v>154</v>
      </c>
      <c r="H1736" t="s">
        <v>80</v>
      </c>
      <c r="I1736" t="s">
        <v>26</v>
      </c>
      <c r="J1736">
        <v>3</v>
      </c>
      <c r="K1736">
        <v>215</v>
      </c>
      <c r="L1736">
        <v>645</v>
      </c>
      <c r="M1736">
        <v>3.9</v>
      </c>
      <c r="N1736">
        <v>74</v>
      </c>
      <c r="O1736">
        <v>150</v>
      </c>
      <c r="P1736">
        <v>30</v>
      </c>
      <c r="Q1736" t="s">
        <v>34</v>
      </c>
      <c r="R1736">
        <v>32</v>
      </c>
      <c r="S1736" t="s">
        <v>41</v>
      </c>
    </row>
    <row r="1737" spans="1:19" x14ac:dyDescent="0.3">
      <c r="A1737" t="s">
        <v>4615</v>
      </c>
      <c r="B1737" s="2">
        <v>45529</v>
      </c>
      <c r="C1737" t="s">
        <v>82</v>
      </c>
      <c r="D1737" t="s">
        <v>60</v>
      </c>
      <c r="E1737" t="s">
        <v>4616</v>
      </c>
      <c r="F1737" t="s">
        <v>4617</v>
      </c>
      <c r="G1737" t="s">
        <v>4618</v>
      </c>
      <c r="H1737" t="s">
        <v>80</v>
      </c>
      <c r="I1737" t="s">
        <v>26</v>
      </c>
      <c r="J1737">
        <v>3</v>
      </c>
      <c r="K1737">
        <v>587</v>
      </c>
      <c r="L1737">
        <v>1761</v>
      </c>
      <c r="M1737">
        <v>4.2</v>
      </c>
      <c r="N1737">
        <v>61</v>
      </c>
      <c r="O1737">
        <v>1500</v>
      </c>
      <c r="P1737">
        <v>10</v>
      </c>
      <c r="Q1737" t="s">
        <v>27</v>
      </c>
      <c r="R1737">
        <v>25</v>
      </c>
      <c r="S1737" t="s">
        <v>28</v>
      </c>
    </row>
    <row r="1738" spans="1:19" x14ac:dyDescent="0.3">
      <c r="A1738" t="s">
        <v>4619</v>
      </c>
      <c r="B1738" s="2">
        <v>45295</v>
      </c>
      <c r="C1738" t="s">
        <v>43</v>
      </c>
      <c r="D1738" t="s">
        <v>92</v>
      </c>
      <c r="E1738" t="s">
        <v>4620</v>
      </c>
      <c r="F1738" t="s">
        <v>2197</v>
      </c>
      <c r="G1738" t="s">
        <v>3224</v>
      </c>
      <c r="H1738" t="s">
        <v>53</v>
      </c>
      <c r="I1738" t="s">
        <v>26</v>
      </c>
      <c r="J1738">
        <v>3</v>
      </c>
      <c r="K1738">
        <v>553</v>
      </c>
      <c r="L1738">
        <v>1659</v>
      </c>
      <c r="P1738">
        <v>0</v>
      </c>
      <c r="Q1738" t="s">
        <v>27</v>
      </c>
      <c r="R1738">
        <v>36</v>
      </c>
      <c r="S1738" t="s">
        <v>28</v>
      </c>
    </row>
    <row r="1739" spans="1:19" x14ac:dyDescent="0.3">
      <c r="A1739" t="s">
        <v>4621</v>
      </c>
      <c r="B1739" s="2">
        <v>45445</v>
      </c>
      <c r="C1739" t="s">
        <v>30</v>
      </c>
      <c r="D1739" t="s">
        <v>60</v>
      </c>
      <c r="E1739" t="s">
        <v>4622</v>
      </c>
      <c r="F1739" t="s">
        <v>4623</v>
      </c>
      <c r="G1739" t="s">
        <v>4624</v>
      </c>
      <c r="H1739" t="s">
        <v>48</v>
      </c>
      <c r="I1739" t="s">
        <v>33</v>
      </c>
      <c r="J1739">
        <v>4</v>
      </c>
      <c r="K1739">
        <v>450</v>
      </c>
      <c r="L1739">
        <v>1800</v>
      </c>
      <c r="M1739">
        <v>3.7</v>
      </c>
      <c r="N1739">
        <v>68</v>
      </c>
      <c r="O1739">
        <v>599</v>
      </c>
      <c r="P1739">
        <v>0</v>
      </c>
      <c r="Q1739" t="s">
        <v>75</v>
      </c>
      <c r="R1739">
        <v>27</v>
      </c>
      <c r="S1739" t="s">
        <v>41</v>
      </c>
    </row>
    <row r="1740" spans="1:19" x14ac:dyDescent="0.3">
      <c r="A1740" t="s">
        <v>4625</v>
      </c>
      <c r="B1740" s="2">
        <v>45477</v>
      </c>
      <c r="C1740" t="s">
        <v>59</v>
      </c>
      <c r="D1740" t="s">
        <v>92</v>
      </c>
      <c r="E1740" t="s">
        <v>4626</v>
      </c>
      <c r="F1740" t="s">
        <v>925</v>
      </c>
      <c r="G1740" t="s">
        <v>4627</v>
      </c>
      <c r="H1740" t="s">
        <v>48</v>
      </c>
      <c r="I1740" t="s">
        <v>33</v>
      </c>
      <c r="J1740">
        <v>3</v>
      </c>
      <c r="K1740">
        <v>262</v>
      </c>
      <c r="L1740">
        <v>786</v>
      </c>
      <c r="M1740">
        <v>4.4000000000000004</v>
      </c>
      <c r="N1740">
        <v>70</v>
      </c>
      <c r="P1740">
        <v>0</v>
      </c>
      <c r="Q1740" t="s">
        <v>49</v>
      </c>
      <c r="R1740">
        <v>24</v>
      </c>
      <c r="S1740" t="s">
        <v>28</v>
      </c>
    </row>
    <row r="1741" spans="1:19" x14ac:dyDescent="0.3">
      <c r="A1741" t="s">
        <v>4628</v>
      </c>
      <c r="B1741" s="2">
        <v>45320</v>
      </c>
      <c r="C1741" t="s">
        <v>43</v>
      </c>
      <c r="D1741" t="s">
        <v>44</v>
      </c>
      <c r="E1741" t="s">
        <v>4629</v>
      </c>
      <c r="F1741" t="s">
        <v>62</v>
      </c>
      <c r="G1741" t="s">
        <v>4630</v>
      </c>
      <c r="H1741" t="s">
        <v>80</v>
      </c>
      <c r="I1741" t="s">
        <v>26</v>
      </c>
      <c r="J1741">
        <v>3</v>
      </c>
      <c r="K1741">
        <v>407</v>
      </c>
      <c r="L1741">
        <v>1221</v>
      </c>
      <c r="M1741">
        <v>3.9</v>
      </c>
      <c r="N1741">
        <v>72</v>
      </c>
      <c r="P1741">
        <v>0</v>
      </c>
      <c r="Q1741" t="s">
        <v>27</v>
      </c>
      <c r="R1741">
        <v>35</v>
      </c>
      <c r="S1741" t="s">
        <v>41</v>
      </c>
    </row>
    <row r="1742" spans="1:19" x14ac:dyDescent="0.3">
      <c r="A1742" t="s">
        <v>4631</v>
      </c>
      <c r="B1742" s="2">
        <v>45400</v>
      </c>
      <c r="C1742" t="s">
        <v>20</v>
      </c>
      <c r="D1742" t="s">
        <v>92</v>
      </c>
      <c r="E1742" t="s">
        <v>4632</v>
      </c>
      <c r="F1742" t="s">
        <v>192</v>
      </c>
      <c r="G1742" t="s">
        <v>4633</v>
      </c>
      <c r="H1742" t="s">
        <v>64</v>
      </c>
      <c r="I1742" t="s">
        <v>26</v>
      </c>
      <c r="J1742">
        <v>2</v>
      </c>
      <c r="K1742">
        <v>147</v>
      </c>
      <c r="L1742">
        <v>294</v>
      </c>
      <c r="P1742">
        <v>0</v>
      </c>
      <c r="Q1742" t="s">
        <v>49</v>
      </c>
      <c r="R1742">
        <v>33</v>
      </c>
      <c r="S1742" t="s">
        <v>41</v>
      </c>
    </row>
    <row r="1743" spans="1:19" x14ac:dyDescent="0.3">
      <c r="A1743" t="s">
        <v>4634</v>
      </c>
      <c r="B1743" s="2">
        <v>45389</v>
      </c>
      <c r="C1743" t="s">
        <v>20</v>
      </c>
      <c r="D1743" t="s">
        <v>60</v>
      </c>
      <c r="E1743" t="s">
        <v>4635</v>
      </c>
      <c r="F1743" t="s">
        <v>78</v>
      </c>
      <c r="G1743" t="s">
        <v>4636</v>
      </c>
      <c r="H1743" t="s">
        <v>80</v>
      </c>
      <c r="I1743" t="s">
        <v>26</v>
      </c>
      <c r="J1743">
        <v>1</v>
      </c>
      <c r="K1743">
        <v>397</v>
      </c>
      <c r="L1743">
        <v>397</v>
      </c>
      <c r="M1743">
        <v>4.5</v>
      </c>
      <c r="N1743">
        <v>68</v>
      </c>
      <c r="O1743">
        <v>150</v>
      </c>
      <c r="P1743">
        <v>30</v>
      </c>
      <c r="Q1743" t="s">
        <v>75</v>
      </c>
      <c r="R1743">
        <v>37</v>
      </c>
      <c r="S1743" t="s">
        <v>28</v>
      </c>
    </row>
    <row r="1744" spans="1:19" x14ac:dyDescent="0.3">
      <c r="A1744" t="s">
        <v>4637</v>
      </c>
      <c r="B1744" s="2">
        <v>45506</v>
      </c>
      <c r="C1744" t="s">
        <v>82</v>
      </c>
      <c r="D1744" t="s">
        <v>21</v>
      </c>
      <c r="E1744" t="s">
        <v>4638</v>
      </c>
      <c r="F1744" t="s">
        <v>78</v>
      </c>
      <c r="G1744" t="s">
        <v>4639</v>
      </c>
      <c r="H1744" t="s">
        <v>64</v>
      </c>
      <c r="I1744" t="s">
        <v>26</v>
      </c>
      <c r="J1744">
        <v>1</v>
      </c>
      <c r="K1744">
        <v>352</v>
      </c>
      <c r="L1744">
        <v>352</v>
      </c>
      <c r="M1744">
        <v>4.3</v>
      </c>
      <c r="N1744">
        <v>57</v>
      </c>
      <c r="P1744">
        <v>0</v>
      </c>
      <c r="Q1744" t="s">
        <v>49</v>
      </c>
      <c r="R1744">
        <v>44</v>
      </c>
      <c r="S1744" t="s">
        <v>41</v>
      </c>
    </row>
    <row r="1745" spans="1:19" x14ac:dyDescent="0.3">
      <c r="A1745" t="s">
        <v>4640</v>
      </c>
      <c r="B1745" s="2">
        <v>45328</v>
      </c>
      <c r="C1745" t="s">
        <v>113</v>
      </c>
      <c r="D1745" t="s">
        <v>36</v>
      </c>
      <c r="E1745" t="s">
        <v>4641</v>
      </c>
      <c r="F1745" t="s">
        <v>450</v>
      </c>
      <c r="G1745" t="s">
        <v>769</v>
      </c>
      <c r="H1745" t="s">
        <v>80</v>
      </c>
      <c r="I1745" t="s">
        <v>26</v>
      </c>
      <c r="J1745">
        <v>2</v>
      </c>
      <c r="K1745">
        <v>136</v>
      </c>
      <c r="L1745">
        <v>272</v>
      </c>
      <c r="M1745">
        <v>3.7</v>
      </c>
      <c r="N1745">
        <v>71</v>
      </c>
      <c r="P1745">
        <v>0</v>
      </c>
      <c r="Q1745" t="s">
        <v>75</v>
      </c>
      <c r="R1745">
        <v>23</v>
      </c>
      <c r="S1745" t="s">
        <v>41</v>
      </c>
    </row>
    <row r="1746" spans="1:19" x14ac:dyDescent="0.3">
      <c r="A1746" t="s">
        <v>4642</v>
      </c>
      <c r="B1746" s="2">
        <v>45366</v>
      </c>
      <c r="C1746" t="s">
        <v>55</v>
      </c>
      <c r="D1746" t="s">
        <v>21</v>
      </c>
      <c r="E1746" t="s">
        <v>4643</v>
      </c>
      <c r="F1746" t="s">
        <v>3786</v>
      </c>
      <c r="G1746" t="s">
        <v>4644</v>
      </c>
      <c r="H1746" t="s">
        <v>48</v>
      </c>
      <c r="I1746" t="s">
        <v>33</v>
      </c>
      <c r="J1746">
        <v>2</v>
      </c>
      <c r="K1746">
        <v>178</v>
      </c>
      <c r="L1746">
        <v>356</v>
      </c>
      <c r="M1746">
        <v>3.8</v>
      </c>
      <c r="N1746">
        <v>48</v>
      </c>
      <c r="O1746">
        <v>700</v>
      </c>
      <c r="P1746">
        <v>20</v>
      </c>
      <c r="Q1746" t="s">
        <v>34</v>
      </c>
      <c r="R1746">
        <v>44</v>
      </c>
      <c r="S1746" t="s">
        <v>28</v>
      </c>
    </row>
    <row r="1747" spans="1:19" x14ac:dyDescent="0.3">
      <c r="A1747" t="s">
        <v>4645</v>
      </c>
      <c r="B1747" s="2">
        <v>45361</v>
      </c>
      <c r="C1747" t="s">
        <v>55</v>
      </c>
      <c r="D1747" t="s">
        <v>60</v>
      </c>
      <c r="E1747" t="s">
        <v>4646</v>
      </c>
      <c r="F1747" t="s">
        <v>192</v>
      </c>
      <c r="G1747" t="s">
        <v>4647</v>
      </c>
      <c r="H1747" t="s">
        <v>48</v>
      </c>
      <c r="I1747" t="s">
        <v>33</v>
      </c>
      <c r="J1747">
        <v>4</v>
      </c>
      <c r="K1747">
        <v>209</v>
      </c>
      <c r="L1747">
        <v>836</v>
      </c>
      <c r="M1747">
        <v>4.5999999999999996</v>
      </c>
      <c r="N1747">
        <v>52</v>
      </c>
      <c r="P1747">
        <v>0</v>
      </c>
      <c r="Q1747" t="s">
        <v>49</v>
      </c>
      <c r="R1747">
        <v>26</v>
      </c>
      <c r="S1747" t="s">
        <v>28</v>
      </c>
    </row>
    <row r="1748" spans="1:19" x14ac:dyDescent="0.3">
      <c r="A1748" t="s">
        <v>4648</v>
      </c>
      <c r="B1748" s="2">
        <v>45437</v>
      </c>
      <c r="C1748" t="s">
        <v>71</v>
      </c>
      <c r="D1748" t="s">
        <v>100</v>
      </c>
      <c r="E1748" t="s">
        <v>4649</v>
      </c>
      <c r="F1748" t="s">
        <v>578</v>
      </c>
      <c r="G1748" t="s">
        <v>4650</v>
      </c>
      <c r="H1748" t="s">
        <v>80</v>
      </c>
      <c r="I1748" t="s">
        <v>26</v>
      </c>
      <c r="J1748">
        <v>4</v>
      </c>
      <c r="K1748">
        <v>318</v>
      </c>
      <c r="L1748">
        <v>1272</v>
      </c>
      <c r="M1748">
        <v>4</v>
      </c>
      <c r="N1748">
        <v>48</v>
      </c>
      <c r="O1748">
        <v>999</v>
      </c>
      <c r="P1748">
        <v>0</v>
      </c>
      <c r="Q1748" t="s">
        <v>49</v>
      </c>
      <c r="R1748">
        <v>38</v>
      </c>
      <c r="S1748" t="s">
        <v>41</v>
      </c>
    </row>
    <row r="1749" spans="1:19" x14ac:dyDescent="0.3">
      <c r="A1749" t="s">
        <v>4651</v>
      </c>
      <c r="B1749" s="2">
        <v>45419</v>
      </c>
      <c r="C1749" t="s">
        <v>71</v>
      </c>
      <c r="D1749" t="s">
        <v>36</v>
      </c>
      <c r="E1749" t="s">
        <v>4652</v>
      </c>
      <c r="F1749" t="s">
        <v>78</v>
      </c>
      <c r="G1749" t="s">
        <v>410</v>
      </c>
      <c r="H1749" t="s">
        <v>64</v>
      </c>
      <c r="I1749" t="s">
        <v>26</v>
      </c>
      <c r="J1749">
        <v>4</v>
      </c>
      <c r="K1749">
        <v>481</v>
      </c>
      <c r="L1749">
        <v>1924</v>
      </c>
      <c r="M1749">
        <v>4.0999999999999996</v>
      </c>
      <c r="N1749">
        <v>43</v>
      </c>
      <c r="P1749">
        <v>0</v>
      </c>
      <c r="Q1749" t="s">
        <v>34</v>
      </c>
      <c r="R1749">
        <v>30</v>
      </c>
      <c r="S1749" t="s">
        <v>41</v>
      </c>
    </row>
    <row r="1750" spans="1:19" x14ac:dyDescent="0.3">
      <c r="A1750" t="s">
        <v>4653</v>
      </c>
      <c r="B1750" s="2">
        <v>45376</v>
      </c>
      <c r="C1750" t="s">
        <v>55</v>
      </c>
      <c r="D1750" t="s">
        <v>44</v>
      </c>
      <c r="E1750" t="s">
        <v>4654</v>
      </c>
      <c r="F1750" t="s">
        <v>192</v>
      </c>
      <c r="G1750" t="s">
        <v>4655</v>
      </c>
      <c r="H1750" t="s">
        <v>80</v>
      </c>
      <c r="I1750" t="s">
        <v>26</v>
      </c>
      <c r="J1750">
        <v>2</v>
      </c>
      <c r="K1750">
        <v>560</v>
      </c>
      <c r="L1750">
        <v>1120</v>
      </c>
      <c r="M1750">
        <v>3.9</v>
      </c>
      <c r="N1750">
        <v>58</v>
      </c>
      <c r="P1750">
        <v>0</v>
      </c>
      <c r="Q1750" t="s">
        <v>49</v>
      </c>
      <c r="R1750">
        <v>42</v>
      </c>
      <c r="S1750" t="s">
        <v>28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4656</v>
      </c>
      <c r="B1" s="1" t="s">
        <v>4657</v>
      </c>
    </row>
    <row r="2" spans="1:2" x14ac:dyDescent="0.3">
      <c r="A2" t="s">
        <v>4658</v>
      </c>
    </row>
    <row r="3" spans="1:2" x14ac:dyDescent="0.3">
      <c r="A3" t="s">
        <v>4659</v>
      </c>
      <c r="B3">
        <f>COUNT(Order_ID)</f>
        <v>0</v>
      </c>
    </row>
    <row r="4" spans="1:2" x14ac:dyDescent="0.3">
      <c r="A4" t="s">
        <v>4660</v>
      </c>
      <c r="B4" t="e">
        <f>AVERAGE(Rating)</f>
        <v>#NAME?</v>
      </c>
    </row>
    <row r="5" spans="1:2" x14ac:dyDescent="0.3">
      <c r="A5" t="s">
        <v>4661</v>
      </c>
      <c r="B5" t="e">
        <f>Total Sales / Total Orders</f>
        <v>#NAME?</v>
      </c>
    </row>
    <row r="6" spans="1:2" x14ac:dyDescent="0.3">
      <c r="A6" t="s">
        <v>4662</v>
      </c>
      <c r="B6" t="s">
        <v>4663</v>
      </c>
    </row>
    <row r="7" spans="1:2" x14ac:dyDescent="0.3">
      <c r="A7" t="s">
        <v>4664</v>
      </c>
      <c r="B7" t="s">
        <v>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55"/>
  <sheetViews>
    <sheetView showGridLines="0" topLeftCell="A2" zoomScale="105" workbookViewId="0">
      <selection activeCell="B2" sqref="B2"/>
    </sheetView>
  </sheetViews>
  <sheetFormatPr defaultRowHeight="14.4" x14ac:dyDescent="0.3"/>
  <cols>
    <col min="4" max="4" width="8.88671875" style="4"/>
  </cols>
  <sheetData>
    <row r="1" spans="1:37" x14ac:dyDescent="0.3">
      <c r="A1" s="6"/>
      <c r="B1" s="6"/>
      <c r="C1" s="7"/>
      <c r="D1" s="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x14ac:dyDescent="0.3">
      <c r="A2" s="7"/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3">
      <c r="A3" s="7"/>
      <c r="B3" s="7"/>
      <c r="C3" s="7"/>
      <c r="D3" s="8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x14ac:dyDescent="0.3">
      <c r="A4" s="7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x14ac:dyDescent="0.3">
      <c r="A5" s="7"/>
      <c r="B5" s="7"/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x14ac:dyDescent="0.3">
      <c r="A6" s="7"/>
      <c r="B6" s="7"/>
      <c r="C6" s="7"/>
      <c r="D6" s="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x14ac:dyDescent="0.3">
      <c r="A7" s="7"/>
      <c r="B7" s="7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x14ac:dyDescent="0.3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3">
      <c r="A9" s="7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x14ac:dyDescent="0.3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3">
      <c r="A11" s="7"/>
      <c r="B11" s="7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3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3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x14ac:dyDescent="0.3">
      <c r="A14" s="7"/>
      <c r="B14" s="7"/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3">
      <c r="A15" s="7"/>
      <c r="B15" s="7"/>
      <c r="C15" s="7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3">
      <c r="A16" s="7"/>
      <c r="B16" s="7"/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3">
      <c r="A17" s="7"/>
      <c r="B17" s="7"/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3">
      <c r="A18" s="7"/>
      <c r="B18" s="7"/>
      <c r="C18" s="7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3">
      <c r="A19" s="7"/>
      <c r="B19" s="7"/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x14ac:dyDescent="0.3">
      <c r="A20" s="7"/>
      <c r="B20" s="7"/>
      <c r="C20" s="7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3">
      <c r="A21" s="7"/>
      <c r="B21" s="7"/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x14ac:dyDescent="0.3">
      <c r="A22" s="7"/>
      <c r="B22" s="7"/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3">
      <c r="A23" s="7"/>
      <c r="B23" s="7"/>
      <c r="C23" s="7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x14ac:dyDescent="0.3">
      <c r="A24" s="7"/>
      <c r="B24" s="7"/>
      <c r="C24" s="7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3">
      <c r="A25" s="7"/>
      <c r="B25" s="7"/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3">
      <c r="A26" s="7"/>
      <c r="B26" s="7"/>
      <c r="C26" s="7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x14ac:dyDescent="0.3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x14ac:dyDescent="0.3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x14ac:dyDescent="0.3">
      <c r="A29" s="7"/>
      <c r="B29" s="7"/>
      <c r="C29" s="7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x14ac:dyDescent="0.3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x14ac:dyDescent="0.3">
      <c r="A31" s="7"/>
      <c r="B31" s="7"/>
      <c r="C31" s="7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x14ac:dyDescent="0.3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x14ac:dyDescent="0.3">
      <c r="A33" s="7"/>
      <c r="B33" s="7"/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x14ac:dyDescent="0.3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x14ac:dyDescent="0.3">
      <c r="A35" s="7"/>
      <c r="B35" s="7"/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x14ac:dyDescent="0.3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x14ac:dyDescent="0.3">
      <c r="A37" s="7"/>
      <c r="B37" s="7"/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x14ac:dyDescent="0.3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x14ac:dyDescent="0.3">
      <c r="A39" s="7"/>
      <c r="B39" s="7"/>
      <c r="C39" s="7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x14ac:dyDescent="0.3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3">
      <c r="A41" s="7"/>
      <c r="B41" s="7"/>
      <c r="C41" s="7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x14ac:dyDescent="0.3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x14ac:dyDescent="0.3">
      <c r="A43" s="7"/>
      <c r="B43" s="7"/>
      <c r="C43" s="7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x14ac:dyDescent="0.3">
      <c r="A44" s="7"/>
      <c r="B44" s="7"/>
      <c r="C44" s="7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x14ac:dyDescent="0.3">
      <c r="A45" s="7"/>
      <c r="B45" s="7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x14ac:dyDescent="0.3">
      <c r="A46" s="7"/>
      <c r="B46" s="7"/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x14ac:dyDescent="0.3">
      <c r="A47" s="7"/>
      <c r="B47" s="7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x14ac:dyDescent="0.3">
      <c r="A48" s="7"/>
      <c r="B48" s="7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x14ac:dyDescent="0.3">
      <c r="A49" s="7"/>
      <c r="B49" s="7"/>
      <c r="C49" s="7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x14ac:dyDescent="0.3">
      <c r="A50" s="7"/>
      <c r="B50" s="7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x14ac:dyDescent="0.3">
      <c r="A51" s="7"/>
      <c r="B51" s="7"/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x14ac:dyDescent="0.3">
      <c r="A52" s="7"/>
      <c r="B52" s="7"/>
      <c r="C52" s="7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3">
      <c r="A53" s="7"/>
      <c r="B53" s="7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x14ac:dyDescent="0.3">
      <c r="A54" s="7"/>
      <c r="B54" s="7"/>
      <c r="C54" s="7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3">
      <c r="A55" s="7"/>
      <c r="B55" s="7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3">
      <c r="A56" s="7"/>
      <c r="B56" s="7"/>
      <c r="C56" s="7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3">
      <c r="A57" s="7"/>
      <c r="B57" s="7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3">
      <c r="A58" s="7"/>
      <c r="B58" s="7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3">
      <c r="A59" s="7"/>
      <c r="B59" s="7"/>
      <c r="C59" s="7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3">
      <c r="A60" s="7"/>
      <c r="B60" s="7"/>
      <c r="C60" s="7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x14ac:dyDescent="0.3">
      <c r="A61" s="7"/>
      <c r="B61" s="7"/>
      <c r="C61" s="7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x14ac:dyDescent="0.3">
      <c r="A62" s="7"/>
      <c r="B62" s="7"/>
      <c r="C62" s="7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x14ac:dyDescent="0.3">
      <c r="A63" s="7"/>
      <c r="B63" s="7"/>
      <c r="C63" s="7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x14ac:dyDescent="0.3">
      <c r="A64" s="7"/>
      <c r="B64" s="7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x14ac:dyDescent="0.3">
      <c r="A65" s="7"/>
      <c r="B65" s="7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x14ac:dyDescent="0.3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x14ac:dyDescent="0.3">
      <c r="A67" s="7"/>
      <c r="B67" s="7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x14ac:dyDescent="0.3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x14ac:dyDescent="0.3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x14ac:dyDescent="0.3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x14ac:dyDescent="0.3">
      <c r="A71" s="7"/>
      <c r="B71" s="7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x14ac:dyDescent="0.3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x14ac:dyDescent="0.3">
      <c r="A73" s="7"/>
      <c r="B73" s="7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x14ac:dyDescent="0.3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x14ac:dyDescent="0.3">
      <c r="A75" s="7"/>
      <c r="B75" s="7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x14ac:dyDescent="0.3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x14ac:dyDescent="0.3">
      <c r="A77" s="7"/>
      <c r="B77" s="7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x14ac:dyDescent="0.3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x14ac:dyDescent="0.3">
      <c r="A79" s="7"/>
      <c r="B79" s="7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x14ac:dyDescent="0.3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x14ac:dyDescent="0.3">
      <c r="A81" s="7"/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x14ac:dyDescent="0.3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x14ac:dyDescent="0.3">
      <c r="A83" s="7"/>
      <c r="B83" s="7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x14ac:dyDescent="0.3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x14ac:dyDescent="0.3">
      <c r="A85" s="7"/>
      <c r="B85" s="7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x14ac:dyDescent="0.3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x14ac:dyDescent="0.3">
      <c r="A87" s="7"/>
      <c r="B87" s="7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x14ac:dyDescent="0.3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3">
      <c r="A89" s="7"/>
      <c r="B89" s="7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x14ac:dyDescent="0.3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x14ac:dyDescent="0.3">
      <c r="A91" s="7"/>
      <c r="B91" s="7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x14ac:dyDescent="0.3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x14ac:dyDescent="0.3">
      <c r="A93" s="7"/>
      <c r="B93" s="7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x14ac:dyDescent="0.3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3">
      <c r="A95" s="7"/>
      <c r="B95" s="7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x14ac:dyDescent="0.3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x14ac:dyDescent="0.3">
      <c r="A97" s="7"/>
      <c r="B97" s="7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x14ac:dyDescent="0.3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x14ac:dyDescent="0.3">
      <c r="A99" s="7"/>
      <c r="B99" s="7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x14ac:dyDescent="0.3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x14ac:dyDescent="0.3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x14ac:dyDescent="0.3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x14ac:dyDescent="0.3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x14ac:dyDescent="0.3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x14ac:dyDescent="0.3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x14ac:dyDescent="0.3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x14ac:dyDescent="0.3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x14ac:dyDescent="0.3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x14ac:dyDescent="0.3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x14ac:dyDescent="0.3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x14ac:dyDescent="0.3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x14ac:dyDescent="0.3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x14ac:dyDescent="0.3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x14ac:dyDescent="0.3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x14ac:dyDescent="0.3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x14ac:dyDescent="0.3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x14ac:dyDescent="0.3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x14ac:dyDescent="0.3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x14ac:dyDescent="0.3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x14ac:dyDescent="0.3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x14ac:dyDescent="0.3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x14ac:dyDescent="0.3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x14ac:dyDescent="0.3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x14ac:dyDescent="0.3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x14ac:dyDescent="0.3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x14ac:dyDescent="0.3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x14ac:dyDescent="0.3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x14ac:dyDescent="0.3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x14ac:dyDescent="0.3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x14ac:dyDescent="0.3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x14ac:dyDescent="0.3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x14ac:dyDescent="0.3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x14ac:dyDescent="0.3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x14ac:dyDescent="0.3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x14ac:dyDescent="0.3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x14ac:dyDescent="0.3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x14ac:dyDescent="0.3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x14ac:dyDescent="0.3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x14ac:dyDescent="0.3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x14ac:dyDescent="0.3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x14ac:dyDescent="0.3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x14ac:dyDescent="0.3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x14ac:dyDescent="0.3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x14ac:dyDescent="0.3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x14ac:dyDescent="0.3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x14ac:dyDescent="0.3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x14ac:dyDescent="0.3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x14ac:dyDescent="0.3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x14ac:dyDescent="0.3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x14ac:dyDescent="0.3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x14ac:dyDescent="0.3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x14ac:dyDescent="0.3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x14ac:dyDescent="0.3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x14ac:dyDescent="0.3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x14ac:dyDescent="0.3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x14ac:dyDescent="0.3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x14ac:dyDescent="0.3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x14ac:dyDescent="0.3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x14ac:dyDescent="0.3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x14ac:dyDescent="0.3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x14ac:dyDescent="0.3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x14ac:dyDescent="0.3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x14ac:dyDescent="0.3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x14ac:dyDescent="0.3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x14ac:dyDescent="0.3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x14ac:dyDescent="0.3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x14ac:dyDescent="0.3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x14ac:dyDescent="0.3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x14ac:dyDescent="0.3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x14ac:dyDescent="0.3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x14ac:dyDescent="0.3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x14ac:dyDescent="0.3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x14ac:dyDescent="0.3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x14ac:dyDescent="0.3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x14ac:dyDescent="0.3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x14ac:dyDescent="0.3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x14ac:dyDescent="0.3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x14ac:dyDescent="0.3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x14ac:dyDescent="0.3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x14ac:dyDescent="0.3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x14ac:dyDescent="0.3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x14ac:dyDescent="0.3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x14ac:dyDescent="0.3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x14ac:dyDescent="0.3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x14ac:dyDescent="0.3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x14ac:dyDescent="0.3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x14ac:dyDescent="0.3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x14ac:dyDescent="0.3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x14ac:dyDescent="0.3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x14ac:dyDescent="0.3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x14ac:dyDescent="0.3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x14ac:dyDescent="0.3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x14ac:dyDescent="0.3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x14ac:dyDescent="0.3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x14ac:dyDescent="0.3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x14ac:dyDescent="0.3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x14ac:dyDescent="0.3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x14ac:dyDescent="0.3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x14ac:dyDescent="0.3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x14ac:dyDescent="0.3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x14ac:dyDescent="0.3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x14ac:dyDescent="0.3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x14ac:dyDescent="0.3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x14ac:dyDescent="0.3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x14ac:dyDescent="0.3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x14ac:dyDescent="0.3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x14ac:dyDescent="0.3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x14ac:dyDescent="0.3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x14ac:dyDescent="0.3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x14ac:dyDescent="0.3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x14ac:dyDescent="0.3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x14ac:dyDescent="0.3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x14ac:dyDescent="0.3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x14ac:dyDescent="0.3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x14ac:dyDescent="0.3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x14ac:dyDescent="0.3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x14ac:dyDescent="0.3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x14ac:dyDescent="0.3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x14ac:dyDescent="0.3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x14ac:dyDescent="0.3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x14ac:dyDescent="0.3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x14ac:dyDescent="0.3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x14ac:dyDescent="0.3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x14ac:dyDescent="0.3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x14ac:dyDescent="0.3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x14ac:dyDescent="0.3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x14ac:dyDescent="0.3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x14ac:dyDescent="0.3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x14ac:dyDescent="0.3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x14ac:dyDescent="0.3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x14ac:dyDescent="0.3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x14ac:dyDescent="0.3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x14ac:dyDescent="0.3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x14ac:dyDescent="0.3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x14ac:dyDescent="0.3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x14ac:dyDescent="0.3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x14ac:dyDescent="0.3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x14ac:dyDescent="0.3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x14ac:dyDescent="0.3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x14ac:dyDescent="0.3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x14ac:dyDescent="0.3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x14ac:dyDescent="0.3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x14ac:dyDescent="0.3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x14ac:dyDescent="0.3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x14ac:dyDescent="0.3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x14ac:dyDescent="0.3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x14ac:dyDescent="0.3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x14ac:dyDescent="0.3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x14ac:dyDescent="0.3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x14ac:dyDescent="0.3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x14ac:dyDescent="0.3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x14ac:dyDescent="0.3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x14ac:dyDescent="0.3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x14ac:dyDescent="0.3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x14ac:dyDescent="0.3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x14ac:dyDescent="0.3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x14ac:dyDescent="0.3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x14ac:dyDescent="0.3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x14ac:dyDescent="0.3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x14ac:dyDescent="0.3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x14ac:dyDescent="0.3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x14ac:dyDescent="0.3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x14ac:dyDescent="0.3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x14ac:dyDescent="0.3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x14ac:dyDescent="0.3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x14ac:dyDescent="0.3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x14ac:dyDescent="0.3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x14ac:dyDescent="0.3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x14ac:dyDescent="0.3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x14ac:dyDescent="0.3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x14ac:dyDescent="0.3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x14ac:dyDescent="0.3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x14ac:dyDescent="0.3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x14ac:dyDescent="0.3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x14ac:dyDescent="0.3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x14ac:dyDescent="0.3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x14ac:dyDescent="0.3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x14ac:dyDescent="0.3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x14ac:dyDescent="0.3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x14ac:dyDescent="0.3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x14ac:dyDescent="0.3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x14ac:dyDescent="0.3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x14ac:dyDescent="0.3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x14ac:dyDescent="0.3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x14ac:dyDescent="0.3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x14ac:dyDescent="0.3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x14ac:dyDescent="0.3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x14ac:dyDescent="0.3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x14ac:dyDescent="0.3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x14ac:dyDescent="0.3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x14ac:dyDescent="0.3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x14ac:dyDescent="0.3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x14ac:dyDescent="0.3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x14ac:dyDescent="0.3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x14ac:dyDescent="0.3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x14ac:dyDescent="0.3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x14ac:dyDescent="0.3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x14ac:dyDescent="0.3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x14ac:dyDescent="0.3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x14ac:dyDescent="0.3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x14ac:dyDescent="0.3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x14ac:dyDescent="0.3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x14ac:dyDescent="0.3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x14ac:dyDescent="0.3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x14ac:dyDescent="0.3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x14ac:dyDescent="0.3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x14ac:dyDescent="0.3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x14ac:dyDescent="0.3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x14ac:dyDescent="0.3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x14ac:dyDescent="0.3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x14ac:dyDescent="0.3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x14ac:dyDescent="0.3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x14ac:dyDescent="0.3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x14ac:dyDescent="0.3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x14ac:dyDescent="0.3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x14ac:dyDescent="0.3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x14ac:dyDescent="0.3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x14ac:dyDescent="0.3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x14ac:dyDescent="0.3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x14ac:dyDescent="0.3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x14ac:dyDescent="0.3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x14ac:dyDescent="0.3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x14ac:dyDescent="0.3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x14ac:dyDescent="0.3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x14ac:dyDescent="0.3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x14ac:dyDescent="0.3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x14ac:dyDescent="0.3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x14ac:dyDescent="0.3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x14ac:dyDescent="0.3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x14ac:dyDescent="0.3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x14ac:dyDescent="0.3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x14ac:dyDescent="0.3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x14ac:dyDescent="0.3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x14ac:dyDescent="0.3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x14ac:dyDescent="0.3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x14ac:dyDescent="0.3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x14ac:dyDescent="0.3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x14ac:dyDescent="0.3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x14ac:dyDescent="0.3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x14ac:dyDescent="0.3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x14ac:dyDescent="0.3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x14ac:dyDescent="0.3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x14ac:dyDescent="0.3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x14ac:dyDescent="0.3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x14ac:dyDescent="0.3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x14ac:dyDescent="0.3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x14ac:dyDescent="0.3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x14ac:dyDescent="0.3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x14ac:dyDescent="0.3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x14ac:dyDescent="0.3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x14ac:dyDescent="0.3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x14ac:dyDescent="0.3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x14ac:dyDescent="0.3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x14ac:dyDescent="0.3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x14ac:dyDescent="0.3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x14ac:dyDescent="0.3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x14ac:dyDescent="0.3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x14ac:dyDescent="0.3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x14ac:dyDescent="0.3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x14ac:dyDescent="0.3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x14ac:dyDescent="0.3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x14ac:dyDescent="0.3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x14ac:dyDescent="0.3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x14ac:dyDescent="0.3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x14ac:dyDescent="0.3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x14ac:dyDescent="0.3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x14ac:dyDescent="0.3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x14ac:dyDescent="0.3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x14ac:dyDescent="0.3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x14ac:dyDescent="0.3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x14ac:dyDescent="0.3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x14ac:dyDescent="0.3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x14ac:dyDescent="0.3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x14ac:dyDescent="0.3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x14ac:dyDescent="0.3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x14ac:dyDescent="0.3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x14ac:dyDescent="0.3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x14ac:dyDescent="0.3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x14ac:dyDescent="0.3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x14ac:dyDescent="0.3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x14ac:dyDescent="0.3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x14ac:dyDescent="0.3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x14ac:dyDescent="0.3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x14ac:dyDescent="0.3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x14ac:dyDescent="0.3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x14ac:dyDescent="0.3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x14ac:dyDescent="0.3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x14ac:dyDescent="0.3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x14ac:dyDescent="0.3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x14ac:dyDescent="0.3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x14ac:dyDescent="0.3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x14ac:dyDescent="0.3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x14ac:dyDescent="0.3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x14ac:dyDescent="0.3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x14ac:dyDescent="0.3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x14ac:dyDescent="0.3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x14ac:dyDescent="0.3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x14ac:dyDescent="0.3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x14ac:dyDescent="0.3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x14ac:dyDescent="0.3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x14ac:dyDescent="0.3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x14ac:dyDescent="0.3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x14ac:dyDescent="0.3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x14ac:dyDescent="0.3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x14ac:dyDescent="0.3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x14ac:dyDescent="0.3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x14ac:dyDescent="0.3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x14ac:dyDescent="0.3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x14ac:dyDescent="0.3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x14ac:dyDescent="0.3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x14ac:dyDescent="0.3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x14ac:dyDescent="0.3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x14ac:dyDescent="0.3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x14ac:dyDescent="0.3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x14ac:dyDescent="0.3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x14ac:dyDescent="0.3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x14ac:dyDescent="0.3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x14ac:dyDescent="0.3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x14ac:dyDescent="0.3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x14ac:dyDescent="0.3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x14ac:dyDescent="0.3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x14ac:dyDescent="0.3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x14ac:dyDescent="0.3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x14ac:dyDescent="0.3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x14ac:dyDescent="0.3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x14ac:dyDescent="0.3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x14ac:dyDescent="0.3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x14ac:dyDescent="0.3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x14ac:dyDescent="0.3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x14ac:dyDescent="0.3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x14ac:dyDescent="0.3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x14ac:dyDescent="0.3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x14ac:dyDescent="0.3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x14ac:dyDescent="0.3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x14ac:dyDescent="0.3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x14ac:dyDescent="0.3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x14ac:dyDescent="0.3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x14ac:dyDescent="0.3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x14ac:dyDescent="0.3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x14ac:dyDescent="0.3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x14ac:dyDescent="0.3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x14ac:dyDescent="0.3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x14ac:dyDescent="0.3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x14ac:dyDescent="0.3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x14ac:dyDescent="0.3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x14ac:dyDescent="0.3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x14ac:dyDescent="0.3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x14ac:dyDescent="0.3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x14ac:dyDescent="0.3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x14ac:dyDescent="0.3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x14ac:dyDescent="0.3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x14ac:dyDescent="0.3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x14ac:dyDescent="0.3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x14ac:dyDescent="0.3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x14ac:dyDescent="0.3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x14ac:dyDescent="0.3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x14ac:dyDescent="0.3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x14ac:dyDescent="0.3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x14ac:dyDescent="0.3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x14ac:dyDescent="0.3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x14ac:dyDescent="0.3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x14ac:dyDescent="0.3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x14ac:dyDescent="0.3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x14ac:dyDescent="0.3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x14ac:dyDescent="0.3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x14ac:dyDescent="0.3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x14ac:dyDescent="0.3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x14ac:dyDescent="0.3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x14ac:dyDescent="0.3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x14ac:dyDescent="0.3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x14ac:dyDescent="0.3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x14ac:dyDescent="0.3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x14ac:dyDescent="0.3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x14ac:dyDescent="0.3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x14ac:dyDescent="0.3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x14ac:dyDescent="0.3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x14ac:dyDescent="0.3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x14ac:dyDescent="0.3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x14ac:dyDescent="0.3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x14ac:dyDescent="0.3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x14ac:dyDescent="0.3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x14ac:dyDescent="0.3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x14ac:dyDescent="0.3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x14ac:dyDescent="0.3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x14ac:dyDescent="0.3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x14ac:dyDescent="0.3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x14ac:dyDescent="0.3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x14ac:dyDescent="0.3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x14ac:dyDescent="0.3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x14ac:dyDescent="0.3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x14ac:dyDescent="0.3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x14ac:dyDescent="0.3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x14ac:dyDescent="0.3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x14ac:dyDescent="0.3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x14ac:dyDescent="0.3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x14ac:dyDescent="0.3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x14ac:dyDescent="0.3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x14ac:dyDescent="0.3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x14ac:dyDescent="0.3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x14ac:dyDescent="0.3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x14ac:dyDescent="0.3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x14ac:dyDescent="0.3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x14ac:dyDescent="0.3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x14ac:dyDescent="0.3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x14ac:dyDescent="0.3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x14ac:dyDescent="0.3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x14ac:dyDescent="0.3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x14ac:dyDescent="0.3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x14ac:dyDescent="0.3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x14ac:dyDescent="0.3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x14ac:dyDescent="0.3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x14ac:dyDescent="0.3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x14ac:dyDescent="0.3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x14ac:dyDescent="0.3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x14ac:dyDescent="0.3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x14ac:dyDescent="0.3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x14ac:dyDescent="0.3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x14ac:dyDescent="0.3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x14ac:dyDescent="0.3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x14ac:dyDescent="0.3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x14ac:dyDescent="0.3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x14ac:dyDescent="0.3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x14ac:dyDescent="0.3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x14ac:dyDescent="0.3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x14ac:dyDescent="0.3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x14ac:dyDescent="0.3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x14ac:dyDescent="0.3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x14ac:dyDescent="0.3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x14ac:dyDescent="0.3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x14ac:dyDescent="0.3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x14ac:dyDescent="0.3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x14ac:dyDescent="0.3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x14ac:dyDescent="0.3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x14ac:dyDescent="0.3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x14ac:dyDescent="0.3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x14ac:dyDescent="0.3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x14ac:dyDescent="0.3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x14ac:dyDescent="0.3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x14ac:dyDescent="0.3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x14ac:dyDescent="0.3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x14ac:dyDescent="0.3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x14ac:dyDescent="0.3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x14ac:dyDescent="0.3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x14ac:dyDescent="0.3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x14ac:dyDescent="0.3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x14ac:dyDescent="0.3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x14ac:dyDescent="0.3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x14ac:dyDescent="0.3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x14ac:dyDescent="0.3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x14ac:dyDescent="0.3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x14ac:dyDescent="0.3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x14ac:dyDescent="0.3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x14ac:dyDescent="0.3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x14ac:dyDescent="0.3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x14ac:dyDescent="0.3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Swiggy_Data</vt:lpstr>
      <vt:lpstr>KPI_Guide</vt:lpstr>
      <vt:lpstr>Dashboard_Tips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M</cp:lastModifiedBy>
  <dcterms:created xsi:type="dcterms:W3CDTF">2026-05-22T07:12:21Z</dcterms:created>
  <dcterms:modified xsi:type="dcterms:W3CDTF">2026-05-27T06:48:05Z</dcterms:modified>
</cp:coreProperties>
</file>